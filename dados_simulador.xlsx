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viana\PycharmProjects\simulador_negociacao\"/>
    </mc:Choice>
  </mc:AlternateContent>
  <xr:revisionPtr revIDLastSave="0" documentId="13_ncr:1_{6796CB9D-FE43-43C5-98F5-C724E7160C7E}" xr6:coauthVersionLast="47" xr6:coauthVersionMax="47" xr10:uidLastSave="{00000000-0000-0000-0000-000000000000}"/>
  <bookViews>
    <workbookView xWindow="-120" yWindow="-120" windowWidth="29040" windowHeight="15720" xr2:uid="{7D940E1B-F264-494B-AE8F-AE4E345A91DE}"/>
  </bookViews>
  <sheets>
    <sheet name="Municipios" sheetId="3" r:id="rId1"/>
    <sheet name="Proposta" sheetId="1" r:id="rId2"/>
    <sheet name="Atual" sheetId="2" r:id="rId3"/>
  </sheets>
  <externalReferences>
    <externalReference r:id="rId4"/>
  </externalReferences>
  <definedNames>
    <definedName name="_xlnm._FilterDatabase" localSheetId="0" hidden="1">Municipios!$A$1:$G$3193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11" i="1"/>
  <c r="D212" i="1"/>
  <c r="D213" i="1"/>
  <c r="D215" i="1"/>
  <c r="D216" i="1"/>
  <c r="D218" i="1"/>
  <c r="D219" i="1"/>
  <c r="D19" i="1"/>
  <c r="D5" i="1"/>
  <c r="D6" i="1"/>
  <c r="D7" i="1"/>
  <c r="D8" i="1"/>
  <c r="D9" i="1"/>
  <c r="D10" i="1"/>
  <c r="D11" i="1"/>
  <c r="D12" i="1"/>
  <c r="D13" i="1"/>
  <c r="D14" i="1"/>
  <c r="B1091" i="3"/>
  <c r="C1091" i="3"/>
  <c r="B1092" i="3"/>
  <c r="C1092" i="3"/>
  <c r="B1093" i="3"/>
  <c r="C1093" i="3"/>
  <c r="B1094" i="3"/>
  <c r="C1094" i="3"/>
  <c r="B1095" i="3"/>
  <c r="C1095" i="3"/>
  <c r="B1096" i="3"/>
  <c r="C1096" i="3"/>
  <c r="B1097" i="3"/>
  <c r="C1097" i="3"/>
  <c r="B1482" i="3"/>
  <c r="C1482" i="3"/>
  <c r="B1483" i="3"/>
  <c r="C1483" i="3"/>
  <c r="B1484" i="3"/>
  <c r="C1484" i="3"/>
  <c r="B1485" i="3"/>
  <c r="C1485" i="3"/>
  <c r="B1486" i="3"/>
  <c r="C1486" i="3"/>
  <c r="B1487" i="3"/>
  <c r="C1487" i="3"/>
  <c r="B1488" i="3"/>
  <c r="C1488" i="3"/>
  <c r="B1489" i="3"/>
  <c r="C1489" i="3"/>
  <c r="B1938" i="3"/>
  <c r="C1938" i="3"/>
  <c r="B1939" i="3"/>
  <c r="C1939" i="3"/>
  <c r="B1940" i="3"/>
  <c r="C1940" i="3"/>
  <c r="B1941" i="3"/>
  <c r="C1941" i="3"/>
  <c r="B1942" i="3"/>
  <c r="C1942" i="3"/>
  <c r="B1943" i="3"/>
  <c r="C1943" i="3"/>
  <c r="B1944" i="3"/>
  <c r="C1944" i="3"/>
  <c r="B1945" i="3"/>
  <c r="C1945" i="3"/>
  <c r="B2002" i="3"/>
  <c r="C2002" i="3"/>
  <c r="B2003" i="3"/>
  <c r="C2003" i="3"/>
  <c r="B2004" i="3"/>
  <c r="C2004" i="3"/>
  <c r="B2005" i="3"/>
  <c r="C2005" i="3"/>
  <c r="B2006" i="3"/>
  <c r="C2006" i="3"/>
  <c r="B2007" i="3"/>
  <c r="C2007" i="3"/>
  <c r="B2008" i="3"/>
  <c r="C2008" i="3"/>
  <c r="B2009" i="3"/>
  <c r="C2009" i="3"/>
  <c r="B2178" i="3"/>
  <c r="C2178" i="3"/>
  <c r="B2179" i="3"/>
  <c r="C2179" i="3"/>
  <c r="B2180" i="3"/>
  <c r="C2180" i="3"/>
  <c r="B2181" i="3"/>
  <c r="C2181" i="3"/>
  <c r="B2182" i="3"/>
  <c r="C2182" i="3"/>
  <c r="B2183" i="3"/>
  <c r="C2183" i="3"/>
  <c r="B2184" i="3"/>
  <c r="C2184" i="3"/>
  <c r="B2185" i="3"/>
  <c r="C2185" i="3"/>
  <c r="B2634" i="3"/>
  <c r="C2634" i="3"/>
  <c r="B2635" i="3"/>
  <c r="C2635" i="3"/>
  <c r="B2636" i="3"/>
  <c r="C2636" i="3"/>
  <c r="B2637" i="3"/>
  <c r="C2637" i="3"/>
  <c r="B2638" i="3"/>
  <c r="C2638" i="3"/>
  <c r="B2639" i="3"/>
  <c r="C2639" i="3"/>
  <c r="B2640" i="3"/>
  <c r="C2640" i="3"/>
  <c r="B2641" i="3"/>
  <c r="C2641" i="3"/>
  <c r="B3090" i="3"/>
  <c r="C3090" i="3"/>
  <c r="B3091" i="3"/>
  <c r="C3091" i="3"/>
  <c r="B3092" i="3"/>
  <c r="C3092" i="3"/>
  <c r="B3093" i="3"/>
  <c r="C3093" i="3"/>
  <c r="B3094" i="3"/>
  <c r="C3094" i="3"/>
  <c r="B3095" i="3"/>
  <c r="C3095" i="3"/>
  <c r="B3096" i="3"/>
  <c r="C3096" i="3"/>
  <c r="B3097" i="3"/>
  <c r="C3097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986" i="3"/>
  <c r="C986" i="3"/>
  <c r="B987" i="3"/>
  <c r="C987" i="3"/>
  <c r="B988" i="3"/>
  <c r="C988" i="3"/>
  <c r="B989" i="3"/>
  <c r="C989" i="3"/>
  <c r="B990" i="3"/>
  <c r="C990" i="3"/>
  <c r="B991" i="3"/>
  <c r="C991" i="3"/>
  <c r="B992" i="3"/>
  <c r="C992" i="3"/>
  <c r="B993" i="3"/>
  <c r="C993" i="3"/>
  <c r="B1114" i="3"/>
  <c r="C1114" i="3"/>
  <c r="B1115" i="3"/>
  <c r="C1115" i="3"/>
  <c r="B1116" i="3"/>
  <c r="C1116" i="3"/>
  <c r="B1117" i="3"/>
  <c r="C1117" i="3"/>
  <c r="B1118" i="3"/>
  <c r="C1118" i="3"/>
  <c r="B1119" i="3"/>
  <c r="C1119" i="3"/>
  <c r="B1120" i="3"/>
  <c r="C1120" i="3"/>
  <c r="B1121" i="3"/>
  <c r="C1121" i="3"/>
  <c r="B1282" i="3"/>
  <c r="C1282" i="3"/>
  <c r="B1283" i="3"/>
  <c r="C1283" i="3"/>
  <c r="B1284" i="3"/>
  <c r="C1284" i="3"/>
  <c r="B1285" i="3"/>
  <c r="C1285" i="3"/>
  <c r="B1286" i="3"/>
  <c r="C1286" i="3"/>
  <c r="B1287" i="3"/>
  <c r="C1287" i="3"/>
  <c r="B1288" i="3"/>
  <c r="C1288" i="3"/>
  <c r="B1289" i="3"/>
  <c r="C1289" i="3"/>
  <c r="B1618" i="3"/>
  <c r="C1618" i="3"/>
  <c r="B1619" i="3"/>
  <c r="C1619" i="3"/>
  <c r="B1620" i="3"/>
  <c r="C1620" i="3"/>
  <c r="B1621" i="3"/>
  <c r="C1621" i="3"/>
  <c r="B1622" i="3"/>
  <c r="C1622" i="3"/>
  <c r="B1623" i="3"/>
  <c r="C1623" i="3"/>
  <c r="B1624" i="3"/>
  <c r="C1624" i="3"/>
  <c r="B1625" i="3"/>
  <c r="C1625" i="3"/>
  <c r="B1690" i="3"/>
  <c r="C1690" i="3"/>
  <c r="B1691" i="3"/>
  <c r="C1691" i="3"/>
  <c r="B1692" i="3"/>
  <c r="C1692" i="3"/>
  <c r="B1693" i="3"/>
  <c r="C1693" i="3"/>
  <c r="B1694" i="3"/>
  <c r="C1694" i="3"/>
  <c r="B1695" i="3"/>
  <c r="C1695" i="3"/>
  <c r="B1696" i="3"/>
  <c r="C1696" i="3"/>
  <c r="B1697" i="3"/>
  <c r="C1697" i="3"/>
  <c r="B1706" i="3"/>
  <c r="C1706" i="3"/>
  <c r="B1707" i="3"/>
  <c r="C1707" i="3"/>
  <c r="B1708" i="3"/>
  <c r="C1708" i="3"/>
  <c r="B1709" i="3"/>
  <c r="C1709" i="3"/>
  <c r="B1710" i="3"/>
  <c r="C1710" i="3"/>
  <c r="B1711" i="3"/>
  <c r="C1711" i="3"/>
  <c r="B1712" i="3"/>
  <c r="C1712" i="3"/>
  <c r="B1713" i="3"/>
  <c r="C1713" i="3"/>
  <c r="B1874" i="3"/>
  <c r="C1874" i="3"/>
  <c r="B1875" i="3"/>
  <c r="C1875" i="3"/>
  <c r="B1876" i="3"/>
  <c r="C1876" i="3"/>
  <c r="B1877" i="3"/>
  <c r="C1877" i="3"/>
  <c r="B1878" i="3"/>
  <c r="C1878" i="3"/>
  <c r="B1879" i="3"/>
  <c r="C1879" i="3"/>
  <c r="B1880" i="3"/>
  <c r="C1880" i="3"/>
  <c r="B1881" i="3"/>
  <c r="C1881" i="3"/>
  <c r="B1914" i="3"/>
  <c r="C1914" i="3"/>
  <c r="B1915" i="3"/>
  <c r="C1915" i="3"/>
  <c r="B1916" i="3"/>
  <c r="C1916" i="3"/>
  <c r="B1917" i="3"/>
  <c r="C1917" i="3"/>
  <c r="B1918" i="3"/>
  <c r="C1918" i="3"/>
  <c r="B1919" i="3"/>
  <c r="C1919" i="3"/>
  <c r="B1920" i="3"/>
  <c r="C1920" i="3"/>
  <c r="B1921" i="3"/>
  <c r="C1921" i="3"/>
  <c r="B1986" i="3"/>
  <c r="C1986" i="3"/>
  <c r="B1987" i="3"/>
  <c r="C1987" i="3"/>
  <c r="B1988" i="3"/>
  <c r="C1988" i="3"/>
  <c r="B1989" i="3"/>
  <c r="C1989" i="3"/>
  <c r="B1990" i="3"/>
  <c r="C1990" i="3"/>
  <c r="B1991" i="3"/>
  <c r="C1991" i="3"/>
  <c r="B1992" i="3"/>
  <c r="C1992" i="3"/>
  <c r="B1993" i="3"/>
  <c r="C1993" i="3"/>
  <c r="B2066" i="3"/>
  <c r="C2066" i="3"/>
  <c r="B2067" i="3"/>
  <c r="C2067" i="3"/>
  <c r="B2068" i="3"/>
  <c r="C2068" i="3"/>
  <c r="B2069" i="3"/>
  <c r="C2069" i="3"/>
  <c r="B2070" i="3"/>
  <c r="C2070" i="3"/>
  <c r="B2071" i="3"/>
  <c r="C2071" i="3"/>
  <c r="B2072" i="3"/>
  <c r="C2072" i="3"/>
  <c r="B2073" i="3"/>
  <c r="C2073" i="3"/>
  <c r="B2410" i="3"/>
  <c r="C2410" i="3"/>
  <c r="B2411" i="3"/>
  <c r="C2411" i="3"/>
  <c r="B2412" i="3"/>
  <c r="C2412" i="3"/>
  <c r="B2413" i="3"/>
  <c r="C2413" i="3"/>
  <c r="B2414" i="3"/>
  <c r="C2414" i="3"/>
  <c r="B2415" i="3"/>
  <c r="C2415" i="3"/>
  <c r="B2416" i="3"/>
  <c r="C2416" i="3"/>
  <c r="B2417" i="3"/>
  <c r="C2417" i="3"/>
  <c r="B2554" i="3"/>
  <c r="C2554" i="3"/>
  <c r="B2555" i="3"/>
  <c r="C2555" i="3"/>
  <c r="B2556" i="3"/>
  <c r="C2556" i="3"/>
  <c r="B2557" i="3"/>
  <c r="C2557" i="3"/>
  <c r="B2558" i="3"/>
  <c r="C2558" i="3"/>
  <c r="B2559" i="3"/>
  <c r="C2559" i="3"/>
  <c r="B2560" i="3"/>
  <c r="C2560" i="3"/>
  <c r="B2561" i="3"/>
  <c r="C2561" i="3"/>
  <c r="B2738" i="3"/>
  <c r="C2738" i="3"/>
  <c r="B2739" i="3"/>
  <c r="C2739" i="3"/>
  <c r="B2740" i="3"/>
  <c r="C2740" i="3"/>
  <c r="B2741" i="3"/>
  <c r="C2741" i="3"/>
  <c r="B2742" i="3"/>
  <c r="C2742" i="3"/>
  <c r="B2743" i="3"/>
  <c r="C2743" i="3"/>
  <c r="B2744" i="3"/>
  <c r="C2744" i="3"/>
  <c r="B2745" i="3"/>
  <c r="C2745" i="3"/>
  <c r="B2786" i="3"/>
  <c r="C2786" i="3"/>
  <c r="B2787" i="3"/>
  <c r="C2787" i="3"/>
  <c r="B2788" i="3"/>
  <c r="C2788" i="3"/>
  <c r="B2789" i="3"/>
  <c r="C2789" i="3"/>
  <c r="B2790" i="3"/>
  <c r="C2790" i="3"/>
  <c r="B2791" i="3"/>
  <c r="C2791" i="3"/>
  <c r="B2792" i="3"/>
  <c r="C2792" i="3"/>
  <c r="B2793" i="3"/>
  <c r="C2793" i="3"/>
  <c r="B2898" i="3"/>
  <c r="C2898" i="3"/>
  <c r="B2899" i="3"/>
  <c r="C2899" i="3"/>
  <c r="B2900" i="3"/>
  <c r="C2900" i="3"/>
  <c r="B2901" i="3"/>
  <c r="C2901" i="3"/>
  <c r="B2902" i="3"/>
  <c r="C2902" i="3"/>
  <c r="B2903" i="3"/>
  <c r="C2903" i="3"/>
  <c r="B2904" i="3"/>
  <c r="C2904" i="3"/>
  <c r="B2905" i="3"/>
  <c r="C2905" i="3"/>
  <c r="B2946" i="3"/>
  <c r="C2946" i="3"/>
  <c r="B2947" i="3"/>
  <c r="C2947" i="3"/>
  <c r="B2948" i="3"/>
  <c r="C2948" i="3"/>
  <c r="B2949" i="3"/>
  <c r="C2949" i="3"/>
  <c r="B2950" i="3"/>
  <c r="C2950" i="3"/>
  <c r="B2951" i="3"/>
  <c r="C2951" i="3"/>
  <c r="B2952" i="3"/>
  <c r="C2952" i="3"/>
  <c r="B2953" i="3"/>
  <c r="C2953" i="3"/>
  <c r="B3154" i="3"/>
  <c r="C3154" i="3"/>
  <c r="B3155" i="3"/>
  <c r="C3155" i="3"/>
  <c r="B3156" i="3"/>
  <c r="C3156" i="3"/>
  <c r="B3157" i="3"/>
  <c r="C3157" i="3"/>
  <c r="B3158" i="3"/>
  <c r="C3158" i="3"/>
  <c r="B3159" i="3"/>
  <c r="C3159" i="3"/>
  <c r="B3160" i="3"/>
  <c r="C3160" i="3"/>
  <c r="B3161" i="3"/>
  <c r="C3161" i="3"/>
  <c r="B3170" i="3"/>
  <c r="C3170" i="3"/>
  <c r="B3171" i="3"/>
  <c r="C3171" i="3"/>
  <c r="B3172" i="3"/>
  <c r="C3172" i="3"/>
  <c r="B3173" i="3"/>
  <c r="C3173" i="3"/>
  <c r="B3174" i="3"/>
  <c r="C3174" i="3"/>
  <c r="B3175" i="3"/>
  <c r="C3175" i="3"/>
  <c r="B3176" i="3"/>
  <c r="C3176" i="3"/>
  <c r="B3177" i="3"/>
  <c r="C3177" i="3"/>
  <c r="B1234" i="3"/>
  <c r="C1234" i="3"/>
  <c r="B1235" i="3"/>
  <c r="C1235" i="3"/>
  <c r="B1236" i="3"/>
  <c r="C1236" i="3"/>
  <c r="B1237" i="3"/>
  <c r="C1237" i="3"/>
  <c r="B1238" i="3"/>
  <c r="C1238" i="3"/>
  <c r="B1239" i="3"/>
  <c r="C1239" i="3"/>
  <c r="B1240" i="3"/>
  <c r="C1240" i="3"/>
  <c r="B1241" i="3"/>
  <c r="C1241" i="3"/>
  <c r="B2298" i="3"/>
  <c r="C2298" i="3"/>
  <c r="B2299" i="3"/>
  <c r="C2299" i="3"/>
  <c r="B2300" i="3"/>
  <c r="C2300" i="3"/>
  <c r="B2301" i="3"/>
  <c r="C2301" i="3"/>
  <c r="B2302" i="3"/>
  <c r="C2302" i="3"/>
  <c r="B2303" i="3"/>
  <c r="C2303" i="3"/>
  <c r="B2304" i="3"/>
  <c r="C2304" i="3"/>
  <c r="B2305" i="3"/>
  <c r="C2305" i="3"/>
  <c r="B2402" i="3"/>
  <c r="C2402" i="3"/>
  <c r="B2403" i="3"/>
  <c r="C2403" i="3"/>
  <c r="B2404" i="3"/>
  <c r="C2404" i="3"/>
  <c r="B2405" i="3"/>
  <c r="C2405" i="3"/>
  <c r="B2406" i="3"/>
  <c r="C2406" i="3"/>
  <c r="B2407" i="3"/>
  <c r="C2407" i="3"/>
  <c r="B2408" i="3"/>
  <c r="C2408" i="3"/>
  <c r="B2409" i="3"/>
  <c r="C2409" i="3"/>
  <c r="B2450" i="3"/>
  <c r="C2450" i="3"/>
  <c r="B2451" i="3"/>
  <c r="C2451" i="3"/>
  <c r="B2452" i="3"/>
  <c r="C2452" i="3"/>
  <c r="B2453" i="3"/>
  <c r="C2453" i="3"/>
  <c r="B2454" i="3"/>
  <c r="C2454" i="3"/>
  <c r="B2455" i="3"/>
  <c r="C2455" i="3"/>
  <c r="B2456" i="3"/>
  <c r="C2456" i="3"/>
  <c r="B2457" i="3"/>
  <c r="C2457" i="3"/>
  <c r="B2986" i="3"/>
  <c r="C2986" i="3"/>
  <c r="B2987" i="3"/>
  <c r="C2987" i="3"/>
  <c r="B2988" i="3"/>
  <c r="C2988" i="3"/>
  <c r="B2989" i="3"/>
  <c r="C2989" i="3"/>
  <c r="B2990" i="3"/>
  <c r="C2990" i="3"/>
  <c r="B2991" i="3"/>
  <c r="C2991" i="3"/>
  <c r="B2992" i="3"/>
  <c r="C2992" i="3"/>
  <c r="B2993" i="3"/>
  <c r="C2993" i="3"/>
  <c r="B1210" i="3"/>
  <c r="C1210" i="3"/>
  <c r="B1211" i="3"/>
  <c r="C1211" i="3"/>
  <c r="B1212" i="3"/>
  <c r="C1212" i="3"/>
  <c r="B1213" i="3"/>
  <c r="C1213" i="3"/>
  <c r="B1214" i="3"/>
  <c r="C1214" i="3"/>
  <c r="B1215" i="3"/>
  <c r="C1215" i="3"/>
  <c r="B1216" i="3"/>
  <c r="C1216" i="3"/>
  <c r="B1217" i="3"/>
  <c r="C1217" i="3"/>
  <c r="B1362" i="3"/>
  <c r="C1362" i="3"/>
  <c r="B1363" i="3"/>
  <c r="C1363" i="3"/>
  <c r="B1364" i="3"/>
  <c r="C1364" i="3"/>
  <c r="B1365" i="3"/>
  <c r="C1365" i="3"/>
  <c r="B1366" i="3"/>
  <c r="C1366" i="3"/>
  <c r="B1367" i="3"/>
  <c r="C1367" i="3"/>
  <c r="B1368" i="3"/>
  <c r="C1368" i="3"/>
  <c r="B1369" i="3"/>
  <c r="C1369" i="3"/>
  <c r="B1994" i="3"/>
  <c r="C1994" i="3"/>
  <c r="B1995" i="3"/>
  <c r="C1995" i="3"/>
  <c r="B1996" i="3"/>
  <c r="C1996" i="3"/>
  <c r="B1997" i="3"/>
  <c r="C1997" i="3"/>
  <c r="B1998" i="3"/>
  <c r="C1998" i="3"/>
  <c r="B1999" i="3"/>
  <c r="C1999" i="3"/>
  <c r="B2000" i="3"/>
  <c r="C2000" i="3"/>
  <c r="B2001" i="3"/>
  <c r="C2001" i="3"/>
  <c r="B2210" i="3"/>
  <c r="C2210" i="3"/>
  <c r="B2211" i="3"/>
  <c r="C2211" i="3"/>
  <c r="B2212" i="3"/>
  <c r="C2212" i="3"/>
  <c r="B2213" i="3"/>
  <c r="C2213" i="3"/>
  <c r="B2214" i="3"/>
  <c r="C2214" i="3"/>
  <c r="B2215" i="3"/>
  <c r="C2215" i="3"/>
  <c r="B2216" i="3"/>
  <c r="C2216" i="3"/>
  <c r="B2217" i="3"/>
  <c r="C2217" i="3"/>
  <c r="B2234" i="3"/>
  <c r="C2234" i="3"/>
  <c r="B2235" i="3"/>
  <c r="C2235" i="3"/>
  <c r="B2236" i="3"/>
  <c r="C2236" i="3"/>
  <c r="B2237" i="3"/>
  <c r="C2237" i="3"/>
  <c r="B2238" i="3"/>
  <c r="C2238" i="3"/>
  <c r="B2239" i="3"/>
  <c r="C2239" i="3"/>
  <c r="B2240" i="3"/>
  <c r="C2240" i="3"/>
  <c r="B2241" i="3"/>
  <c r="C2241" i="3"/>
  <c r="B1138" i="3"/>
  <c r="C1138" i="3"/>
  <c r="B1139" i="3"/>
  <c r="C1139" i="3"/>
  <c r="B1140" i="3"/>
  <c r="C1140" i="3"/>
  <c r="B1141" i="3"/>
  <c r="C1141" i="3"/>
  <c r="B1142" i="3"/>
  <c r="C1142" i="3"/>
  <c r="B1143" i="3"/>
  <c r="C1143" i="3"/>
  <c r="B1144" i="3"/>
  <c r="C1144" i="3"/>
  <c r="B1145" i="3"/>
  <c r="C1145" i="3"/>
  <c r="B1418" i="3"/>
  <c r="C1418" i="3"/>
  <c r="B1419" i="3"/>
  <c r="C1419" i="3"/>
  <c r="B1420" i="3"/>
  <c r="C1420" i="3"/>
  <c r="B1421" i="3"/>
  <c r="C1421" i="3"/>
  <c r="B1422" i="3"/>
  <c r="C1422" i="3"/>
  <c r="B1423" i="3"/>
  <c r="C1423" i="3"/>
  <c r="B1424" i="3"/>
  <c r="C1424" i="3"/>
  <c r="B1425" i="3"/>
  <c r="C1425" i="3"/>
  <c r="B1538" i="3"/>
  <c r="C1538" i="3"/>
  <c r="B1539" i="3"/>
  <c r="C1539" i="3"/>
  <c r="B1540" i="3"/>
  <c r="C1540" i="3"/>
  <c r="B1541" i="3"/>
  <c r="C1541" i="3"/>
  <c r="B1542" i="3"/>
  <c r="C1542" i="3"/>
  <c r="B1543" i="3"/>
  <c r="C1543" i="3"/>
  <c r="B1544" i="3"/>
  <c r="C1544" i="3"/>
  <c r="B1545" i="3"/>
  <c r="C1545" i="3"/>
  <c r="B2186" i="3"/>
  <c r="C2186" i="3"/>
  <c r="B2187" i="3"/>
  <c r="C2187" i="3"/>
  <c r="B2188" i="3"/>
  <c r="C2188" i="3"/>
  <c r="B2189" i="3"/>
  <c r="C2189" i="3"/>
  <c r="B2190" i="3"/>
  <c r="C2190" i="3"/>
  <c r="B2191" i="3"/>
  <c r="C2191" i="3"/>
  <c r="B2192" i="3"/>
  <c r="C2192" i="3"/>
  <c r="B2193" i="3"/>
  <c r="C2193" i="3"/>
  <c r="B2498" i="3"/>
  <c r="C2498" i="3"/>
  <c r="B2499" i="3"/>
  <c r="C2499" i="3"/>
  <c r="B2500" i="3"/>
  <c r="C2500" i="3"/>
  <c r="B2501" i="3"/>
  <c r="C2501" i="3"/>
  <c r="B2502" i="3"/>
  <c r="C2502" i="3"/>
  <c r="B2503" i="3"/>
  <c r="C2503" i="3"/>
  <c r="B2504" i="3"/>
  <c r="C2504" i="3"/>
  <c r="B2505" i="3"/>
  <c r="C2505" i="3"/>
  <c r="B2930" i="3"/>
  <c r="C2930" i="3"/>
  <c r="B2931" i="3"/>
  <c r="C2931" i="3"/>
  <c r="B2932" i="3"/>
  <c r="C2932" i="3"/>
  <c r="B2933" i="3"/>
  <c r="C2933" i="3"/>
  <c r="B2934" i="3"/>
  <c r="C2934" i="3"/>
  <c r="B2935" i="3"/>
  <c r="C2935" i="3"/>
  <c r="B2936" i="3"/>
  <c r="C2936" i="3"/>
  <c r="B2937" i="3"/>
  <c r="C2937" i="3"/>
  <c r="B2954" i="3"/>
  <c r="C2954" i="3"/>
  <c r="B2955" i="3"/>
  <c r="C2955" i="3"/>
  <c r="B2956" i="3"/>
  <c r="C2956" i="3"/>
  <c r="B2957" i="3"/>
  <c r="C2957" i="3"/>
  <c r="B2958" i="3"/>
  <c r="C2958" i="3"/>
  <c r="B2959" i="3"/>
  <c r="C2959" i="3"/>
  <c r="B2960" i="3"/>
  <c r="C2960" i="3"/>
  <c r="B2961" i="3"/>
  <c r="C2961" i="3"/>
  <c r="B2" i="3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994" i="3"/>
  <c r="C994" i="3"/>
  <c r="B995" i="3"/>
  <c r="C995" i="3"/>
  <c r="B996" i="3"/>
  <c r="C996" i="3"/>
  <c r="B997" i="3"/>
  <c r="C997" i="3"/>
  <c r="B998" i="3"/>
  <c r="C998" i="3"/>
  <c r="B999" i="3"/>
  <c r="C999" i="3"/>
  <c r="B1000" i="3"/>
  <c r="C1000" i="3"/>
  <c r="B1001" i="3"/>
  <c r="C1001" i="3"/>
  <c r="B2074" i="3"/>
  <c r="C2074" i="3"/>
  <c r="B2075" i="3"/>
  <c r="C2075" i="3"/>
  <c r="B2076" i="3"/>
  <c r="C2076" i="3"/>
  <c r="B2077" i="3"/>
  <c r="C2077" i="3"/>
  <c r="B2078" i="3"/>
  <c r="C2078" i="3"/>
  <c r="B2079" i="3"/>
  <c r="C2079" i="3"/>
  <c r="B2080" i="3"/>
  <c r="C2080" i="3"/>
  <c r="B2081" i="3"/>
  <c r="C2081" i="3"/>
  <c r="B2082" i="3"/>
  <c r="C2082" i="3"/>
  <c r="B2083" i="3"/>
  <c r="C2083" i="3"/>
  <c r="B2084" i="3"/>
  <c r="C2084" i="3"/>
  <c r="B2085" i="3"/>
  <c r="C2085" i="3"/>
  <c r="B2086" i="3"/>
  <c r="C2086" i="3"/>
  <c r="B2087" i="3"/>
  <c r="C2087" i="3"/>
  <c r="B2088" i="3"/>
  <c r="C2088" i="3"/>
  <c r="B2089" i="3"/>
  <c r="C2089" i="3"/>
  <c r="B2258" i="3"/>
  <c r="C2258" i="3"/>
  <c r="B2259" i="3"/>
  <c r="C2259" i="3"/>
  <c r="B2260" i="3"/>
  <c r="C2260" i="3"/>
  <c r="B2261" i="3"/>
  <c r="C2261" i="3"/>
  <c r="B2262" i="3"/>
  <c r="C2262" i="3"/>
  <c r="B2263" i="3"/>
  <c r="C2263" i="3"/>
  <c r="B2264" i="3"/>
  <c r="C2264" i="3"/>
  <c r="B2265" i="3"/>
  <c r="C2265" i="3"/>
  <c r="B2826" i="3"/>
  <c r="C2826" i="3"/>
  <c r="B2827" i="3"/>
  <c r="C2827" i="3"/>
  <c r="B2828" i="3"/>
  <c r="C2828" i="3"/>
  <c r="B2829" i="3"/>
  <c r="C2829" i="3"/>
  <c r="B2830" i="3"/>
  <c r="C2830" i="3"/>
  <c r="B2831" i="3"/>
  <c r="C2831" i="3"/>
  <c r="B2832" i="3"/>
  <c r="C2832" i="3"/>
  <c r="B2833" i="3"/>
  <c r="C2833" i="3"/>
  <c r="B3114" i="3"/>
  <c r="C3114" i="3"/>
  <c r="B3115" i="3"/>
  <c r="C3115" i="3"/>
  <c r="B3116" i="3"/>
  <c r="C3116" i="3"/>
  <c r="B3117" i="3"/>
  <c r="C3117" i="3"/>
  <c r="B3118" i="3"/>
  <c r="C3118" i="3"/>
  <c r="B3119" i="3"/>
  <c r="C3119" i="3"/>
  <c r="B3120" i="3"/>
  <c r="C3120" i="3"/>
  <c r="B3121" i="3"/>
  <c r="C312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1146" i="3"/>
  <c r="C1146" i="3"/>
  <c r="B1147" i="3"/>
  <c r="C1147" i="3"/>
  <c r="B1148" i="3"/>
  <c r="C1148" i="3"/>
  <c r="B1149" i="3"/>
  <c r="C1149" i="3"/>
  <c r="B1150" i="3"/>
  <c r="C1150" i="3"/>
  <c r="B1151" i="3"/>
  <c r="C1151" i="3"/>
  <c r="B1152" i="3"/>
  <c r="C1152" i="3"/>
  <c r="B1153" i="3"/>
  <c r="C1153" i="3"/>
  <c r="B1642" i="3"/>
  <c r="C1642" i="3"/>
  <c r="B1643" i="3"/>
  <c r="C1643" i="3"/>
  <c r="B1644" i="3"/>
  <c r="C1644" i="3"/>
  <c r="B1645" i="3"/>
  <c r="C1645" i="3"/>
  <c r="B1646" i="3"/>
  <c r="C1646" i="3"/>
  <c r="B1647" i="3"/>
  <c r="C1647" i="3"/>
  <c r="B1648" i="3"/>
  <c r="C1648" i="3"/>
  <c r="B1649" i="3"/>
  <c r="C1649" i="3"/>
  <c r="B2106" i="3"/>
  <c r="C2106" i="3"/>
  <c r="B2107" i="3"/>
  <c r="C2107" i="3"/>
  <c r="B2108" i="3"/>
  <c r="C2108" i="3"/>
  <c r="B2109" i="3"/>
  <c r="C2109" i="3"/>
  <c r="B2110" i="3"/>
  <c r="C2110" i="3"/>
  <c r="B2111" i="3"/>
  <c r="C2111" i="3"/>
  <c r="B2112" i="3"/>
  <c r="C2112" i="3"/>
  <c r="B2113" i="3"/>
  <c r="C2113" i="3"/>
  <c r="B2778" i="3"/>
  <c r="C2778" i="3"/>
  <c r="B2779" i="3"/>
  <c r="C2779" i="3"/>
  <c r="B2780" i="3"/>
  <c r="C2780" i="3"/>
  <c r="B2781" i="3"/>
  <c r="C2781" i="3"/>
  <c r="B2782" i="3"/>
  <c r="C2782" i="3"/>
  <c r="B2783" i="3"/>
  <c r="C2783" i="3"/>
  <c r="B2784" i="3"/>
  <c r="C2784" i="3"/>
  <c r="B2785" i="3"/>
  <c r="C2785" i="3"/>
  <c r="B3106" i="3"/>
  <c r="C3106" i="3"/>
  <c r="B3107" i="3"/>
  <c r="C3107" i="3"/>
  <c r="B3108" i="3"/>
  <c r="C3108" i="3"/>
  <c r="B3109" i="3"/>
  <c r="C3109" i="3"/>
  <c r="B3110" i="3"/>
  <c r="C3110" i="3"/>
  <c r="B3111" i="3"/>
  <c r="C3111" i="3"/>
  <c r="B3112" i="3"/>
  <c r="C3112" i="3"/>
  <c r="B3113" i="3"/>
  <c r="C3113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2130" i="3"/>
  <c r="C2130" i="3"/>
  <c r="B2131" i="3"/>
  <c r="C2131" i="3"/>
  <c r="B2132" i="3"/>
  <c r="C2132" i="3"/>
  <c r="B2133" i="3"/>
  <c r="C2133" i="3"/>
  <c r="B2134" i="3"/>
  <c r="C2134" i="3"/>
  <c r="B2135" i="3"/>
  <c r="C2135" i="3"/>
  <c r="B2136" i="3"/>
  <c r="C2136" i="3"/>
  <c r="B2137" i="3"/>
  <c r="C2137" i="3"/>
  <c r="B2170" i="3"/>
  <c r="C2170" i="3"/>
  <c r="B2171" i="3"/>
  <c r="C2171" i="3"/>
  <c r="B2172" i="3"/>
  <c r="C2172" i="3"/>
  <c r="B2173" i="3"/>
  <c r="C2173" i="3"/>
  <c r="B2174" i="3"/>
  <c r="C2174" i="3"/>
  <c r="B2175" i="3"/>
  <c r="C2175" i="3"/>
  <c r="B2176" i="3"/>
  <c r="C2176" i="3"/>
  <c r="B2177" i="3"/>
  <c r="C2177" i="3"/>
  <c r="B2322" i="3"/>
  <c r="C2322" i="3"/>
  <c r="B2323" i="3"/>
  <c r="C2323" i="3"/>
  <c r="B2324" i="3"/>
  <c r="C2324" i="3"/>
  <c r="B2325" i="3"/>
  <c r="C2325" i="3"/>
  <c r="B2326" i="3"/>
  <c r="C2326" i="3"/>
  <c r="B2327" i="3"/>
  <c r="C2327" i="3"/>
  <c r="B2328" i="3"/>
  <c r="C2328" i="3"/>
  <c r="B2329" i="3"/>
  <c r="C2329" i="3"/>
  <c r="B2810" i="3"/>
  <c r="C2810" i="3"/>
  <c r="B2811" i="3"/>
  <c r="C2811" i="3"/>
  <c r="B2812" i="3"/>
  <c r="C2812" i="3"/>
  <c r="B2813" i="3"/>
  <c r="C2813" i="3"/>
  <c r="B2814" i="3"/>
  <c r="C2814" i="3"/>
  <c r="B2815" i="3"/>
  <c r="C2815" i="3"/>
  <c r="B2816" i="3"/>
  <c r="C2816" i="3"/>
  <c r="B2817" i="3"/>
  <c r="C2817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1058" i="3"/>
  <c r="C1058" i="3"/>
  <c r="B1059" i="3"/>
  <c r="C1059" i="3"/>
  <c r="B1060" i="3"/>
  <c r="C1060" i="3"/>
  <c r="B1061" i="3"/>
  <c r="C1061" i="3"/>
  <c r="B1062" i="3"/>
  <c r="C1062" i="3"/>
  <c r="B1063" i="3"/>
  <c r="C1063" i="3"/>
  <c r="B1064" i="3"/>
  <c r="C1064" i="3"/>
  <c r="B1065" i="3"/>
  <c r="C1065" i="3"/>
  <c r="B1122" i="3"/>
  <c r="C1122" i="3"/>
  <c r="B1123" i="3"/>
  <c r="C1123" i="3"/>
  <c r="B1124" i="3"/>
  <c r="C1124" i="3"/>
  <c r="B1125" i="3"/>
  <c r="C1125" i="3"/>
  <c r="B1126" i="3"/>
  <c r="C1126" i="3"/>
  <c r="B1127" i="3"/>
  <c r="C1127" i="3"/>
  <c r="B1128" i="3"/>
  <c r="C1128" i="3"/>
  <c r="B1129" i="3"/>
  <c r="C1129" i="3"/>
  <c r="B1266" i="3"/>
  <c r="C1266" i="3"/>
  <c r="B1267" i="3"/>
  <c r="C1267" i="3"/>
  <c r="B1268" i="3"/>
  <c r="C1268" i="3"/>
  <c r="B1269" i="3"/>
  <c r="C1269" i="3"/>
  <c r="B1270" i="3"/>
  <c r="C1270" i="3"/>
  <c r="B1271" i="3"/>
  <c r="C1271" i="3"/>
  <c r="B1272" i="3"/>
  <c r="C1272" i="3"/>
  <c r="B1273" i="3"/>
  <c r="C1273" i="3"/>
  <c r="B1338" i="3"/>
  <c r="C1338" i="3"/>
  <c r="B1339" i="3"/>
  <c r="C1339" i="3"/>
  <c r="B1340" i="3"/>
  <c r="C1340" i="3"/>
  <c r="B1341" i="3"/>
  <c r="C1341" i="3"/>
  <c r="B1342" i="3"/>
  <c r="C1342" i="3"/>
  <c r="B1343" i="3"/>
  <c r="C1343" i="3"/>
  <c r="B1344" i="3"/>
  <c r="C1344" i="3"/>
  <c r="B1345" i="3"/>
  <c r="C1345" i="3"/>
  <c r="B1346" i="3"/>
  <c r="C1346" i="3"/>
  <c r="B1347" i="3"/>
  <c r="C1347" i="3"/>
  <c r="B1348" i="3"/>
  <c r="C1348" i="3"/>
  <c r="B1349" i="3"/>
  <c r="C1349" i="3"/>
  <c r="B1350" i="3"/>
  <c r="C1350" i="3"/>
  <c r="B1351" i="3"/>
  <c r="C1351" i="3"/>
  <c r="B1352" i="3"/>
  <c r="C1352" i="3"/>
  <c r="B1353" i="3"/>
  <c r="C1353" i="3"/>
  <c r="B1386" i="3"/>
  <c r="C1386" i="3"/>
  <c r="B1387" i="3"/>
  <c r="C1387" i="3"/>
  <c r="B1388" i="3"/>
  <c r="C1388" i="3"/>
  <c r="B1389" i="3"/>
  <c r="C1389" i="3"/>
  <c r="B1390" i="3"/>
  <c r="C1390" i="3"/>
  <c r="B1391" i="3"/>
  <c r="C1391" i="3"/>
  <c r="B1392" i="3"/>
  <c r="C1392" i="3"/>
  <c r="B1393" i="3"/>
  <c r="C1393" i="3"/>
  <c r="B1434" i="3"/>
  <c r="C1434" i="3"/>
  <c r="B1435" i="3"/>
  <c r="C1435" i="3"/>
  <c r="B1436" i="3"/>
  <c r="C1436" i="3"/>
  <c r="B1437" i="3"/>
  <c r="C1437" i="3"/>
  <c r="B1438" i="3"/>
  <c r="C1438" i="3"/>
  <c r="B1439" i="3"/>
  <c r="C1439" i="3"/>
  <c r="B1440" i="3"/>
  <c r="C1440" i="3"/>
  <c r="B1441" i="3"/>
  <c r="C1441" i="3"/>
  <c r="B1442" i="3"/>
  <c r="C1442" i="3"/>
  <c r="B1443" i="3"/>
  <c r="C1443" i="3"/>
  <c r="B1444" i="3"/>
  <c r="C1444" i="3"/>
  <c r="B1445" i="3"/>
  <c r="C1445" i="3"/>
  <c r="B1446" i="3"/>
  <c r="C1446" i="3"/>
  <c r="B1447" i="3"/>
  <c r="C1447" i="3"/>
  <c r="B1448" i="3"/>
  <c r="C1448" i="3"/>
  <c r="B1449" i="3"/>
  <c r="C1449" i="3"/>
  <c r="B2146" i="3"/>
  <c r="C2146" i="3"/>
  <c r="B2147" i="3"/>
  <c r="C2147" i="3"/>
  <c r="B2148" i="3"/>
  <c r="C2148" i="3"/>
  <c r="B2149" i="3"/>
  <c r="C2149" i="3"/>
  <c r="B2150" i="3"/>
  <c r="C2150" i="3"/>
  <c r="B2151" i="3"/>
  <c r="C2151" i="3"/>
  <c r="B2152" i="3"/>
  <c r="C2152" i="3"/>
  <c r="B2153" i="3"/>
  <c r="C2153" i="3"/>
  <c r="B2314" i="3"/>
  <c r="C2314" i="3"/>
  <c r="B2315" i="3"/>
  <c r="C2315" i="3"/>
  <c r="B2316" i="3"/>
  <c r="C2316" i="3"/>
  <c r="B2317" i="3"/>
  <c r="C2317" i="3"/>
  <c r="B2318" i="3"/>
  <c r="C2318" i="3"/>
  <c r="B2319" i="3"/>
  <c r="C2319" i="3"/>
  <c r="B2320" i="3"/>
  <c r="C2320" i="3"/>
  <c r="B2321" i="3"/>
  <c r="C2321" i="3"/>
  <c r="B2434" i="3"/>
  <c r="C2434" i="3"/>
  <c r="B2435" i="3"/>
  <c r="C2435" i="3"/>
  <c r="B2436" i="3"/>
  <c r="C2436" i="3"/>
  <c r="B2437" i="3"/>
  <c r="C2437" i="3"/>
  <c r="B2438" i="3"/>
  <c r="C2438" i="3"/>
  <c r="B2439" i="3"/>
  <c r="C2439" i="3"/>
  <c r="B2440" i="3"/>
  <c r="C2440" i="3"/>
  <c r="B2441" i="3"/>
  <c r="C2441" i="3"/>
  <c r="B2442" i="3"/>
  <c r="C2442" i="3"/>
  <c r="B2443" i="3"/>
  <c r="C2443" i="3"/>
  <c r="B2444" i="3"/>
  <c r="C2444" i="3"/>
  <c r="B2445" i="3"/>
  <c r="C2445" i="3"/>
  <c r="B2446" i="3"/>
  <c r="C2446" i="3"/>
  <c r="B2447" i="3"/>
  <c r="C2447" i="3"/>
  <c r="B2448" i="3"/>
  <c r="C2448" i="3"/>
  <c r="B2449" i="3"/>
  <c r="C2449" i="3"/>
  <c r="B2546" i="3"/>
  <c r="C2546" i="3"/>
  <c r="B2547" i="3"/>
  <c r="C2547" i="3"/>
  <c r="B2548" i="3"/>
  <c r="C2548" i="3"/>
  <c r="B2549" i="3"/>
  <c r="C2549" i="3"/>
  <c r="B2550" i="3"/>
  <c r="C2550" i="3"/>
  <c r="B2551" i="3"/>
  <c r="C2551" i="3"/>
  <c r="B2552" i="3"/>
  <c r="C2552" i="3"/>
  <c r="B2553" i="3"/>
  <c r="C2553" i="3"/>
  <c r="B2562" i="3"/>
  <c r="C2562" i="3"/>
  <c r="B2563" i="3"/>
  <c r="C2563" i="3"/>
  <c r="B2564" i="3"/>
  <c r="C2564" i="3"/>
  <c r="B2565" i="3"/>
  <c r="C2565" i="3"/>
  <c r="B2566" i="3"/>
  <c r="C2566" i="3"/>
  <c r="B2567" i="3"/>
  <c r="C2567" i="3"/>
  <c r="B2568" i="3"/>
  <c r="C2568" i="3"/>
  <c r="B2569" i="3"/>
  <c r="C2569" i="3"/>
  <c r="B2674" i="3"/>
  <c r="C2674" i="3"/>
  <c r="B2675" i="3"/>
  <c r="C2675" i="3"/>
  <c r="B2676" i="3"/>
  <c r="C2676" i="3"/>
  <c r="B2677" i="3"/>
  <c r="C2677" i="3"/>
  <c r="B2678" i="3"/>
  <c r="C2678" i="3"/>
  <c r="B2679" i="3"/>
  <c r="C2679" i="3"/>
  <c r="B2680" i="3"/>
  <c r="C2680" i="3"/>
  <c r="B2681" i="3"/>
  <c r="C2681" i="3"/>
  <c r="B2682" i="3"/>
  <c r="C2682" i="3"/>
  <c r="B2683" i="3"/>
  <c r="C2683" i="3"/>
  <c r="B2684" i="3"/>
  <c r="C2684" i="3"/>
  <c r="B2685" i="3"/>
  <c r="C2685" i="3"/>
  <c r="B2686" i="3"/>
  <c r="C2686" i="3"/>
  <c r="B2687" i="3"/>
  <c r="C2687" i="3"/>
  <c r="B2688" i="3"/>
  <c r="C2688" i="3"/>
  <c r="B2689" i="3"/>
  <c r="C2689" i="3"/>
  <c r="B2794" i="3"/>
  <c r="C2794" i="3"/>
  <c r="B2795" i="3"/>
  <c r="C2795" i="3"/>
  <c r="B2796" i="3"/>
  <c r="C2796" i="3"/>
  <c r="B2797" i="3"/>
  <c r="C2797" i="3"/>
  <c r="B2798" i="3"/>
  <c r="C2798" i="3"/>
  <c r="B2799" i="3"/>
  <c r="C2799" i="3"/>
  <c r="B2800" i="3"/>
  <c r="C2800" i="3"/>
  <c r="B2801" i="3"/>
  <c r="C2801" i="3"/>
  <c r="B2938" i="3"/>
  <c r="C2938" i="3"/>
  <c r="B2939" i="3"/>
  <c r="C2939" i="3"/>
  <c r="B2940" i="3"/>
  <c r="C2940" i="3"/>
  <c r="B2941" i="3"/>
  <c r="C2941" i="3"/>
  <c r="B2942" i="3"/>
  <c r="C2942" i="3"/>
  <c r="B2943" i="3"/>
  <c r="C2943" i="3"/>
  <c r="B2944" i="3"/>
  <c r="C2944" i="3"/>
  <c r="B2945" i="3"/>
  <c r="C2945" i="3"/>
  <c r="B3050" i="3"/>
  <c r="C3050" i="3"/>
  <c r="B3051" i="3"/>
  <c r="C3051" i="3"/>
  <c r="B3052" i="3"/>
  <c r="C3052" i="3"/>
  <c r="B3053" i="3"/>
  <c r="C3053" i="3"/>
  <c r="B3054" i="3"/>
  <c r="C3054" i="3"/>
  <c r="B3055" i="3"/>
  <c r="C3055" i="3"/>
  <c r="B3056" i="3"/>
  <c r="C3056" i="3"/>
  <c r="B3057" i="3"/>
  <c r="C3057" i="3"/>
  <c r="B3178" i="3"/>
  <c r="C3178" i="3"/>
  <c r="B3179" i="3"/>
  <c r="C3179" i="3"/>
  <c r="B3180" i="3"/>
  <c r="C3180" i="3"/>
  <c r="B3181" i="3"/>
  <c r="C3181" i="3"/>
  <c r="B3182" i="3"/>
  <c r="C3182" i="3"/>
  <c r="B3183" i="3"/>
  <c r="C3183" i="3"/>
  <c r="B3184" i="3"/>
  <c r="C3184" i="3"/>
  <c r="B3185" i="3"/>
  <c r="C3185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1098" i="3"/>
  <c r="C1098" i="3"/>
  <c r="B1099" i="3"/>
  <c r="C1099" i="3"/>
  <c r="B1100" i="3"/>
  <c r="C1100" i="3"/>
  <c r="B1101" i="3"/>
  <c r="C1101" i="3"/>
  <c r="B1102" i="3"/>
  <c r="C1102" i="3"/>
  <c r="B1103" i="3"/>
  <c r="C1103" i="3"/>
  <c r="B1104" i="3"/>
  <c r="C1104" i="3"/>
  <c r="B1105" i="3"/>
  <c r="C1105" i="3"/>
  <c r="B1106" i="3"/>
  <c r="C1106" i="3"/>
  <c r="B1107" i="3"/>
  <c r="C1107" i="3"/>
  <c r="B1108" i="3"/>
  <c r="C1108" i="3"/>
  <c r="B1109" i="3"/>
  <c r="C1109" i="3"/>
  <c r="B1110" i="3"/>
  <c r="C1110" i="3"/>
  <c r="B1111" i="3"/>
  <c r="C1111" i="3"/>
  <c r="B1112" i="3"/>
  <c r="C1112" i="3"/>
  <c r="B1113" i="3"/>
  <c r="C1113" i="3"/>
  <c r="B1738" i="3"/>
  <c r="C1738" i="3"/>
  <c r="B1739" i="3"/>
  <c r="C1739" i="3"/>
  <c r="B1740" i="3"/>
  <c r="C1740" i="3"/>
  <c r="B1741" i="3"/>
  <c r="C1741" i="3"/>
  <c r="B1742" i="3"/>
  <c r="C1742" i="3"/>
  <c r="B1743" i="3"/>
  <c r="C1743" i="3"/>
  <c r="B1744" i="3"/>
  <c r="C1744" i="3"/>
  <c r="B1745" i="3"/>
  <c r="C1745" i="3"/>
  <c r="B1810" i="3"/>
  <c r="C1810" i="3"/>
  <c r="B1811" i="3"/>
  <c r="C1811" i="3"/>
  <c r="B1812" i="3"/>
  <c r="C1812" i="3"/>
  <c r="B1813" i="3"/>
  <c r="C1813" i="3"/>
  <c r="B1814" i="3"/>
  <c r="C1814" i="3"/>
  <c r="B1815" i="3"/>
  <c r="C1815" i="3"/>
  <c r="B1816" i="3"/>
  <c r="C1816" i="3"/>
  <c r="B1817" i="3"/>
  <c r="C1817" i="3"/>
  <c r="B2034" i="3"/>
  <c r="C2034" i="3"/>
  <c r="B2035" i="3"/>
  <c r="C2035" i="3"/>
  <c r="B2036" i="3"/>
  <c r="C2036" i="3"/>
  <c r="B2037" i="3"/>
  <c r="C2037" i="3"/>
  <c r="B2038" i="3"/>
  <c r="C2038" i="3"/>
  <c r="B2039" i="3"/>
  <c r="C2039" i="3"/>
  <c r="B2040" i="3"/>
  <c r="C2040" i="3"/>
  <c r="B2041" i="3"/>
  <c r="C2041" i="3"/>
  <c r="B2218" i="3"/>
  <c r="C2218" i="3"/>
  <c r="B2219" i="3"/>
  <c r="C2219" i="3"/>
  <c r="B2220" i="3"/>
  <c r="C2220" i="3"/>
  <c r="B2221" i="3"/>
  <c r="C2221" i="3"/>
  <c r="B2222" i="3"/>
  <c r="C2222" i="3"/>
  <c r="B2223" i="3"/>
  <c r="C2223" i="3"/>
  <c r="B2224" i="3"/>
  <c r="C2224" i="3"/>
  <c r="B2225" i="3"/>
  <c r="C2225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914" i="3"/>
  <c r="C914" i="3"/>
  <c r="B915" i="3"/>
  <c r="C915" i="3"/>
  <c r="B916" i="3"/>
  <c r="C916" i="3"/>
  <c r="B917" i="3"/>
  <c r="C917" i="3"/>
  <c r="B918" i="3"/>
  <c r="C918" i="3"/>
  <c r="B919" i="3"/>
  <c r="C919" i="3"/>
  <c r="B920" i="3"/>
  <c r="C920" i="3"/>
  <c r="B921" i="3"/>
  <c r="C921" i="3"/>
  <c r="B1610" i="3"/>
  <c r="C1610" i="3"/>
  <c r="B1611" i="3"/>
  <c r="C1611" i="3"/>
  <c r="B1612" i="3"/>
  <c r="C1612" i="3"/>
  <c r="B1613" i="3"/>
  <c r="C1613" i="3"/>
  <c r="B1614" i="3"/>
  <c r="C1614" i="3"/>
  <c r="B1615" i="3"/>
  <c r="C1615" i="3"/>
  <c r="B1616" i="3"/>
  <c r="C1616" i="3"/>
  <c r="B1617" i="3"/>
  <c r="C1617" i="3"/>
  <c r="B2114" i="3"/>
  <c r="C2114" i="3"/>
  <c r="B2115" i="3"/>
  <c r="C2115" i="3"/>
  <c r="B2116" i="3"/>
  <c r="C2116" i="3"/>
  <c r="B2117" i="3"/>
  <c r="C2117" i="3"/>
  <c r="B2118" i="3"/>
  <c r="C2118" i="3"/>
  <c r="B2119" i="3"/>
  <c r="C2119" i="3"/>
  <c r="B2120" i="3"/>
  <c r="C2120" i="3"/>
  <c r="B2121" i="3"/>
  <c r="C2121" i="3"/>
  <c r="B2138" i="3"/>
  <c r="C2138" i="3"/>
  <c r="B2139" i="3"/>
  <c r="C2139" i="3"/>
  <c r="B2140" i="3"/>
  <c r="C2140" i="3"/>
  <c r="B2141" i="3"/>
  <c r="C2141" i="3"/>
  <c r="B2142" i="3"/>
  <c r="C2142" i="3"/>
  <c r="B2143" i="3"/>
  <c r="C2143" i="3"/>
  <c r="B2144" i="3"/>
  <c r="C2144" i="3"/>
  <c r="B2145" i="3"/>
  <c r="C2145" i="3"/>
  <c r="B2202" i="3"/>
  <c r="C2202" i="3"/>
  <c r="B2203" i="3"/>
  <c r="C2203" i="3"/>
  <c r="B2204" i="3"/>
  <c r="C2204" i="3"/>
  <c r="B2205" i="3"/>
  <c r="C2205" i="3"/>
  <c r="B2206" i="3"/>
  <c r="C2206" i="3"/>
  <c r="B2207" i="3"/>
  <c r="C2207" i="3"/>
  <c r="B2208" i="3"/>
  <c r="C2208" i="3"/>
  <c r="B2209" i="3"/>
  <c r="C2209" i="3"/>
  <c r="B2274" i="3"/>
  <c r="C2274" i="3"/>
  <c r="B2275" i="3"/>
  <c r="C2275" i="3"/>
  <c r="B2276" i="3"/>
  <c r="C2276" i="3"/>
  <c r="B2277" i="3"/>
  <c r="C2277" i="3"/>
  <c r="B2278" i="3"/>
  <c r="C2278" i="3"/>
  <c r="B2279" i="3"/>
  <c r="C2279" i="3"/>
  <c r="B2280" i="3"/>
  <c r="C2280" i="3"/>
  <c r="B2281" i="3"/>
  <c r="C2281" i="3"/>
  <c r="B2394" i="3"/>
  <c r="C2394" i="3"/>
  <c r="B2395" i="3"/>
  <c r="C2395" i="3"/>
  <c r="B2396" i="3"/>
  <c r="C2396" i="3"/>
  <c r="B2397" i="3"/>
  <c r="C2397" i="3"/>
  <c r="B2398" i="3"/>
  <c r="C2398" i="3"/>
  <c r="B2399" i="3"/>
  <c r="C2399" i="3"/>
  <c r="B2400" i="3"/>
  <c r="C2400" i="3"/>
  <c r="B2401" i="3"/>
  <c r="C2401" i="3"/>
  <c r="B2538" i="3"/>
  <c r="C2538" i="3"/>
  <c r="B2539" i="3"/>
  <c r="C2539" i="3"/>
  <c r="B2540" i="3"/>
  <c r="C2540" i="3"/>
  <c r="B2541" i="3"/>
  <c r="C2541" i="3"/>
  <c r="B2542" i="3"/>
  <c r="C2542" i="3"/>
  <c r="B2543" i="3"/>
  <c r="C2543" i="3"/>
  <c r="B2544" i="3"/>
  <c r="C2544" i="3"/>
  <c r="B2545" i="3"/>
  <c r="C2545" i="3"/>
  <c r="B2618" i="3"/>
  <c r="C2618" i="3"/>
  <c r="B2619" i="3"/>
  <c r="C2619" i="3"/>
  <c r="B2620" i="3"/>
  <c r="C2620" i="3"/>
  <c r="B2621" i="3"/>
  <c r="C2621" i="3"/>
  <c r="B2622" i="3"/>
  <c r="C2622" i="3"/>
  <c r="B2623" i="3"/>
  <c r="C2623" i="3"/>
  <c r="B2624" i="3"/>
  <c r="C2624" i="3"/>
  <c r="B2625" i="3"/>
  <c r="C2625" i="3"/>
  <c r="B2706" i="3"/>
  <c r="C2706" i="3"/>
  <c r="B2707" i="3"/>
  <c r="C2707" i="3"/>
  <c r="B2708" i="3"/>
  <c r="C2708" i="3"/>
  <c r="B2709" i="3"/>
  <c r="C2709" i="3"/>
  <c r="B2710" i="3"/>
  <c r="C2710" i="3"/>
  <c r="B2711" i="3"/>
  <c r="C2711" i="3"/>
  <c r="B2712" i="3"/>
  <c r="C2712" i="3"/>
  <c r="B2713" i="3"/>
  <c r="C2713" i="3"/>
  <c r="B1498" i="3"/>
  <c r="C1498" i="3"/>
  <c r="B1499" i="3"/>
  <c r="C1499" i="3"/>
  <c r="B1500" i="3"/>
  <c r="C1500" i="3"/>
  <c r="B1501" i="3"/>
  <c r="C1501" i="3"/>
  <c r="B1502" i="3"/>
  <c r="C1502" i="3"/>
  <c r="B1503" i="3"/>
  <c r="C1503" i="3"/>
  <c r="B1504" i="3"/>
  <c r="C1504" i="3"/>
  <c r="B1505" i="3"/>
  <c r="C1505" i="3"/>
  <c r="B1882" i="3"/>
  <c r="C1882" i="3"/>
  <c r="B1883" i="3"/>
  <c r="C1883" i="3"/>
  <c r="B1884" i="3"/>
  <c r="C1884" i="3"/>
  <c r="B1885" i="3"/>
  <c r="C1885" i="3"/>
  <c r="B1886" i="3"/>
  <c r="C1886" i="3"/>
  <c r="B1887" i="3"/>
  <c r="C1887" i="3"/>
  <c r="B1888" i="3"/>
  <c r="C1888" i="3"/>
  <c r="B1889" i="3"/>
  <c r="C1889" i="3"/>
  <c r="B1922" i="3"/>
  <c r="C1922" i="3"/>
  <c r="B1923" i="3"/>
  <c r="C1923" i="3"/>
  <c r="B1924" i="3"/>
  <c r="C1924" i="3"/>
  <c r="B1925" i="3"/>
  <c r="C1925" i="3"/>
  <c r="B1926" i="3"/>
  <c r="C1926" i="3"/>
  <c r="B1927" i="3"/>
  <c r="C1927" i="3"/>
  <c r="B1928" i="3"/>
  <c r="C1928" i="3"/>
  <c r="B1929" i="3"/>
  <c r="C1929" i="3"/>
  <c r="B2698" i="3"/>
  <c r="C2698" i="3"/>
  <c r="B2699" i="3"/>
  <c r="C2699" i="3"/>
  <c r="B2700" i="3"/>
  <c r="C2700" i="3"/>
  <c r="B2701" i="3"/>
  <c r="C2701" i="3"/>
  <c r="B2702" i="3"/>
  <c r="C2702" i="3"/>
  <c r="B2703" i="3"/>
  <c r="C2703" i="3"/>
  <c r="B2704" i="3"/>
  <c r="C2704" i="3"/>
  <c r="B2705" i="3"/>
  <c r="C2705" i="3"/>
  <c r="B2730" i="3"/>
  <c r="C2730" i="3"/>
  <c r="B2731" i="3"/>
  <c r="C2731" i="3"/>
  <c r="B2732" i="3"/>
  <c r="C2732" i="3"/>
  <c r="B2733" i="3"/>
  <c r="C2733" i="3"/>
  <c r="B2734" i="3"/>
  <c r="C2734" i="3"/>
  <c r="B2735" i="3"/>
  <c r="C2735" i="3"/>
  <c r="B2736" i="3"/>
  <c r="C2736" i="3"/>
  <c r="B2737" i="3"/>
  <c r="C2737" i="3"/>
  <c r="B2866" i="3"/>
  <c r="C2866" i="3"/>
  <c r="B2867" i="3"/>
  <c r="C2867" i="3"/>
  <c r="B2868" i="3"/>
  <c r="C2868" i="3"/>
  <c r="B2869" i="3"/>
  <c r="C2869" i="3"/>
  <c r="B2870" i="3"/>
  <c r="C2870" i="3"/>
  <c r="B2871" i="3"/>
  <c r="C2871" i="3"/>
  <c r="B2872" i="3"/>
  <c r="C2872" i="3"/>
  <c r="B2873" i="3"/>
  <c r="C2873" i="3"/>
  <c r="B2882" i="3"/>
  <c r="C2882" i="3"/>
  <c r="B2883" i="3"/>
  <c r="C2883" i="3"/>
  <c r="B2884" i="3"/>
  <c r="C2884" i="3"/>
  <c r="B2885" i="3"/>
  <c r="C2885" i="3"/>
  <c r="B2886" i="3"/>
  <c r="C2886" i="3"/>
  <c r="B2887" i="3"/>
  <c r="C2887" i="3"/>
  <c r="B2888" i="3"/>
  <c r="C2888" i="3"/>
  <c r="B2889" i="3"/>
  <c r="C2889" i="3"/>
  <c r="B2922" i="3"/>
  <c r="C2922" i="3"/>
  <c r="B2923" i="3"/>
  <c r="C2923" i="3"/>
  <c r="B2924" i="3"/>
  <c r="C2924" i="3"/>
  <c r="B2925" i="3"/>
  <c r="C2925" i="3"/>
  <c r="B2926" i="3"/>
  <c r="C2926" i="3"/>
  <c r="B2927" i="3"/>
  <c r="C2927" i="3"/>
  <c r="B2928" i="3"/>
  <c r="C2928" i="3"/>
  <c r="B2929" i="3"/>
  <c r="C2929" i="3"/>
  <c r="B3130" i="3"/>
  <c r="C3130" i="3"/>
  <c r="B3131" i="3"/>
  <c r="C3131" i="3"/>
  <c r="B3132" i="3"/>
  <c r="C3132" i="3"/>
  <c r="B3133" i="3"/>
  <c r="C3133" i="3"/>
  <c r="B3134" i="3"/>
  <c r="C3134" i="3"/>
  <c r="B3135" i="3"/>
  <c r="C3135" i="3"/>
  <c r="B3136" i="3"/>
  <c r="C3136" i="3"/>
  <c r="B3137" i="3"/>
  <c r="C3137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1194" i="3"/>
  <c r="C1194" i="3"/>
  <c r="B1195" i="3"/>
  <c r="C1195" i="3"/>
  <c r="B1196" i="3"/>
  <c r="C1196" i="3"/>
  <c r="B1197" i="3"/>
  <c r="C1197" i="3"/>
  <c r="B1198" i="3"/>
  <c r="C1198" i="3"/>
  <c r="B1199" i="3"/>
  <c r="C1199" i="3"/>
  <c r="B1200" i="3"/>
  <c r="C1200" i="3"/>
  <c r="B1201" i="3"/>
  <c r="C1201" i="3"/>
  <c r="B1522" i="3"/>
  <c r="C1522" i="3"/>
  <c r="B1523" i="3"/>
  <c r="C1523" i="3"/>
  <c r="B1524" i="3"/>
  <c r="C1524" i="3"/>
  <c r="B1525" i="3"/>
  <c r="C1525" i="3"/>
  <c r="B1526" i="3"/>
  <c r="C1526" i="3"/>
  <c r="B1527" i="3"/>
  <c r="C1527" i="3"/>
  <c r="B1528" i="3"/>
  <c r="C1528" i="3"/>
  <c r="B1529" i="3"/>
  <c r="C1529" i="3"/>
  <c r="B1898" i="3"/>
  <c r="C1898" i="3"/>
  <c r="B1899" i="3"/>
  <c r="C1899" i="3"/>
  <c r="B1900" i="3"/>
  <c r="C1900" i="3"/>
  <c r="B1901" i="3"/>
  <c r="C1901" i="3"/>
  <c r="B1902" i="3"/>
  <c r="C1902" i="3"/>
  <c r="B1903" i="3"/>
  <c r="C1903" i="3"/>
  <c r="B1904" i="3"/>
  <c r="C1904" i="3"/>
  <c r="B1905" i="3"/>
  <c r="C1905" i="3"/>
  <c r="B2050" i="3"/>
  <c r="C2050" i="3"/>
  <c r="B2051" i="3"/>
  <c r="C2051" i="3"/>
  <c r="B2052" i="3"/>
  <c r="C2052" i="3"/>
  <c r="B2053" i="3"/>
  <c r="C2053" i="3"/>
  <c r="B2054" i="3"/>
  <c r="C2054" i="3"/>
  <c r="B2055" i="3"/>
  <c r="C2055" i="3"/>
  <c r="B2056" i="3"/>
  <c r="C2056" i="3"/>
  <c r="B2057" i="3"/>
  <c r="C2057" i="3"/>
  <c r="B2610" i="3"/>
  <c r="C2610" i="3"/>
  <c r="B2611" i="3"/>
  <c r="C2611" i="3"/>
  <c r="B2612" i="3"/>
  <c r="C2612" i="3"/>
  <c r="B2613" i="3"/>
  <c r="C2613" i="3"/>
  <c r="B2614" i="3"/>
  <c r="C2614" i="3"/>
  <c r="B2615" i="3"/>
  <c r="C2615" i="3"/>
  <c r="B2616" i="3"/>
  <c r="C2616" i="3"/>
  <c r="B2617" i="3"/>
  <c r="C2617" i="3"/>
  <c r="B3010" i="3"/>
  <c r="C3010" i="3"/>
  <c r="B3011" i="3"/>
  <c r="C3011" i="3"/>
  <c r="B3012" i="3"/>
  <c r="C3012" i="3"/>
  <c r="B3013" i="3"/>
  <c r="C3013" i="3"/>
  <c r="B3014" i="3"/>
  <c r="C3014" i="3"/>
  <c r="B3015" i="3"/>
  <c r="C3015" i="3"/>
  <c r="B3016" i="3"/>
  <c r="C3016" i="3"/>
  <c r="B3017" i="3"/>
  <c r="C301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1594" i="3"/>
  <c r="C1594" i="3"/>
  <c r="B1595" i="3"/>
  <c r="C1595" i="3"/>
  <c r="B1596" i="3"/>
  <c r="C1596" i="3"/>
  <c r="B1597" i="3"/>
  <c r="C1597" i="3"/>
  <c r="B1598" i="3"/>
  <c r="C1598" i="3"/>
  <c r="B1599" i="3"/>
  <c r="C1599" i="3"/>
  <c r="B1600" i="3"/>
  <c r="C1600" i="3"/>
  <c r="B1601" i="3"/>
  <c r="C1601" i="3"/>
  <c r="B1650" i="3"/>
  <c r="C1650" i="3"/>
  <c r="B1651" i="3"/>
  <c r="C1651" i="3"/>
  <c r="B1652" i="3"/>
  <c r="C1652" i="3"/>
  <c r="B1653" i="3"/>
  <c r="C1653" i="3"/>
  <c r="B1654" i="3"/>
  <c r="C1654" i="3"/>
  <c r="B1655" i="3"/>
  <c r="C1655" i="3"/>
  <c r="B1656" i="3"/>
  <c r="C1656" i="3"/>
  <c r="B1657" i="3"/>
  <c r="C1657" i="3"/>
  <c r="B1682" i="3"/>
  <c r="C1682" i="3"/>
  <c r="B1683" i="3"/>
  <c r="C1683" i="3"/>
  <c r="B1684" i="3"/>
  <c r="C1684" i="3"/>
  <c r="B1685" i="3"/>
  <c r="C1685" i="3"/>
  <c r="B1686" i="3"/>
  <c r="C1686" i="3"/>
  <c r="B1687" i="3"/>
  <c r="C1687" i="3"/>
  <c r="B1688" i="3"/>
  <c r="C1688" i="3"/>
  <c r="B1689" i="3"/>
  <c r="C1689" i="3"/>
  <c r="B1818" i="3"/>
  <c r="C1818" i="3"/>
  <c r="B1819" i="3"/>
  <c r="C1819" i="3"/>
  <c r="B1820" i="3"/>
  <c r="C1820" i="3"/>
  <c r="B1821" i="3"/>
  <c r="C1821" i="3"/>
  <c r="B1822" i="3"/>
  <c r="C1822" i="3"/>
  <c r="B1823" i="3"/>
  <c r="C1823" i="3"/>
  <c r="B1824" i="3"/>
  <c r="C1824" i="3"/>
  <c r="B1825" i="3"/>
  <c r="C1825" i="3"/>
  <c r="B1826" i="3"/>
  <c r="C1826" i="3"/>
  <c r="B1827" i="3"/>
  <c r="C1827" i="3"/>
  <c r="B1828" i="3"/>
  <c r="C1828" i="3"/>
  <c r="B1829" i="3"/>
  <c r="C1829" i="3"/>
  <c r="B1830" i="3"/>
  <c r="C1830" i="3"/>
  <c r="B1831" i="3"/>
  <c r="C1831" i="3"/>
  <c r="B1832" i="3"/>
  <c r="C1832" i="3"/>
  <c r="B1833" i="3"/>
  <c r="C1833" i="3"/>
  <c r="B1866" i="3"/>
  <c r="C1866" i="3"/>
  <c r="B1867" i="3"/>
  <c r="C1867" i="3"/>
  <c r="B1868" i="3"/>
  <c r="C1868" i="3"/>
  <c r="B1869" i="3"/>
  <c r="C1869" i="3"/>
  <c r="B1870" i="3"/>
  <c r="C1870" i="3"/>
  <c r="B1871" i="3"/>
  <c r="C1871" i="3"/>
  <c r="B1872" i="3"/>
  <c r="C1872" i="3"/>
  <c r="B1873" i="3"/>
  <c r="C1873" i="3"/>
  <c r="B1978" i="3"/>
  <c r="C1978" i="3"/>
  <c r="B1979" i="3"/>
  <c r="C1979" i="3"/>
  <c r="B1980" i="3"/>
  <c r="C1980" i="3"/>
  <c r="B1981" i="3"/>
  <c r="C1981" i="3"/>
  <c r="B1982" i="3"/>
  <c r="C1982" i="3"/>
  <c r="B1983" i="3"/>
  <c r="C1983" i="3"/>
  <c r="B1984" i="3"/>
  <c r="C1984" i="3"/>
  <c r="B1985" i="3"/>
  <c r="C1985" i="3"/>
  <c r="B2602" i="3"/>
  <c r="C2602" i="3"/>
  <c r="B2603" i="3"/>
  <c r="C2603" i="3"/>
  <c r="B2604" i="3"/>
  <c r="C2604" i="3"/>
  <c r="B2605" i="3"/>
  <c r="C2605" i="3"/>
  <c r="B2606" i="3"/>
  <c r="C2606" i="3"/>
  <c r="B2607" i="3"/>
  <c r="C2607" i="3"/>
  <c r="B2608" i="3"/>
  <c r="C2608" i="3"/>
  <c r="B2609" i="3"/>
  <c r="C2609" i="3"/>
  <c r="B2890" i="3"/>
  <c r="C2890" i="3"/>
  <c r="B2891" i="3"/>
  <c r="C2891" i="3"/>
  <c r="B2892" i="3"/>
  <c r="C2892" i="3"/>
  <c r="B2893" i="3"/>
  <c r="C2893" i="3"/>
  <c r="B2894" i="3"/>
  <c r="C2894" i="3"/>
  <c r="B2895" i="3"/>
  <c r="C2895" i="3"/>
  <c r="B2896" i="3"/>
  <c r="C2896" i="3"/>
  <c r="B2897" i="3"/>
  <c r="C289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962" i="3"/>
  <c r="C962" i="3"/>
  <c r="B963" i="3"/>
  <c r="C963" i="3"/>
  <c r="B964" i="3"/>
  <c r="C964" i="3"/>
  <c r="B965" i="3"/>
  <c r="C965" i="3"/>
  <c r="B966" i="3"/>
  <c r="C966" i="3"/>
  <c r="B967" i="3"/>
  <c r="C967" i="3"/>
  <c r="B968" i="3"/>
  <c r="C968" i="3"/>
  <c r="B969" i="3"/>
  <c r="C969" i="3"/>
  <c r="B978" i="3"/>
  <c r="C978" i="3"/>
  <c r="B979" i="3"/>
  <c r="C979" i="3"/>
  <c r="B980" i="3"/>
  <c r="C980" i="3"/>
  <c r="B981" i="3"/>
  <c r="C981" i="3"/>
  <c r="B982" i="3"/>
  <c r="C982" i="3"/>
  <c r="B983" i="3"/>
  <c r="C983" i="3"/>
  <c r="B984" i="3"/>
  <c r="C984" i="3"/>
  <c r="B985" i="3"/>
  <c r="C985" i="3"/>
  <c r="B1034" i="3"/>
  <c r="C1034" i="3"/>
  <c r="B1035" i="3"/>
  <c r="C1035" i="3"/>
  <c r="B1036" i="3"/>
  <c r="C1036" i="3"/>
  <c r="B1037" i="3"/>
  <c r="C1037" i="3"/>
  <c r="B1038" i="3"/>
  <c r="C1038" i="3"/>
  <c r="B1039" i="3"/>
  <c r="C1039" i="3"/>
  <c r="B1040" i="3"/>
  <c r="C1040" i="3"/>
  <c r="B1041" i="3"/>
  <c r="C1041" i="3"/>
  <c r="B1162" i="3"/>
  <c r="C1162" i="3"/>
  <c r="B1163" i="3"/>
  <c r="C1163" i="3"/>
  <c r="B1164" i="3"/>
  <c r="C1164" i="3"/>
  <c r="B1165" i="3"/>
  <c r="C1165" i="3"/>
  <c r="B1166" i="3"/>
  <c r="C1166" i="3"/>
  <c r="B1167" i="3"/>
  <c r="C1167" i="3"/>
  <c r="B1168" i="3"/>
  <c r="C1168" i="3"/>
  <c r="B1169" i="3"/>
  <c r="C1169" i="3"/>
  <c r="B1226" i="3"/>
  <c r="C1226" i="3"/>
  <c r="B1227" i="3"/>
  <c r="C1227" i="3"/>
  <c r="B1228" i="3"/>
  <c r="C1228" i="3"/>
  <c r="B1229" i="3"/>
  <c r="C1229" i="3"/>
  <c r="B1230" i="3"/>
  <c r="C1230" i="3"/>
  <c r="B1231" i="3"/>
  <c r="C1231" i="3"/>
  <c r="B1232" i="3"/>
  <c r="C1232" i="3"/>
  <c r="B1233" i="3"/>
  <c r="C1233" i="3"/>
  <c r="B1258" i="3"/>
  <c r="C1258" i="3"/>
  <c r="B1259" i="3"/>
  <c r="C1259" i="3"/>
  <c r="B1260" i="3"/>
  <c r="C1260" i="3"/>
  <c r="B1261" i="3"/>
  <c r="C1261" i="3"/>
  <c r="B1262" i="3"/>
  <c r="C1262" i="3"/>
  <c r="B1263" i="3"/>
  <c r="C1263" i="3"/>
  <c r="B1264" i="3"/>
  <c r="C1264" i="3"/>
  <c r="B1265" i="3"/>
  <c r="C1265" i="3"/>
  <c r="B1426" i="3"/>
  <c r="C1426" i="3"/>
  <c r="B1427" i="3"/>
  <c r="C1427" i="3"/>
  <c r="B1428" i="3"/>
  <c r="C1428" i="3"/>
  <c r="B1429" i="3"/>
  <c r="C1429" i="3"/>
  <c r="B1430" i="3"/>
  <c r="C1430" i="3"/>
  <c r="B1431" i="3"/>
  <c r="C1431" i="3"/>
  <c r="B1432" i="3"/>
  <c r="C1432" i="3"/>
  <c r="B1433" i="3"/>
  <c r="C1433" i="3"/>
  <c r="B1514" i="3"/>
  <c r="C1514" i="3"/>
  <c r="B1515" i="3"/>
  <c r="C1515" i="3"/>
  <c r="B1516" i="3"/>
  <c r="C1516" i="3"/>
  <c r="B1517" i="3"/>
  <c r="C1517" i="3"/>
  <c r="B1518" i="3"/>
  <c r="C1518" i="3"/>
  <c r="B1519" i="3"/>
  <c r="C1519" i="3"/>
  <c r="B1520" i="3"/>
  <c r="C1520" i="3"/>
  <c r="B1521" i="3"/>
  <c r="C1521" i="3"/>
  <c r="B1634" i="3"/>
  <c r="C1634" i="3"/>
  <c r="B1635" i="3"/>
  <c r="C1635" i="3"/>
  <c r="B1636" i="3"/>
  <c r="C1636" i="3"/>
  <c r="B1637" i="3"/>
  <c r="C1637" i="3"/>
  <c r="B1638" i="3"/>
  <c r="C1638" i="3"/>
  <c r="B1639" i="3"/>
  <c r="C1639" i="3"/>
  <c r="B1640" i="3"/>
  <c r="C1640" i="3"/>
  <c r="B1641" i="3"/>
  <c r="C1641" i="3"/>
  <c r="B1698" i="3"/>
  <c r="C1698" i="3"/>
  <c r="B1699" i="3"/>
  <c r="C1699" i="3"/>
  <c r="B1700" i="3"/>
  <c r="C1700" i="3"/>
  <c r="B1701" i="3"/>
  <c r="C1701" i="3"/>
  <c r="B1702" i="3"/>
  <c r="C1702" i="3"/>
  <c r="B1703" i="3"/>
  <c r="C1703" i="3"/>
  <c r="B1704" i="3"/>
  <c r="C1704" i="3"/>
  <c r="B1705" i="3"/>
  <c r="C1705" i="3"/>
  <c r="B1730" i="3"/>
  <c r="C1730" i="3"/>
  <c r="B1731" i="3"/>
  <c r="C1731" i="3"/>
  <c r="B1732" i="3"/>
  <c r="C1732" i="3"/>
  <c r="B1733" i="3"/>
  <c r="C1733" i="3"/>
  <c r="B1734" i="3"/>
  <c r="C1734" i="3"/>
  <c r="B1735" i="3"/>
  <c r="C1735" i="3"/>
  <c r="B1736" i="3"/>
  <c r="C1736" i="3"/>
  <c r="B1737" i="3"/>
  <c r="C1737" i="3"/>
  <c r="B1762" i="3"/>
  <c r="C1762" i="3"/>
  <c r="B1763" i="3"/>
  <c r="C1763" i="3"/>
  <c r="B1764" i="3"/>
  <c r="C1764" i="3"/>
  <c r="B1765" i="3"/>
  <c r="C1765" i="3"/>
  <c r="B1766" i="3"/>
  <c r="C1766" i="3"/>
  <c r="B1767" i="3"/>
  <c r="C1767" i="3"/>
  <c r="B1768" i="3"/>
  <c r="C1768" i="3"/>
  <c r="B1769" i="3"/>
  <c r="C1769" i="3"/>
  <c r="B1770" i="3"/>
  <c r="C1770" i="3"/>
  <c r="B1771" i="3"/>
  <c r="C1771" i="3"/>
  <c r="B1772" i="3"/>
  <c r="C1772" i="3"/>
  <c r="B1773" i="3"/>
  <c r="C1773" i="3"/>
  <c r="B1774" i="3"/>
  <c r="C1774" i="3"/>
  <c r="B1775" i="3"/>
  <c r="C1775" i="3"/>
  <c r="B1776" i="3"/>
  <c r="C1776" i="3"/>
  <c r="B1777" i="3"/>
  <c r="C1777" i="3"/>
  <c r="B1794" i="3"/>
  <c r="C1794" i="3"/>
  <c r="B1795" i="3"/>
  <c r="C1795" i="3"/>
  <c r="B1796" i="3"/>
  <c r="C1796" i="3"/>
  <c r="B1797" i="3"/>
  <c r="C1797" i="3"/>
  <c r="B1798" i="3"/>
  <c r="C1798" i="3"/>
  <c r="B1799" i="3"/>
  <c r="C1799" i="3"/>
  <c r="B1800" i="3"/>
  <c r="C1800" i="3"/>
  <c r="B1801" i="3"/>
  <c r="C1801" i="3"/>
  <c r="B1850" i="3"/>
  <c r="C1850" i="3"/>
  <c r="B1851" i="3"/>
  <c r="C1851" i="3"/>
  <c r="B1852" i="3"/>
  <c r="C1852" i="3"/>
  <c r="B1853" i="3"/>
  <c r="C1853" i="3"/>
  <c r="B1854" i="3"/>
  <c r="C1854" i="3"/>
  <c r="B1855" i="3"/>
  <c r="C1855" i="3"/>
  <c r="B1856" i="3"/>
  <c r="C1856" i="3"/>
  <c r="B1857" i="3"/>
  <c r="C1857" i="3"/>
  <c r="B1930" i="3"/>
  <c r="C1930" i="3"/>
  <c r="B1931" i="3"/>
  <c r="C1931" i="3"/>
  <c r="B1932" i="3"/>
  <c r="C1932" i="3"/>
  <c r="B1933" i="3"/>
  <c r="C1933" i="3"/>
  <c r="B1934" i="3"/>
  <c r="C1934" i="3"/>
  <c r="B1935" i="3"/>
  <c r="C1935" i="3"/>
  <c r="B1936" i="3"/>
  <c r="C1936" i="3"/>
  <c r="B1937" i="3"/>
  <c r="C1937" i="3"/>
  <c r="B1970" i="3"/>
  <c r="C1970" i="3"/>
  <c r="B1971" i="3"/>
  <c r="C1971" i="3"/>
  <c r="B1972" i="3"/>
  <c r="C1972" i="3"/>
  <c r="B1973" i="3"/>
  <c r="C1973" i="3"/>
  <c r="B1974" i="3"/>
  <c r="C1974" i="3"/>
  <c r="B1975" i="3"/>
  <c r="C1975" i="3"/>
  <c r="B1976" i="3"/>
  <c r="C1976" i="3"/>
  <c r="B1977" i="3"/>
  <c r="C1977" i="3"/>
  <c r="B2010" i="3"/>
  <c r="C2010" i="3"/>
  <c r="B2011" i="3"/>
  <c r="C2011" i="3"/>
  <c r="B2012" i="3"/>
  <c r="C2012" i="3"/>
  <c r="B2013" i="3"/>
  <c r="C2013" i="3"/>
  <c r="B2014" i="3"/>
  <c r="C2014" i="3"/>
  <c r="B2015" i="3"/>
  <c r="C2015" i="3"/>
  <c r="B2016" i="3"/>
  <c r="C2016" i="3"/>
  <c r="B2017" i="3"/>
  <c r="C2017" i="3"/>
  <c r="B2058" i="3"/>
  <c r="C2058" i="3"/>
  <c r="B2059" i="3"/>
  <c r="C2059" i="3"/>
  <c r="B2060" i="3"/>
  <c r="C2060" i="3"/>
  <c r="B2061" i="3"/>
  <c r="C2061" i="3"/>
  <c r="B2062" i="3"/>
  <c r="C2062" i="3"/>
  <c r="B2063" i="3"/>
  <c r="C2063" i="3"/>
  <c r="B2064" i="3"/>
  <c r="C2064" i="3"/>
  <c r="B2065" i="3"/>
  <c r="C2065" i="3"/>
  <c r="B2370" i="3"/>
  <c r="C2370" i="3"/>
  <c r="B2371" i="3"/>
  <c r="C2371" i="3"/>
  <c r="B2372" i="3"/>
  <c r="C2372" i="3"/>
  <c r="B2373" i="3"/>
  <c r="C2373" i="3"/>
  <c r="B2374" i="3"/>
  <c r="C2374" i="3"/>
  <c r="B2375" i="3"/>
  <c r="C2375" i="3"/>
  <c r="B2376" i="3"/>
  <c r="C2376" i="3"/>
  <c r="B2377" i="3"/>
  <c r="C2377" i="3"/>
  <c r="B2594" i="3"/>
  <c r="C2594" i="3"/>
  <c r="B2595" i="3"/>
  <c r="C2595" i="3"/>
  <c r="B2596" i="3"/>
  <c r="C2596" i="3"/>
  <c r="B2597" i="3"/>
  <c r="C2597" i="3"/>
  <c r="B2598" i="3"/>
  <c r="C2598" i="3"/>
  <c r="B2599" i="3"/>
  <c r="C2599" i="3"/>
  <c r="B2600" i="3"/>
  <c r="C2600" i="3"/>
  <c r="B2601" i="3"/>
  <c r="C2601" i="3"/>
  <c r="B2626" i="3"/>
  <c r="C2626" i="3"/>
  <c r="B2627" i="3"/>
  <c r="C2627" i="3"/>
  <c r="B2628" i="3"/>
  <c r="C2628" i="3"/>
  <c r="B2629" i="3"/>
  <c r="C2629" i="3"/>
  <c r="B2630" i="3"/>
  <c r="C2630" i="3"/>
  <c r="B2631" i="3"/>
  <c r="C2631" i="3"/>
  <c r="B2632" i="3"/>
  <c r="C2632" i="3"/>
  <c r="B2633" i="3"/>
  <c r="C2633" i="3"/>
  <c r="B2658" i="3"/>
  <c r="C2658" i="3"/>
  <c r="B2659" i="3"/>
  <c r="C2659" i="3"/>
  <c r="B2660" i="3"/>
  <c r="C2660" i="3"/>
  <c r="B2661" i="3"/>
  <c r="C2661" i="3"/>
  <c r="B2662" i="3"/>
  <c r="C2662" i="3"/>
  <c r="B2663" i="3"/>
  <c r="C2663" i="3"/>
  <c r="B2664" i="3"/>
  <c r="C2664" i="3"/>
  <c r="B2665" i="3"/>
  <c r="C2665" i="3"/>
  <c r="B2666" i="3"/>
  <c r="C2666" i="3"/>
  <c r="B2667" i="3"/>
  <c r="C2667" i="3"/>
  <c r="B2668" i="3"/>
  <c r="C2668" i="3"/>
  <c r="B2669" i="3"/>
  <c r="C2669" i="3"/>
  <c r="B2670" i="3"/>
  <c r="C2670" i="3"/>
  <c r="B2671" i="3"/>
  <c r="C2671" i="3"/>
  <c r="B2672" i="3"/>
  <c r="C2672" i="3"/>
  <c r="B2673" i="3"/>
  <c r="C2673" i="3"/>
  <c r="B2834" i="3"/>
  <c r="C2834" i="3"/>
  <c r="B2835" i="3"/>
  <c r="C2835" i="3"/>
  <c r="B2836" i="3"/>
  <c r="C2836" i="3"/>
  <c r="B2837" i="3"/>
  <c r="C2837" i="3"/>
  <c r="B2838" i="3"/>
  <c r="C2838" i="3"/>
  <c r="B2839" i="3"/>
  <c r="C2839" i="3"/>
  <c r="B2840" i="3"/>
  <c r="C2840" i="3"/>
  <c r="B2841" i="3"/>
  <c r="C2841" i="3"/>
  <c r="B2842" i="3"/>
  <c r="C2842" i="3"/>
  <c r="B2843" i="3"/>
  <c r="C2843" i="3"/>
  <c r="B2844" i="3"/>
  <c r="C2844" i="3"/>
  <c r="B2845" i="3"/>
  <c r="C2845" i="3"/>
  <c r="B2846" i="3"/>
  <c r="C2846" i="3"/>
  <c r="B2847" i="3"/>
  <c r="C2847" i="3"/>
  <c r="B2848" i="3"/>
  <c r="C2848" i="3"/>
  <c r="B2849" i="3"/>
  <c r="C2849" i="3"/>
  <c r="B3018" i="3"/>
  <c r="C3018" i="3"/>
  <c r="B3019" i="3"/>
  <c r="C3019" i="3"/>
  <c r="B3020" i="3"/>
  <c r="C3020" i="3"/>
  <c r="B3021" i="3"/>
  <c r="C3021" i="3"/>
  <c r="B3022" i="3"/>
  <c r="C3022" i="3"/>
  <c r="B3023" i="3"/>
  <c r="C3023" i="3"/>
  <c r="B3024" i="3"/>
  <c r="C3024" i="3"/>
  <c r="B3025" i="3"/>
  <c r="C3025" i="3"/>
  <c r="B3042" i="3"/>
  <c r="C3042" i="3"/>
  <c r="B3043" i="3"/>
  <c r="C3043" i="3"/>
  <c r="B3044" i="3"/>
  <c r="C3044" i="3"/>
  <c r="B3045" i="3"/>
  <c r="C3045" i="3"/>
  <c r="B3046" i="3"/>
  <c r="C3046" i="3"/>
  <c r="B3047" i="3"/>
  <c r="C3047" i="3"/>
  <c r="B3048" i="3"/>
  <c r="C3048" i="3"/>
  <c r="B3049" i="3"/>
  <c r="C3049" i="3"/>
  <c r="B3082" i="3"/>
  <c r="C3082" i="3"/>
  <c r="B3083" i="3"/>
  <c r="C3083" i="3"/>
  <c r="B3084" i="3"/>
  <c r="C3084" i="3"/>
  <c r="B3085" i="3"/>
  <c r="C3085" i="3"/>
  <c r="B3086" i="3"/>
  <c r="C3086" i="3"/>
  <c r="B3087" i="3"/>
  <c r="C3087" i="3"/>
  <c r="B3088" i="3"/>
  <c r="C3088" i="3"/>
  <c r="B3089" i="3"/>
  <c r="C3089" i="3"/>
  <c r="B3098" i="3"/>
  <c r="C3098" i="3"/>
  <c r="B3099" i="3"/>
  <c r="C3099" i="3"/>
  <c r="B3100" i="3"/>
  <c r="C3100" i="3"/>
  <c r="B3101" i="3"/>
  <c r="C3101" i="3"/>
  <c r="B3102" i="3"/>
  <c r="C3102" i="3"/>
  <c r="B3103" i="3"/>
  <c r="C3103" i="3"/>
  <c r="B3104" i="3"/>
  <c r="C3104" i="3"/>
  <c r="B3105" i="3"/>
  <c r="C3105" i="3"/>
  <c r="B3146" i="3"/>
  <c r="C3146" i="3"/>
  <c r="B3147" i="3"/>
  <c r="C3147" i="3"/>
  <c r="B3148" i="3"/>
  <c r="C3148" i="3"/>
  <c r="B3149" i="3"/>
  <c r="C3149" i="3"/>
  <c r="B3150" i="3"/>
  <c r="C3150" i="3"/>
  <c r="B3151" i="3"/>
  <c r="C3151" i="3"/>
  <c r="B3152" i="3"/>
  <c r="C3152" i="3"/>
  <c r="B3153" i="3"/>
  <c r="C3153" i="3"/>
  <c r="B938" i="3"/>
  <c r="C938" i="3"/>
  <c r="B939" i="3"/>
  <c r="C939" i="3"/>
  <c r="B940" i="3"/>
  <c r="C940" i="3"/>
  <c r="B941" i="3"/>
  <c r="C941" i="3"/>
  <c r="B942" i="3"/>
  <c r="C942" i="3"/>
  <c r="B943" i="3"/>
  <c r="C943" i="3"/>
  <c r="B944" i="3"/>
  <c r="C944" i="3"/>
  <c r="B945" i="3"/>
  <c r="C945" i="3"/>
  <c r="B1074" i="3"/>
  <c r="C1074" i="3"/>
  <c r="B1075" i="3"/>
  <c r="C1075" i="3"/>
  <c r="B1076" i="3"/>
  <c r="C1076" i="3"/>
  <c r="B1077" i="3"/>
  <c r="C1077" i="3"/>
  <c r="B1078" i="3"/>
  <c r="C1078" i="3"/>
  <c r="B1079" i="3"/>
  <c r="C1079" i="3"/>
  <c r="B1080" i="3"/>
  <c r="C1080" i="3"/>
  <c r="B1081" i="3"/>
  <c r="C1081" i="3"/>
  <c r="B1354" i="3"/>
  <c r="C1354" i="3"/>
  <c r="B1355" i="3"/>
  <c r="C1355" i="3"/>
  <c r="B1356" i="3"/>
  <c r="C1356" i="3"/>
  <c r="B1357" i="3"/>
  <c r="C1357" i="3"/>
  <c r="B1358" i="3"/>
  <c r="C1358" i="3"/>
  <c r="B1359" i="3"/>
  <c r="C1359" i="3"/>
  <c r="B1360" i="3"/>
  <c r="C1360" i="3"/>
  <c r="B1361" i="3"/>
  <c r="C1361" i="3"/>
  <c r="B1562" i="3"/>
  <c r="C1562" i="3"/>
  <c r="B1563" i="3"/>
  <c r="C1563" i="3"/>
  <c r="B1564" i="3"/>
  <c r="C1564" i="3"/>
  <c r="B1565" i="3"/>
  <c r="C1565" i="3"/>
  <c r="B1566" i="3"/>
  <c r="C1566" i="3"/>
  <c r="B1567" i="3"/>
  <c r="C1567" i="3"/>
  <c r="B1568" i="3"/>
  <c r="C1568" i="3"/>
  <c r="B1569" i="3"/>
  <c r="C1569" i="3"/>
  <c r="B1786" i="3"/>
  <c r="C1786" i="3"/>
  <c r="B1787" i="3"/>
  <c r="C1787" i="3"/>
  <c r="B1788" i="3"/>
  <c r="C1788" i="3"/>
  <c r="B1789" i="3"/>
  <c r="C1789" i="3"/>
  <c r="B1790" i="3"/>
  <c r="C1790" i="3"/>
  <c r="B1791" i="3"/>
  <c r="C1791" i="3"/>
  <c r="B1792" i="3"/>
  <c r="C1792" i="3"/>
  <c r="B1793" i="3"/>
  <c r="C1793" i="3"/>
  <c r="B2226" i="3"/>
  <c r="C2226" i="3"/>
  <c r="B2227" i="3"/>
  <c r="C2227" i="3"/>
  <c r="B2228" i="3"/>
  <c r="C2228" i="3"/>
  <c r="B2229" i="3"/>
  <c r="C2229" i="3"/>
  <c r="B2230" i="3"/>
  <c r="C2230" i="3"/>
  <c r="B2231" i="3"/>
  <c r="C2231" i="3"/>
  <c r="B2232" i="3"/>
  <c r="C2232" i="3"/>
  <c r="B2233" i="3"/>
  <c r="C2233" i="3"/>
  <c r="B2266" i="3"/>
  <c r="C2266" i="3"/>
  <c r="B2267" i="3"/>
  <c r="C2267" i="3"/>
  <c r="B2268" i="3"/>
  <c r="C2268" i="3"/>
  <c r="B2269" i="3"/>
  <c r="C2269" i="3"/>
  <c r="B2270" i="3"/>
  <c r="C2270" i="3"/>
  <c r="B2271" i="3"/>
  <c r="C2271" i="3"/>
  <c r="B2272" i="3"/>
  <c r="C2272" i="3"/>
  <c r="B2273" i="3"/>
  <c r="C2273" i="3"/>
  <c r="B2290" i="3"/>
  <c r="C2290" i="3"/>
  <c r="B2291" i="3"/>
  <c r="C2291" i="3"/>
  <c r="B2292" i="3"/>
  <c r="C2292" i="3"/>
  <c r="B2293" i="3"/>
  <c r="C2293" i="3"/>
  <c r="B2294" i="3"/>
  <c r="C2294" i="3"/>
  <c r="B2295" i="3"/>
  <c r="C2295" i="3"/>
  <c r="B2296" i="3"/>
  <c r="C2296" i="3"/>
  <c r="B2297" i="3"/>
  <c r="C2297" i="3"/>
  <c r="B1010" i="3"/>
  <c r="C1010" i="3"/>
  <c r="B1011" i="3"/>
  <c r="C1011" i="3"/>
  <c r="B1012" i="3"/>
  <c r="C1012" i="3"/>
  <c r="B1013" i="3"/>
  <c r="C1013" i="3"/>
  <c r="B1014" i="3"/>
  <c r="C1014" i="3"/>
  <c r="B1015" i="3"/>
  <c r="C1015" i="3"/>
  <c r="B1016" i="3"/>
  <c r="C1016" i="3"/>
  <c r="B1017" i="3"/>
  <c r="C1017" i="3"/>
  <c r="B1858" i="3"/>
  <c r="C1858" i="3"/>
  <c r="B1859" i="3"/>
  <c r="C1859" i="3"/>
  <c r="B1860" i="3"/>
  <c r="C1860" i="3"/>
  <c r="B1861" i="3"/>
  <c r="C1861" i="3"/>
  <c r="B1862" i="3"/>
  <c r="C1862" i="3"/>
  <c r="B1863" i="3"/>
  <c r="C1863" i="3"/>
  <c r="B1864" i="3"/>
  <c r="C1864" i="3"/>
  <c r="B1865" i="3"/>
  <c r="C1865" i="3"/>
  <c r="B2306" i="3"/>
  <c r="C2306" i="3"/>
  <c r="B2307" i="3"/>
  <c r="C2307" i="3"/>
  <c r="B2308" i="3"/>
  <c r="C2308" i="3"/>
  <c r="B2309" i="3"/>
  <c r="C2309" i="3"/>
  <c r="B2310" i="3"/>
  <c r="C2310" i="3"/>
  <c r="B2311" i="3"/>
  <c r="C2311" i="3"/>
  <c r="B2312" i="3"/>
  <c r="C2312" i="3"/>
  <c r="B2313" i="3"/>
  <c r="C2313" i="3"/>
  <c r="B2354" i="3"/>
  <c r="C2354" i="3"/>
  <c r="B2355" i="3"/>
  <c r="C2355" i="3"/>
  <c r="B2356" i="3"/>
  <c r="C2356" i="3"/>
  <c r="B2357" i="3"/>
  <c r="C2357" i="3"/>
  <c r="B2358" i="3"/>
  <c r="C2358" i="3"/>
  <c r="B2359" i="3"/>
  <c r="C2359" i="3"/>
  <c r="B2360" i="3"/>
  <c r="C2360" i="3"/>
  <c r="B2361" i="3"/>
  <c r="C2361" i="3"/>
  <c r="B2386" i="3"/>
  <c r="C2386" i="3"/>
  <c r="B2387" i="3"/>
  <c r="C2387" i="3"/>
  <c r="B2388" i="3"/>
  <c r="C2388" i="3"/>
  <c r="B2389" i="3"/>
  <c r="C2389" i="3"/>
  <c r="B2390" i="3"/>
  <c r="C2390" i="3"/>
  <c r="B2391" i="3"/>
  <c r="C2391" i="3"/>
  <c r="B2392" i="3"/>
  <c r="C2392" i="3"/>
  <c r="B2393" i="3"/>
  <c r="C2393" i="3"/>
  <c r="B2506" i="3"/>
  <c r="C2506" i="3"/>
  <c r="B2507" i="3"/>
  <c r="C2507" i="3"/>
  <c r="B2508" i="3"/>
  <c r="C2508" i="3"/>
  <c r="B2509" i="3"/>
  <c r="C2509" i="3"/>
  <c r="B2510" i="3"/>
  <c r="C2510" i="3"/>
  <c r="B2511" i="3"/>
  <c r="C2511" i="3"/>
  <c r="B2512" i="3"/>
  <c r="C2512" i="3"/>
  <c r="B2513" i="3"/>
  <c r="C2513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1306" i="3"/>
  <c r="C1306" i="3"/>
  <c r="B1307" i="3"/>
  <c r="C1307" i="3"/>
  <c r="B1308" i="3"/>
  <c r="C1308" i="3"/>
  <c r="B1309" i="3"/>
  <c r="C1309" i="3"/>
  <c r="B1310" i="3"/>
  <c r="C1310" i="3"/>
  <c r="B1311" i="3"/>
  <c r="C1311" i="3"/>
  <c r="B1312" i="3"/>
  <c r="C1312" i="3"/>
  <c r="B1313" i="3"/>
  <c r="C1313" i="3"/>
  <c r="B1954" i="3"/>
  <c r="C1954" i="3"/>
  <c r="B1955" i="3"/>
  <c r="C1955" i="3"/>
  <c r="B1956" i="3"/>
  <c r="C1956" i="3"/>
  <c r="B1957" i="3"/>
  <c r="C1957" i="3"/>
  <c r="B1958" i="3"/>
  <c r="C1958" i="3"/>
  <c r="B1959" i="3"/>
  <c r="C1959" i="3"/>
  <c r="B1960" i="3"/>
  <c r="C1960" i="3"/>
  <c r="B1961" i="3"/>
  <c r="C1961" i="3"/>
  <c r="B2418" i="3"/>
  <c r="C2418" i="3"/>
  <c r="B2419" i="3"/>
  <c r="C2419" i="3"/>
  <c r="B2420" i="3"/>
  <c r="C2420" i="3"/>
  <c r="B2421" i="3"/>
  <c r="C2421" i="3"/>
  <c r="B2422" i="3"/>
  <c r="C2422" i="3"/>
  <c r="B2423" i="3"/>
  <c r="C2423" i="3"/>
  <c r="B2424" i="3"/>
  <c r="C2424" i="3"/>
  <c r="B2425" i="3"/>
  <c r="C2425" i="3"/>
  <c r="B2994" i="3"/>
  <c r="C2994" i="3"/>
  <c r="B2995" i="3"/>
  <c r="C2995" i="3"/>
  <c r="B2996" i="3"/>
  <c r="C2996" i="3"/>
  <c r="B2997" i="3"/>
  <c r="C2997" i="3"/>
  <c r="B2998" i="3"/>
  <c r="C2998" i="3"/>
  <c r="B2999" i="3"/>
  <c r="C2999" i="3"/>
  <c r="B3000" i="3"/>
  <c r="C3000" i="3"/>
  <c r="B3001" i="3"/>
  <c r="C3001" i="3"/>
  <c r="B3026" i="3"/>
  <c r="C3026" i="3"/>
  <c r="B3027" i="3"/>
  <c r="C3027" i="3"/>
  <c r="B3028" i="3"/>
  <c r="C3028" i="3"/>
  <c r="B3029" i="3"/>
  <c r="C3029" i="3"/>
  <c r="B3030" i="3"/>
  <c r="C3030" i="3"/>
  <c r="B3031" i="3"/>
  <c r="C3031" i="3"/>
  <c r="B3032" i="3"/>
  <c r="C3032" i="3"/>
  <c r="B3033" i="3"/>
  <c r="C3033" i="3"/>
  <c r="B3138" i="3"/>
  <c r="C3138" i="3"/>
  <c r="B3139" i="3"/>
  <c r="C3139" i="3"/>
  <c r="B3140" i="3"/>
  <c r="C3140" i="3"/>
  <c r="B3141" i="3"/>
  <c r="C3141" i="3"/>
  <c r="B3142" i="3"/>
  <c r="C3142" i="3"/>
  <c r="B3143" i="3"/>
  <c r="C3143" i="3"/>
  <c r="B3144" i="3"/>
  <c r="C3144" i="3"/>
  <c r="B3145" i="3"/>
  <c r="C3145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1474" i="3"/>
  <c r="C1474" i="3"/>
  <c r="B1475" i="3"/>
  <c r="C1475" i="3"/>
  <c r="B1476" i="3"/>
  <c r="C1476" i="3"/>
  <c r="B1477" i="3"/>
  <c r="C1477" i="3"/>
  <c r="B1478" i="3"/>
  <c r="C1478" i="3"/>
  <c r="B1479" i="3"/>
  <c r="C1479" i="3"/>
  <c r="B1480" i="3"/>
  <c r="C1480" i="3"/>
  <c r="B1481" i="3"/>
  <c r="C1481" i="3"/>
  <c r="B1602" i="3"/>
  <c r="C1602" i="3"/>
  <c r="B1603" i="3"/>
  <c r="C1603" i="3"/>
  <c r="B1604" i="3"/>
  <c r="C1604" i="3"/>
  <c r="B1605" i="3"/>
  <c r="C1605" i="3"/>
  <c r="B1606" i="3"/>
  <c r="C1606" i="3"/>
  <c r="B1607" i="3"/>
  <c r="C1607" i="3"/>
  <c r="B1608" i="3"/>
  <c r="C1608" i="3"/>
  <c r="B1609" i="3"/>
  <c r="C1609" i="3"/>
  <c r="B2122" i="3"/>
  <c r="C2122" i="3"/>
  <c r="B2123" i="3"/>
  <c r="C2123" i="3"/>
  <c r="B2124" i="3"/>
  <c r="C2124" i="3"/>
  <c r="B2125" i="3"/>
  <c r="C2125" i="3"/>
  <c r="B2126" i="3"/>
  <c r="C2126" i="3"/>
  <c r="B2127" i="3"/>
  <c r="C2127" i="3"/>
  <c r="B2128" i="3"/>
  <c r="C2128" i="3"/>
  <c r="B2129" i="3"/>
  <c r="C2129" i="3"/>
  <c r="B2490" i="3"/>
  <c r="C2490" i="3"/>
  <c r="B2491" i="3"/>
  <c r="C2491" i="3"/>
  <c r="B2492" i="3"/>
  <c r="C2492" i="3"/>
  <c r="B2493" i="3"/>
  <c r="C2493" i="3"/>
  <c r="B2494" i="3"/>
  <c r="C2494" i="3"/>
  <c r="B2495" i="3"/>
  <c r="C2495" i="3"/>
  <c r="B2496" i="3"/>
  <c r="C2496" i="3"/>
  <c r="B2497" i="3"/>
  <c r="C2497" i="3"/>
  <c r="B3034" i="3"/>
  <c r="C3034" i="3"/>
  <c r="B3035" i="3"/>
  <c r="C3035" i="3"/>
  <c r="B3036" i="3"/>
  <c r="C3036" i="3"/>
  <c r="B3037" i="3"/>
  <c r="C3037" i="3"/>
  <c r="B3038" i="3"/>
  <c r="C3038" i="3"/>
  <c r="B3039" i="3"/>
  <c r="C3039" i="3"/>
  <c r="B3040" i="3"/>
  <c r="C3040" i="3"/>
  <c r="B3041" i="3"/>
  <c r="C3041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1002" i="3"/>
  <c r="C1002" i="3"/>
  <c r="B1003" i="3"/>
  <c r="C1003" i="3"/>
  <c r="B1004" i="3"/>
  <c r="C1004" i="3"/>
  <c r="B1005" i="3"/>
  <c r="C1005" i="3"/>
  <c r="B1006" i="3"/>
  <c r="C1006" i="3"/>
  <c r="B1007" i="3"/>
  <c r="C1007" i="3"/>
  <c r="B1008" i="3"/>
  <c r="C1008" i="3"/>
  <c r="B1009" i="3"/>
  <c r="C1009" i="3"/>
  <c r="B1026" i="3"/>
  <c r="C1026" i="3"/>
  <c r="B1027" i="3"/>
  <c r="C1027" i="3"/>
  <c r="B1028" i="3"/>
  <c r="C1028" i="3"/>
  <c r="B1029" i="3"/>
  <c r="C1029" i="3"/>
  <c r="B1030" i="3"/>
  <c r="C1030" i="3"/>
  <c r="B1031" i="3"/>
  <c r="C1031" i="3"/>
  <c r="B1032" i="3"/>
  <c r="C1032" i="3"/>
  <c r="B1033" i="3"/>
  <c r="C1033" i="3"/>
  <c r="B1314" i="3"/>
  <c r="C1314" i="3"/>
  <c r="B1315" i="3"/>
  <c r="C1315" i="3"/>
  <c r="B1316" i="3"/>
  <c r="C1316" i="3"/>
  <c r="B1317" i="3"/>
  <c r="C1317" i="3"/>
  <c r="B1318" i="3"/>
  <c r="C1318" i="3"/>
  <c r="B1319" i="3"/>
  <c r="C1319" i="3"/>
  <c r="B1320" i="3"/>
  <c r="C1320" i="3"/>
  <c r="B1321" i="3"/>
  <c r="C1321" i="3"/>
  <c r="B1370" i="3"/>
  <c r="C1370" i="3"/>
  <c r="B1371" i="3"/>
  <c r="C1371" i="3"/>
  <c r="B1372" i="3"/>
  <c r="C1372" i="3"/>
  <c r="B1373" i="3"/>
  <c r="C1373" i="3"/>
  <c r="B1374" i="3"/>
  <c r="C1374" i="3"/>
  <c r="B1375" i="3"/>
  <c r="C1375" i="3"/>
  <c r="B1376" i="3"/>
  <c r="C1376" i="3"/>
  <c r="B1377" i="3"/>
  <c r="C1377" i="3"/>
  <c r="B1402" i="3"/>
  <c r="C1402" i="3"/>
  <c r="B1403" i="3"/>
  <c r="C1403" i="3"/>
  <c r="B1404" i="3"/>
  <c r="C1404" i="3"/>
  <c r="B1405" i="3"/>
  <c r="C1405" i="3"/>
  <c r="B1406" i="3"/>
  <c r="C1406" i="3"/>
  <c r="B1407" i="3"/>
  <c r="C1407" i="3"/>
  <c r="B1408" i="3"/>
  <c r="C1408" i="3"/>
  <c r="B1409" i="3"/>
  <c r="C1409" i="3"/>
  <c r="B1506" i="3"/>
  <c r="C1506" i="3"/>
  <c r="B1507" i="3"/>
  <c r="C1507" i="3"/>
  <c r="B1508" i="3"/>
  <c r="C1508" i="3"/>
  <c r="B1509" i="3"/>
  <c r="C1509" i="3"/>
  <c r="B1510" i="3"/>
  <c r="C1510" i="3"/>
  <c r="B1511" i="3"/>
  <c r="C1511" i="3"/>
  <c r="B1512" i="3"/>
  <c r="C1512" i="3"/>
  <c r="B1513" i="3"/>
  <c r="C1513" i="3"/>
  <c r="B1554" i="3"/>
  <c r="C1554" i="3"/>
  <c r="B1555" i="3"/>
  <c r="C1555" i="3"/>
  <c r="B1556" i="3"/>
  <c r="C1556" i="3"/>
  <c r="B1557" i="3"/>
  <c r="C1557" i="3"/>
  <c r="B1558" i="3"/>
  <c r="C1558" i="3"/>
  <c r="B1559" i="3"/>
  <c r="C1559" i="3"/>
  <c r="B1560" i="3"/>
  <c r="C1560" i="3"/>
  <c r="B1561" i="3"/>
  <c r="C1561" i="3"/>
  <c r="B1658" i="3"/>
  <c r="C1658" i="3"/>
  <c r="B1659" i="3"/>
  <c r="C1659" i="3"/>
  <c r="B1660" i="3"/>
  <c r="C1660" i="3"/>
  <c r="B1661" i="3"/>
  <c r="C1661" i="3"/>
  <c r="B1662" i="3"/>
  <c r="C1662" i="3"/>
  <c r="B1663" i="3"/>
  <c r="C1663" i="3"/>
  <c r="B1664" i="3"/>
  <c r="C1664" i="3"/>
  <c r="B1665" i="3"/>
  <c r="C1665" i="3"/>
  <c r="B1754" i="3"/>
  <c r="C1754" i="3"/>
  <c r="B1755" i="3"/>
  <c r="C1755" i="3"/>
  <c r="B1756" i="3"/>
  <c r="C1756" i="3"/>
  <c r="B1757" i="3"/>
  <c r="C1757" i="3"/>
  <c r="B1758" i="3"/>
  <c r="C1758" i="3"/>
  <c r="B1759" i="3"/>
  <c r="C1759" i="3"/>
  <c r="B1760" i="3"/>
  <c r="C1760" i="3"/>
  <c r="B1761" i="3"/>
  <c r="C1761" i="3"/>
  <c r="B2458" i="3"/>
  <c r="C2458" i="3"/>
  <c r="B2459" i="3"/>
  <c r="C2459" i="3"/>
  <c r="B2460" i="3"/>
  <c r="C2460" i="3"/>
  <c r="B2461" i="3"/>
  <c r="C2461" i="3"/>
  <c r="B2462" i="3"/>
  <c r="C2462" i="3"/>
  <c r="B2463" i="3"/>
  <c r="C2463" i="3"/>
  <c r="B2464" i="3"/>
  <c r="C2464" i="3"/>
  <c r="B2465" i="3"/>
  <c r="C2465" i="3"/>
  <c r="B2474" i="3"/>
  <c r="C2474" i="3"/>
  <c r="B2475" i="3"/>
  <c r="C2475" i="3"/>
  <c r="B2476" i="3"/>
  <c r="C2476" i="3"/>
  <c r="B2477" i="3"/>
  <c r="C2477" i="3"/>
  <c r="B2478" i="3"/>
  <c r="C2478" i="3"/>
  <c r="B2479" i="3"/>
  <c r="C2479" i="3"/>
  <c r="B2480" i="3"/>
  <c r="C2480" i="3"/>
  <c r="B2481" i="3"/>
  <c r="C2481" i="3"/>
  <c r="B2522" i="3"/>
  <c r="C2522" i="3"/>
  <c r="B2523" i="3"/>
  <c r="C2523" i="3"/>
  <c r="B2524" i="3"/>
  <c r="C2524" i="3"/>
  <c r="B2525" i="3"/>
  <c r="C2525" i="3"/>
  <c r="B2526" i="3"/>
  <c r="C2526" i="3"/>
  <c r="B2527" i="3"/>
  <c r="C2527" i="3"/>
  <c r="B2528" i="3"/>
  <c r="C2528" i="3"/>
  <c r="B2529" i="3"/>
  <c r="C2529" i="3"/>
  <c r="B2850" i="3"/>
  <c r="C2850" i="3"/>
  <c r="B2851" i="3"/>
  <c r="C2851" i="3"/>
  <c r="B2852" i="3"/>
  <c r="C2852" i="3"/>
  <c r="B2853" i="3"/>
  <c r="C2853" i="3"/>
  <c r="B2854" i="3"/>
  <c r="C2854" i="3"/>
  <c r="B2855" i="3"/>
  <c r="C2855" i="3"/>
  <c r="B2856" i="3"/>
  <c r="C2856" i="3"/>
  <c r="B2857" i="3"/>
  <c r="C285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970" i="3"/>
  <c r="C970" i="3"/>
  <c r="B971" i="3"/>
  <c r="C971" i="3"/>
  <c r="B972" i="3"/>
  <c r="C972" i="3"/>
  <c r="B973" i="3"/>
  <c r="C973" i="3"/>
  <c r="B974" i="3"/>
  <c r="C974" i="3"/>
  <c r="B975" i="3"/>
  <c r="C975" i="3"/>
  <c r="B976" i="3"/>
  <c r="C976" i="3"/>
  <c r="B977" i="3"/>
  <c r="C977" i="3"/>
  <c r="B1018" i="3"/>
  <c r="C1018" i="3"/>
  <c r="B1019" i="3"/>
  <c r="C1019" i="3"/>
  <c r="B1020" i="3"/>
  <c r="C1020" i="3"/>
  <c r="B1021" i="3"/>
  <c r="C1021" i="3"/>
  <c r="B1022" i="3"/>
  <c r="C1022" i="3"/>
  <c r="B1023" i="3"/>
  <c r="C1023" i="3"/>
  <c r="B1024" i="3"/>
  <c r="C1024" i="3"/>
  <c r="B1025" i="3"/>
  <c r="C1025" i="3"/>
  <c r="B1082" i="3"/>
  <c r="C1082" i="3"/>
  <c r="B1083" i="3"/>
  <c r="C1083" i="3"/>
  <c r="B1084" i="3"/>
  <c r="C1084" i="3"/>
  <c r="B1085" i="3"/>
  <c r="C1085" i="3"/>
  <c r="B1086" i="3"/>
  <c r="C1086" i="3"/>
  <c r="B1087" i="3"/>
  <c r="C1087" i="3"/>
  <c r="B1088" i="3"/>
  <c r="C1088" i="3"/>
  <c r="B1089" i="3"/>
  <c r="C1089" i="3"/>
  <c r="B1490" i="3"/>
  <c r="C1490" i="3"/>
  <c r="B1491" i="3"/>
  <c r="C1491" i="3"/>
  <c r="B1492" i="3"/>
  <c r="C1492" i="3"/>
  <c r="B1493" i="3"/>
  <c r="C1493" i="3"/>
  <c r="B1494" i="3"/>
  <c r="C1494" i="3"/>
  <c r="B1495" i="3"/>
  <c r="C1495" i="3"/>
  <c r="B1496" i="3"/>
  <c r="C1496" i="3"/>
  <c r="B1497" i="3"/>
  <c r="C1497" i="3"/>
  <c r="B1890" i="3"/>
  <c r="C1890" i="3"/>
  <c r="B1891" i="3"/>
  <c r="C1891" i="3"/>
  <c r="B1892" i="3"/>
  <c r="C1892" i="3"/>
  <c r="B1893" i="3"/>
  <c r="C1893" i="3"/>
  <c r="B1894" i="3"/>
  <c r="C1894" i="3"/>
  <c r="B1895" i="3"/>
  <c r="C1895" i="3"/>
  <c r="B1896" i="3"/>
  <c r="C1896" i="3"/>
  <c r="B1897" i="3"/>
  <c r="C1897" i="3"/>
  <c r="B2154" i="3"/>
  <c r="C2154" i="3"/>
  <c r="B2155" i="3"/>
  <c r="C2155" i="3"/>
  <c r="B2156" i="3"/>
  <c r="C2156" i="3"/>
  <c r="B2157" i="3"/>
  <c r="C2157" i="3"/>
  <c r="B2158" i="3"/>
  <c r="C2158" i="3"/>
  <c r="B2159" i="3"/>
  <c r="C2159" i="3"/>
  <c r="B2160" i="3"/>
  <c r="C2160" i="3"/>
  <c r="B2161" i="3"/>
  <c r="C2161" i="3"/>
  <c r="B2242" i="3"/>
  <c r="C2242" i="3"/>
  <c r="B2243" i="3"/>
  <c r="C2243" i="3"/>
  <c r="B2244" i="3"/>
  <c r="C2244" i="3"/>
  <c r="B2245" i="3"/>
  <c r="C2245" i="3"/>
  <c r="B2246" i="3"/>
  <c r="C2246" i="3"/>
  <c r="B2247" i="3"/>
  <c r="C2247" i="3"/>
  <c r="B2248" i="3"/>
  <c r="C2248" i="3"/>
  <c r="B2249" i="3"/>
  <c r="C2249" i="3"/>
  <c r="B2338" i="3"/>
  <c r="C2338" i="3"/>
  <c r="B2339" i="3"/>
  <c r="C2339" i="3"/>
  <c r="B2340" i="3"/>
  <c r="C2340" i="3"/>
  <c r="B2341" i="3"/>
  <c r="C2341" i="3"/>
  <c r="B2342" i="3"/>
  <c r="C2342" i="3"/>
  <c r="B2343" i="3"/>
  <c r="C2343" i="3"/>
  <c r="B2344" i="3"/>
  <c r="C2344" i="3"/>
  <c r="B2345" i="3"/>
  <c r="C2345" i="3"/>
  <c r="B2426" i="3"/>
  <c r="C2426" i="3"/>
  <c r="B2427" i="3"/>
  <c r="C2427" i="3"/>
  <c r="B2428" i="3"/>
  <c r="C2428" i="3"/>
  <c r="B2429" i="3"/>
  <c r="C2429" i="3"/>
  <c r="B2430" i="3"/>
  <c r="C2430" i="3"/>
  <c r="B2431" i="3"/>
  <c r="C2431" i="3"/>
  <c r="B2432" i="3"/>
  <c r="C2432" i="3"/>
  <c r="B2433" i="3"/>
  <c r="C2433" i="3"/>
  <c r="B2466" i="3"/>
  <c r="C2466" i="3"/>
  <c r="B2467" i="3"/>
  <c r="C2467" i="3"/>
  <c r="B2468" i="3"/>
  <c r="C2468" i="3"/>
  <c r="B2469" i="3"/>
  <c r="C2469" i="3"/>
  <c r="B2470" i="3"/>
  <c r="C2470" i="3"/>
  <c r="B2471" i="3"/>
  <c r="C2471" i="3"/>
  <c r="B2472" i="3"/>
  <c r="C2472" i="3"/>
  <c r="B2473" i="3"/>
  <c r="C2473" i="3"/>
  <c r="B3058" i="3"/>
  <c r="C3058" i="3"/>
  <c r="B3059" i="3"/>
  <c r="C3059" i="3"/>
  <c r="B3060" i="3"/>
  <c r="C3060" i="3"/>
  <c r="B3061" i="3"/>
  <c r="C3061" i="3"/>
  <c r="B3062" i="3"/>
  <c r="C3062" i="3"/>
  <c r="B3063" i="3"/>
  <c r="C3063" i="3"/>
  <c r="B3064" i="3"/>
  <c r="C3064" i="3"/>
  <c r="B3065" i="3"/>
  <c r="C3065" i="3"/>
  <c r="B3162" i="3"/>
  <c r="C3162" i="3"/>
  <c r="B3163" i="3"/>
  <c r="C3163" i="3"/>
  <c r="B3164" i="3"/>
  <c r="C3164" i="3"/>
  <c r="B3165" i="3"/>
  <c r="C3165" i="3"/>
  <c r="B3166" i="3"/>
  <c r="C3166" i="3"/>
  <c r="B3167" i="3"/>
  <c r="C3167" i="3"/>
  <c r="B3168" i="3"/>
  <c r="C3168" i="3"/>
  <c r="B3169" i="3"/>
  <c r="C3169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1290" i="3"/>
  <c r="C1290" i="3"/>
  <c r="B1291" i="3"/>
  <c r="C1291" i="3"/>
  <c r="B1292" i="3"/>
  <c r="C1292" i="3"/>
  <c r="B1293" i="3"/>
  <c r="C1293" i="3"/>
  <c r="B1294" i="3"/>
  <c r="C1294" i="3"/>
  <c r="B1295" i="3"/>
  <c r="C1295" i="3"/>
  <c r="B1296" i="3"/>
  <c r="C1296" i="3"/>
  <c r="B1297" i="3"/>
  <c r="C1297" i="3"/>
  <c r="B2482" i="3"/>
  <c r="C2482" i="3"/>
  <c r="B2483" i="3"/>
  <c r="C2483" i="3"/>
  <c r="B2484" i="3"/>
  <c r="C2484" i="3"/>
  <c r="B2485" i="3"/>
  <c r="C2485" i="3"/>
  <c r="B2486" i="3"/>
  <c r="C2486" i="3"/>
  <c r="B2487" i="3"/>
  <c r="C2487" i="3"/>
  <c r="B2488" i="3"/>
  <c r="C2488" i="3"/>
  <c r="B2489" i="3"/>
  <c r="C2489" i="3"/>
  <c r="B1394" i="3"/>
  <c r="C1394" i="3"/>
  <c r="B1395" i="3"/>
  <c r="C1395" i="3"/>
  <c r="B1396" i="3"/>
  <c r="C1396" i="3"/>
  <c r="B1397" i="3"/>
  <c r="C1397" i="3"/>
  <c r="B1398" i="3"/>
  <c r="C1398" i="3"/>
  <c r="B1399" i="3"/>
  <c r="C1399" i="3"/>
  <c r="B1400" i="3"/>
  <c r="C1400" i="3"/>
  <c r="B1401" i="3"/>
  <c r="C1401" i="3"/>
  <c r="B2818" i="3"/>
  <c r="C2818" i="3"/>
  <c r="B2819" i="3"/>
  <c r="C2819" i="3"/>
  <c r="B2820" i="3"/>
  <c r="C2820" i="3"/>
  <c r="B2821" i="3"/>
  <c r="C2821" i="3"/>
  <c r="B2822" i="3"/>
  <c r="C2822" i="3"/>
  <c r="B2823" i="3"/>
  <c r="C2823" i="3"/>
  <c r="B2824" i="3"/>
  <c r="C2824" i="3"/>
  <c r="B2825" i="3"/>
  <c r="C2825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46" i="3"/>
  <c r="C946" i="3"/>
  <c r="B947" i="3"/>
  <c r="C947" i="3"/>
  <c r="B948" i="3"/>
  <c r="C948" i="3"/>
  <c r="B949" i="3"/>
  <c r="C949" i="3"/>
  <c r="B950" i="3"/>
  <c r="C950" i="3"/>
  <c r="B951" i="3"/>
  <c r="C951" i="3"/>
  <c r="B952" i="3"/>
  <c r="C952" i="3"/>
  <c r="B953" i="3"/>
  <c r="C953" i="3"/>
  <c r="B954" i="3"/>
  <c r="C954" i="3"/>
  <c r="B955" i="3"/>
  <c r="C955" i="3"/>
  <c r="B956" i="3"/>
  <c r="C956" i="3"/>
  <c r="B957" i="3"/>
  <c r="C957" i="3"/>
  <c r="B958" i="3"/>
  <c r="C958" i="3"/>
  <c r="B959" i="3"/>
  <c r="C959" i="3"/>
  <c r="B960" i="3"/>
  <c r="C960" i="3"/>
  <c r="B961" i="3"/>
  <c r="C961" i="3"/>
  <c r="B1042" i="3"/>
  <c r="C1042" i="3"/>
  <c r="B1043" i="3"/>
  <c r="C1043" i="3"/>
  <c r="B1044" i="3"/>
  <c r="C1044" i="3"/>
  <c r="B1045" i="3"/>
  <c r="C1045" i="3"/>
  <c r="B1046" i="3"/>
  <c r="C1046" i="3"/>
  <c r="B1047" i="3"/>
  <c r="C1047" i="3"/>
  <c r="B1048" i="3"/>
  <c r="C1048" i="3"/>
  <c r="B1049" i="3"/>
  <c r="C1049" i="3"/>
  <c r="B1050" i="3"/>
  <c r="C1050" i="3"/>
  <c r="B1051" i="3"/>
  <c r="C1051" i="3"/>
  <c r="B1052" i="3"/>
  <c r="C1052" i="3"/>
  <c r="B1053" i="3"/>
  <c r="C1053" i="3"/>
  <c r="B1054" i="3"/>
  <c r="C1054" i="3"/>
  <c r="B1055" i="3"/>
  <c r="C1055" i="3"/>
  <c r="B1056" i="3"/>
  <c r="C1056" i="3"/>
  <c r="B1057" i="3"/>
  <c r="C1057" i="3"/>
  <c r="B1066" i="3"/>
  <c r="C1066" i="3"/>
  <c r="B1067" i="3"/>
  <c r="C1067" i="3"/>
  <c r="B1068" i="3"/>
  <c r="C1068" i="3"/>
  <c r="B1069" i="3"/>
  <c r="C1069" i="3"/>
  <c r="B1070" i="3"/>
  <c r="C1070" i="3"/>
  <c r="B1071" i="3"/>
  <c r="C1071" i="3"/>
  <c r="B1072" i="3"/>
  <c r="C1072" i="3"/>
  <c r="B1073" i="3"/>
  <c r="C1073" i="3"/>
  <c r="B1130" i="3"/>
  <c r="C1130" i="3"/>
  <c r="B1131" i="3"/>
  <c r="C1131" i="3"/>
  <c r="B1132" i="3"/>
  <c r="C1132" i="3"/>
  <c r="B1133" i="3"/>
  <c r="C1133" i="3"/>
  <c r="B1134" i="3"/>
  <c r="C1134" i="3"/>
  <c r="B1135" i="3"/>
  <c r="C1135" i="3"/>
  <c r="B1136" i="3"/>
  <c r="C1136" i="3"/>
  <c r="B1137" i="3"/>
  <c r="C1137" i="3"/>
  <c r="B1154" i="3"/>
  <c r="C1154" i="3"/>
  <c r="B1155" i="3"/>
  <c r="C1155" i="3"/>
  <c r="B1156" i="3"/>
  <c r="C1156" i="3"/>
  <c r="B1157" i="3"/>
  <c r="C1157" i="3"/>
  <c r="B1158" i="3"/>
  <c r="C1158" i="3"/>
  <c r="B1159" i="3"/>
  <c r="C1159" i="3"/>
  <c r="B1160" i="3"/>
  <c r="C1160" i="3"/>
  <c r="B1161" i="3"/>
  <c r="C1161" i="3"/>
  <c r="B1170" i="3"/>
  <c r="C1170" i="3"/>
  <c r="B1171" i="3"/>
  <c r="C1171" i="3"/>
  <c r="B1172" i="3"/>
  <c r="C1172" i="3"/>
  <c r="B1173" i="3"/>
  <c r="C1173" i="3"/>
  <c r="B1174" i="3"/>
  <c r="C1174" i="3"/>
  <c r="B1175" i="3"/>
  <c r="C1175" i="3"/>
  <c r="B1176" i="3"/>
  <c r="C1176" i="3"/>
  <c r="B1177" i="3"/>
  <c r="C1177" i="3"/>
  <c r="B1178" i="3"/>
  <c r="C1178" i="3"/>
  <c r="B1179" i="3"/>
  <c r="C1179" i="3"/>
  <c r="B1180" i="3"/>
  <c r="C1180" i="3"/>
  <c r="B1181" i="3"/>
  <c r="C1181" i="3"/>
  <c r="B1182" i="3"/>
  <c r="C1182" i="3"/>
  <c r="B1183" i="3"/>
  <c r="C1183" i="3"/>
  <c r="B1184" i="3"/>
  <c r="C1184" i="3"/>
  <c r="B1185" i="3"/>
  <c r="C1185" i="3"/>
  <c r="B1186" i="3"/>
  <c r="C1186" i="3"/>
  <c r="B1187" i="3"/>
  <c r="C1187" i="3"/>
  <c r="B1188" i="3"/>
  <c r="C1188" i="3"/>
  <c r="B1189" i="3"/>
  <c r="C1189" i="3"/>
  <c r="B1190" i="3"/>
  <c r="C1190" i="3"/>
  <c r="B1191" i="3"/>
  <c r="C1191" i="3"/>
  <c r="B1192" i="3"/>
  <c r="C1192" i="3"/>
  <c r="B1193" i="3"/>
  <c r="C1193" i="3"/>
  <c r="B1202" i="3"/>
  <c r="C1202" i="3"/>
  <c r="B1203" i="3"/>
  <c r="C1203" i="3"/>
  <c r="B1204" i="3"/>
  <c r="C1204" i="3"/>
  <c r="B1205" i="3"/>
  <c r="C1205" i="3"/>
  <c r="B1206" i="3"/>
  <c r="C1206" i="3"/>
  <c r="B1207" i="3"/>
  <c r="C1207" i="3"/>
  <c r="B1208" i="3"/>
  <c r="C1208" i="3"/>
  <c r="B1209" i="3"/>
  <c r="C1209" i="3"/>
  <c r="B1218" i="3"/>
  <c r="C1218" i="3"/>
  <c r="B1219" i="3"/>
  <c r="C1219" i="3"/>
  <c r="B1220" i="3"/>
  <c r="C1220" i="3"/>
  <c r="B1221" i="3"/>
  <c r="C1221" i="3"/>
  <c r="B1222" i="3"/>
  <c r="C1222" i="3"/>
  <c r="B1223" i="3"/>
  <c r="C1223" i="3"/>
  <c r="B1224" i="3"/>
  <c r="C1224" i="3"/>
  <c r="B1225" i="3"/>
  <c r="C1225" i="3"/>
  <c r="B1242" i="3"/>
  <c r="C1242" i="3"/>
  <c r="B1243" i="3"/>
  <c r="C1243" i="3"/>
  <c r="B1244" i="3"/>
  <c r="C1244" i="3"/>
  <c r="B1245" i="3"/>
  <c r="C1245" i="3"/>
  <c r="B1246" i="3"/>
  <c r="C1246" i="3"/>
  <c r="B1247" i="3"/>
  <c r="C1247" i="3"/>
  <c r="B1248" i="3"/>
  <c r="C1248" i="3"/>
  <c r="B1249" i="3"/>
  <c r="C1249" i="3"/>
  <c r="B1250" i="3"/>
  <c r="C1250" i="3"/>
  <c r="B1251" i="3"/>
  <c r="C1251" i="3"/>
  <c r="B1252" i="3"/>
  <c r="C1252" i="3"/>
  <c r="B1253" i="3"/>
  <c r="C1253" i="3"/>
  <c r="B1254" i="3"/>
  <c r="C1254" i="3"/>
  <c r="B1255" i="3"/>
  <c r="C1255" i="3"/>
  <c r="B1256" i="3"/>
  <c r="C1256" i="3"/>
  <c r="B1257" i="3"/>
  <c r="C1257" i="3"/>
  <c r="B1274" i="3"/>
  <c r="C1274" i="3"/>
  <c r="B1275" i="3"/>
  <c r="C1275" i="3"/>
  <c r="B1276" i="3"/>
  <c r="C1276" i="3"/>
  <c r="B1277" i="3"/>
  <c r="C1277" i="3"/>
  <c r="B1278" i="3"/>
  <c r="C1278" i="3"/>
  <c r="B1279" i="3"/>
  <c r="C1279" i="3"/>
  <c r="B1280" i="3"/>
  <c r="C1280" i="3"/>
  <c r="B1281" i="3"/>
  <c r="C1281" i="3"/>
  <c r="B1298" i="3"/>
  <c r="C1298" i="3"/>
  <c r="B1299" i="3"/>
  <c r="C1299" i="3"/>
  <c r="B1300" i="3"/>
  <c r="C1300" i="3"/>
  <c r="B1301" i="3"/>
  <c r="C1301" i="3"/>
  <c r="B1302" i="3"/>
  <c r="C1302" i="3"/>
  <c r="B1303" i="3"/>
  <c r="C1303" i="3"/>
  <c r="B1304" i="3"/>
  <c r="C1304" i="3"/>
  <c r="B1305" i="3"/>
  <c r="C1305" i="3"/>
  <c r="B1322" i="3"/>
  <c r="C1322" i="3"/>
  <c r="B1323" i="3"/>
  <c r="C1323" i="3"/>
  <c r="B1324" i="3"/>
  <c r="C1324" i="3"/>
  <c r="B1325" i="3"/>
  <c r="C1325" i="3"/>
  <c r="B1326" i="3"/>
  <c r="C1326" i="3"/>
  <c r="B1327" i="3"/>
  <c r="C1327" i="3"/>
  <c r="B1328" i="3"/>
  <c r="C1328" i="3"/>
  <c r="B1329" i="3"/>
  <c r="C1329" i="3"/>
  <c r="B1330" i="3"/>
  <c r="C1330" i="3"/>
  <c r="B1331" i="3"/>
  <c r="C1331" i="3"/>
  <c r="B1332" i="3"/>
  <c r="C1332" i="3"/>
  <c r="B1333" i="3"/>
  <c r="C1333" i="3"/>
  <c r="B1334" i="3"/>
  <c r="C1334" i="3"/>
  <c r="B1335" i="3"/>
  <c r="C1335" i="3"/>
  <c r="B1336" i="3"/>
  <c r="C1336" i="3"/>
  <c r="B1337" i="3"/>
  <c r="C1337" i="3"/>
  <c r="B1378" i="3"/>
  <c r="C1378" i="3"/>
  <c r="B1379" i="3"/>
  <c r="C1379" i="3"/>
  <c r="B1380" i="3"/>
  <c r="C1380" i="3"/>
  <c r="B1381" i="3"/>
  <c r="C1381" i="3"/>
  <c r="B1382" i="3"/>
  <c r="C1382" i="3"/>
  <c r="B1383" i="3"/>
  <c r="C1383" i="3"/>
  <c r="B1384" i="3"/>
  <c r="C1384" i="3"/>
  <c r="B1385" i="3"/>
  <c r="C1385" i="3"/>
  <c r="B1410" i="3"/>
  <c r="C1410" i="3"/>
  <c r="B1411" i="3"/>
  <c r="C1411" i="3"/>
  <c r="B1412" i="3"/>
  <c r="C1412" i="3"/>
  <c r="B1413" i="3"/>
  <c r="C1413" i="3"/>
  <c r="B1414" i="3"/>
  <c r="C1414" i="3"/>
  <c r="B1415" i="3"/>
  <c r="C1415" i="3"/>
  <c r="B1416" i="3"/>
  <c r="C1416" i="3"/>
  <c r="B1417" i="3"/>
  <c r="C1417" i="3"/>
  <c r="B1450" i="3"/>
  <c r="C1450" i="3"/>
  <c r="B1451" i="3"/>
  <c r="C1451" i="3"/>
  <c r="B1452" i="3"/>
  <c r="C1452" i="3"/>
  <c r="B1453" i="3"/>
  <c r="C1453" i="3"/>
  <c r="B1454" i="3"/>
  <c r="C1454" i="3"/>
  <c r="B1455" i="3"/>
  <c r="C1455" i="3"/>
  <c r="B1456" i="3"/>
  <c r="C1456" i="3"/>
  <c r="B1457" i="3"/>
  <c r="C1457" i="3"/>
  <c r="B1458" i="3"/>
  <c r="C1458" i="3"/>
  <c r="B1459" i="3"/>
  <c r="C1459" i="3"/>
  <c r="B1460" i="3"/>
  <c r="C1460" i="3"/>
  <c r="B1461" i="3"/>
  <c r="C1461" i="3"/>
  <c r="B1462" i="3"/>
  <c r="C1462" i="3"/>
  <c r="B1463" i="3"/>
  <c r="C1463" i="3"/>
  <c r="B1464" i="3"/>
  <c r="C1464" i="3"/>
  <c r="B1465" i="3"/>
  <c r="C1465" i="3"/>
  <c r="B1466" i="3"/>
  <c r="C1466" i="3"/>
  <c r="B1467" i="3"/>
  <c r="C1467" i="3"/>
  <c r="B1468" i="3"/>
  <c r="C1468" i="3"/>
  <c r="B1469" i="3"/>
  <c r="C1469" i="3"/>
  <c r="B1470" i="3"/>
  <c r="C1470" i="3"/>
  <c r="B1471" i="3"/>
  <c r="C1471" i="3"/>
  <c r="B1472" i="3"/>
  <c r="C1472" i="3"/>
  <c r="B1473" i="3"/>
  <c r="C1473" i="3"/>
  <c r="B1530" i="3"/>
  <c r="C1530" i="3"/>
  <c r="B1531" i="3"/>
  <c r="C1531" i="3"/>
  <c r="B1532" i="3"/>
  <c r="C1532" i="3"/>
  <c r="B1533" i="3"/>
  <c r="C1533" i="3"/>
  <c r="B1534" i="3"/>
  <c r="C1534" i="3"/>
  <c r="B1535" i="3"/>
  <c r="C1535" i="3"/>
  <c r="B1536" i="3"/>
  <c r="C1536" i="3"/>
  <c r="B1537" i="3"/>
  <c r="C1537" i="3"/>
  <c r="B1546" i="3"/>
  <c r="C1546" i="3"/>
  <c r="B1547" i="3"/>
  <c r="C1547" i="3"/>
  <c r="B1548" i="3"/>
  <c r="C1548" i="3"/>
  <c r="B1549" i="3"/>
  <c r="C1549" i="3"/>
  <c r="B1550" i="3"/>
  <c r="C1550" i="3"/>
  <c r="B1551" i="3"/>
  <c r="C1551" i="3"/>
  <c r="B1552" i="3"/>
  <c r="C1552" i="3"/>
  <c r="B1553" i="3"/>
  <c r="C1553" i="3"/>
  <c r="B1570" i="3"/>
  <c r="C1570" i="3"/>
  <c r="B1571" i="3"/>
  <c r="C1571" i="3"/>
  <c r="B1572" i="3"/>
  <c r="C1572" i="3"/>
  <c r="B1573" i="3"/>
  <c r="C1573" i="3"/>
  <c r="B1574" i="3"/>
  <c r="C1574" i="3"/>
  <c r="B1575" i="3"/>
  <c r="C1575" i="3"/>
  <c r="B1576" i="3"/>
  <c r="C1576" i="3"/>
  <c r="B1577" i="3"/>
  <c r="C1577" i="3"/>
  <c r="B1578" i="3"/>
  <c r="C1578" i="3"/>
  <c r="B1579" i="3"/>
  <c r="C1579" i="3"/>
  <c r="B1580" i="3"/>
  <c r="C1580" i="3"/>
  <c r="B1581" i="3"/>
  <c r="C1581" i="3"/>
  <c r="B1582" i="3"/>
  <c r="C1582" i="3"/>
  <c r="B1583" i="3"/>
  <c r="C1583" i="3"/>
  <c r="B1584" i="3"/>
  <c r="C1584" i="3"/>
  <c r="B1585" i="3"/>
  <c r="C1585" i="3"/>
  <c r="B1586" i="3"/>
  <c r="C1586" i="3"/>
  <c r="B1587" i="3"/>
  <c r="C1587" i="3"/>
  <c r="B1588" i="3"/>
  <c r="C1588" i="3"/>
  <c r="B1589" i="3"/>
  <c r="C1589" i="3"/>
  <c r="B1590" i="3"/>
  <c r="C1590" i="3"/>
  <c r="B1591" i="3"/>
  <c r="C1591" i="3"/>
  <c r="B1592" i="3"/>
  <c r="C1592" i="3"/>
  <c r="B1593" i="3"/>
  <c r="C1593" i="3"/>
  <c r="B1626" i="3"/>
  <c r="C1626" i="3"/>
  <c r="B1627" i="3"/>
  <c r="C1627" i="3"/>
  <c r="B1628" i="3"/>
  <c r="C1628" i="3"/>
  <c r="B1629" i="3"/>
  <c r="C1629" i="3"/>
  <c r="B1630" i="3"/>
  <c r="C1630" i="3"/>
  <c r="B1631" i="3"/>
  <c r="C1631" i="3"/>
  <c r="B1632" i="3"/>
  <c r="C1632" i="3"/>
  <c r="B1633" i="3"/>
  <c r="C1633" i="3"/>
  <c r="B1666" i="3"/>
  <c r="C1666" i="3"/>
  <c r="B1667" i="3"/>
  <c r="C1667" i="3"/>
  <c r="B1668" i="3"/>
  <c r="C1668" i="3"/>
  <c r="B1669" i="3"/>
  <c r="C1669" i="3"/>
  <c r="B1670" i="3"/>
  <c r="C1670" i="3"/>
  <c r="B1671" i="3"/>
  <c r="C1671" i="3"/>
  <c r="B1672" i="3"/>
  <c r="C1672" i="3"/>
  <c r="B1673" i="3"/>
  <c r="C1673" i="3"/>
  <c r="B1674" i="3"/>
  <c r="C1674" i="3"/>
  <c r="B1675" i="3"/>
  <c r="C1675" i="3"/>
  <c r="B1676" i="3"/>
  <c r="C1676" i="3"/>
  <c r="B1677" i="3"/>
  <c r="C1677" i="3"/>
  <c r="B1678" i="3"/>
  <c r="C1678" i="3"/>
  <c r="B1679" i="3"/>
  <c r="C1679" i="3"/>
  <c r="B1680" i="3"/>
  <c r="C1680" i="3"/>
  <c r="B1681" i="3"/>
  <c r="C1681" i="3"/>
  <c r="B1714" i="3"/>
  <c r="C1714" i="3"/>
  <c r="B1715" i="3"/>
  <c r="C1715" i="3"/>
  <c r="B1716" i="3"/>
  <c r="C1716" i="3"/>
  <c r="B1717" i="3"/>
  <c r="C1717" i="3"/>
  <c r="B1718" i="3"/>
  <c r="C1718" i="3"/>
  <c r="B1719" i="3"/>
  <c r="C1719" i="3"/>
  <c r="B1720" i="3"/>
  <c r="C1720" i="3"/>
  <c r="B1721" i="3"/>
  <c r="C1721" i="3"/>
  <c r="B1722" i="3"/>
  <c r="C1722" i="3"/>
  <c r="B1723" i="3"/>
  <c r="C1723" i="3"/>
  <c r="B1724" i="3"/>
  <c r="C1724" i="3"/>
  <c r="B1725" i="3"/>
  <c r="C1725" i="3"/>
  <c r="B1726" i="3"/>
  <c r="C1726" i="3"/>
  <c r="B1727" i="3"/>
  <c r="C1727" i="3"/>
  <c r="B1728" i="3"/>
  <c r="C1728" i="3"/>
  <c r="B1729" i="3"/>
  <c r="C1729" i="3"/>
  <c r="B1746" i="3"/>
  <c r="C1746" i="3"/>
  <c r="B1747" i="3"/>
  <c r="C1747" i="3"/>
  <c r="B1748" i="3"/>
  <c r="C1748" i="3"/>
  <c r="B1749" i="3"/>
  <c r="C1749" i="3"/>
  <c r="B1750" i="3"/>
  <c r="C1750" i="3"/>
  <c r="B1751" i="3"/>
  <c r="C1751" i="3"/>
  <c r="B1752" i="3"/>
  <c r="C1752" i="3"/>
  <c r="B1753" i="3"/>
  <c r="C1753" i="3"/>
  <c r="B1778" i="3"/>
  <c r="C1778" i="3"/>
  <c r="B1779" i="3"/>
  <c r="C1779" i="3"/>
  <c r="B1780" i="3"/>
  <c r="C1780" i="3"/>
  <c r="B1781" i="3"/>
  <c r="C1781" i="3"/>
  <c r="B1782" i="3"/>
  <c r="C1782" i="3"/>
  <c r="B1783" i="3"/>
  <c r="C1783" i="3"/>
  <c r="B1784" i="3"/>
  <c r="C1784" i="3"/>
  <c r="B1785" i="3"/>
  <c r="C1785" i="3"/>
  <c r="B1802" i="3"/>
  <c r="C1802" i="3"/>
  <c r="B1803" i="3"/>
  <c r="C1803" i="3"/>
  <c r="B1804" i="3"/>
  <c r="C1804" i="3"/>
  <c r="B1805" i="3"/>
  <c r="C1805" i="3"/>
  <c r="B1806" i="3"/>
  <c r="C1806" i="3"/>
  <c r="B1807" i="3"/>
  <c r="C1807" i="3"/>
  <c r="B1808" i="3"/>
  <c r="C1808" i="3"/>
  <c r="B1809" i="3"/>
  <c r="C1809" i="3"/>
  <c r="B1834" i="3"/>
  <c r="C1834" i="3"/>
  <c r="B1835" i="3"/>
  <c r="C1835" i="3"/>
  <c r="B1836" i="3"/>
  <c r="C1836" i="3"/>
  <c r="B1837" i="3"/>
  <c r="C1837" i="3"/>
  <c r="B1838" i="3"/>
  <c r="C1838" i="3"/>
  <c r="B1839" i="3"/>
  <c r="C1839" i="3"/>
  <c r="B1840" i="3"/>
  <c r="C1840" i="3"/>
  <c r="B1841" i="3"/>
  <c r="C1841" i="3"/>
  <c r="B1842" i="3"/>
  <c r="C1842" i="3"/>
  <c r="B1843" i="3"/>
  <c r="C1843" i="3"/>
  <c r="B1844" i="3"/>
  <c r="C1844" i="3"/>
  <c r="B1845" i="3"/>
  <c r="C1845" i="3"/>
  <c r="B1846" i="3"/>
  <c r="C1846" i="3"/>
  <c r="B1847" i="3"/>
  <c r="C1847" i="3"/>
  <c r="B1848" i="3"/>
  <c r="C1848" i="3"/>
  <c r="B1849" i="3"/>
  <c r="C1849" i="3"/>
  <c r="B1906" i="3"/>
  <c r="C1906" i="3"/>
  <c r="B1907" i="3"/>
  <c r="C1907" i="3"/>
  <c r="B1908" i="3"/>
  <c r="C1908" i="3"/>
  <c r="B1909" i="3"/>
  <c r="C1909" i="3"/>
  <c r="B1910" i="3"/>
  <c r="C1910" i="3"/>
  <c r="B1911" i="3"/>
  <c r="C1911" i="3"/>
  <c r="B1912" i="3"/>
  <c r="C1912" i="3"/>
  <c r="B1913" i="3"/>
  <c r="C1913" i="3"/>
  <c r="B1946" i="3"/>
  <c r="C1946" i="3"/>
  <c r="B1947" i="3"/>
  <c r="C1947" i="3"/>
  <c r="B1948" i="3"/>
  <c r="C1948" i="3"/>
  <c r="B1949" i="3"/>
  <c r="C1949" i="3"/>
  <c r="B1950" i="3"/>
  <c r="C1950" i="3"/>
  <c r="B1951" i="3"/>
  <c r="C1951" i="3"/>
  <c r="B1952" i="3"/>
  <c r="C1952" i="3"/>
  <c r="B1953" i="3"/>
  <c r="C1953" i="3"/>
  <c r="B1962" i="3"/>
  <c r="C1962" i="3"/>
  <c r="B1963" i="3"/>
  <c r="C1963" i="3"/>
  <c r="B1964" i="3"/>
  <c r="C1964" i="3"/>
  <c r="B1965" i="3"/>
  <c r="C1965" i="3"/>
  <c r="B1966" i="3"/>
  <c r="C1966" i="3"/>
  <c r="B1967" i="3"/>
  <c r="C1967" i="3"/>
  <c r="B1968" i="3"/>
  <c r="C1968" i="3"/>
  <c r="B1969" i="3"/>
  <c r="C1969" i="3"/>
  <c r="B2018" i="3"/>
  <c r="C2018" i="3"/>
  <c r="B2019" i="3"/>
  <c r="C2019" i="3"/>
  <c r="B2020" i="3"/>
  <c r="C2020" i="3"/>
  <c r="B2021" i="3"/>
  <c r="C2021" i="3"/>
  <c r="B2022" i="3"/>
  <c r="C2022" i="3"/>
  <c r="B2023" i="3"/>
  <c r="C2023" i="3"/>
  <c r="B2024" i="3"/>
  <c r="C2024" i="3"/>
  <c r="B2025" i="3"/>
  <c r="C2025" i="3"/>
  <c r="B2026" i="3"/>
  <c r="C2026" i="3"/>
  <c r="B2027" i="3"/>
  <c r="C2027" i="3"/>
  <c r="B2028" i="3"/>
  <c r="C2028" i="3"/>
  <c r="B2029" i="3"/>
  <c r="C2029" i="3"/>
  <c r="B2030" i="3"/>
  <c r="C2030" i="3"/>
  <c r="B2031" i="3"/>
  <c r="C2031" i="3"/>
  <c r="B2032" i="3"/>
  <c r="C2032" i="3"/>
  <c r="B2033" i="3"/>
  <c r="C2033" i="3"/>
  <c r="B2042" i="3"/>
  <c r="C2042" i="3"/>
  <c r="B2043" i="3"/>
  <c r="C2043" i="3"/>
  <c r="B2044" i="3"/>
  <c r="C2044" i="3"/>
  <c r="B2045" i="3"/>
  <c r="C2045" i="3"/>
  <c r="B2046" i="3"/>
  <c r="C2046" i="3"/>
  <c r="B2047" i="3"/>
  <c r="C2047" i="3"/>
  <c r="B2048" i="3"/>
  <c r="C2048" i="3"/>
  <c r="B2049" i="3"/>
  <c r="C2049" i="3"/>
  <c r="B2090" i="3"/>
  <c r="C2090" i="3"/>
  <c r="B2091" i="3"/>
  <c r="C2091" i="3"/>
  <c r="B2092" i="3"/>
  <c r="C2092" i="3"/>
  <c r="B2093" i="3"/>
  <c r="C2093" i="3"/>
  <c r="B2094" i="3"/>
  <c r="C2094" i="3"/>
  <c r="B2095" i="3"/>
  <c r="C2095" i="3"/>
  <c r="B2096" i="3"/>
  <c r="C2096" i="3"/>
  <c r="B2097" i="3"/>
  <c r="C2097" i="3"/>
  <c r="B2098" i="3"/>
  <c r="C2098" i="3"/>
  <c r="B2099" i="3"/>
  <c r="C2099" i="3"/>
  <c r="B2100" i="3"/>
  <c r="C2100" i="3"/>
  <c r="B2101" i="3"/>
  <c r="C2101" i="3"/>
  <c r="B2102" i="3"/>
  <c r="C2102" i="3"/>
  <c r="B2103" i="3"/>
  <c r="C2103" i="3"/>
  <c r="B2104" i="3"/>
  <c r="C2104" i="3"/>
  <c r="B2105" i="3"/>
  <c r="C2105" i="3"/>
  <c r="B2162" i="3"/>
  <c r="C2162" i="3"/>
  <c r="B2163" i="3"/>
  <c r="C2163" i="3"/>
  <c r="B2164" i="3"/>
  <c r="C2164" i="3"/>
  <c r="B2165" i="3"/>
  <c r="C2165" i="3"/>
  <c r="B2166" i="3"/>
  <c r="C2166" i="3"/>
  <c r="B2167" i="3"/>
  <c r="C2167" i="3"/>
  <c r="B2168" i="3"/>
  <c r="C2168" i="3"/>
  <c r="B2169" i="3"/>
  <c r="C2169" i="3"/>
  <c r="B2194" i="3"/>
  <c r="C2194" i="3"/>
  <c r="B2195" i="3"/>
  <c r="C2195" i="3"/>
  <c r="B2196" i="3"/>
  <c r="C2196" i="3"/>
  <c r="B2197" i="3"/>
  <c r="C2197" i="3"/>
  <c r="B2198" i="3"/>
  <c r="C2198" i="3"/>
  <c r="B2199" i="3"/>
  <c r="C2199" i="3"/>
  <c r="B2200" i="3"/>
  <c r="C2200" i="3"/>
  <c r="B2201" i="3"/>
  <c r="C2201" i="3"/>
  <c r="B2250" i="3"/>
  <c r="C2250" i="3"/>
  <c r="B2251" i="3"/>
  <c r="C2251" i="3"/>
  <c r="B2252" i="3"/>
  <c r="C2252" i="3"/>
  <c r="B2253" i="3"/>
  <c r="C2253" i="3"/>
  <c r="B2254" i="3"/>
  <c r="C2254" i="3"/>
  <c r="B2255" i="3"/>
  <c r="C2255" i="3"/>
  <c r="B2256" i="3"/>
  <c r="C2256" i="3"/>
  <c r="B2257" i="3"/>
  <c r="C2257" i="3"/>
  <c r="B2282" i="3"/>
  <c r="C2282" i="3"/>
  <c r="B2283" i="3"/>
  <c r="C2283" i="3"/>
  <c r="B2284" i="3"/>
  <c r="C2284" i="3"/>
  <c r="B2285" i="3"/>
  <c r="C2285" i="3"/>
  <c r="B2286" i="3"/>
  <c r="C2286" i="3"/>
  <c r="B2287" i="3"/>
  <c r="C2287" i="3"/>
  <c r="B2288" i="3"/>
  <c r="C2288" i="3"/>
  <c r="B2289" i="3"/>
  <c r="C2289" i="3"/>
  <c r="B2330" i="3"/>
  <c r="C2330" i="3"/>
  <c r="B2331" i="3"/>
  <c r="C2331" i="3"/>
  <c r="B2332" i="3"/>
  <c r="C2332" i="3"/>
  <c r="B2333" i="3"/>
  <c r="C2333" i="3"/>
  <c r="B2334" i="3"/>
  <c r="C2334" i="3"/>
  <c r="B2335" i="3"/>
  <c r="C2335" i="3"/>
  <c r="B2336" i="3"/>
  <c r="C2336" i="3"/>
  <c r="B2337" i="3"/>
  <c r="C2337" i="3"/>
  <c r="B2346" i="3"/>
  <c r="C2346" i="3"/>
  <c r="B2347" i="3"/>
  <c r="C2347" i="3"/>
  <c r="B2348" i="3"/>
  <c r="C2348" i="3"/>
  <c r="B2349" i="3"/>
  <c r="C2349" i="3"/>
  <c r="B2350" i="3"/>
  <c r="C2350" i="3"/>
  <c r="B2351" i="3"/>
  <c r="C2351" i="3"/>
  <c r="B2352" i="3"/>
  <c r="C2352" i="3"/>
  <c r="B2353" i="3"/>
  <c r="C2353" i="3"/>
  <c r="B2362" i="3"/>
  <c r="C2362" i="3"/>
  <c r="B2363" i="3"/>
  <c r="C2363" i="3"/>
  <c r="B2364" i="3"/>
  <c r="C2364" i="3"/>
  <c r="B2365" i="3"/>
  <c r="C2365" i="3"/>
  <c r="B2366" i="3"/>
  <c r="C2366" i="3"/>
  <c r="B2367" i="3"/>
  <c r="C2367" i="3"/>
  <c r="B2368" i="3"/>
  <c r="C2368" i="3"/>
  <c r="B2369" i="3"/>
  <c r="C2369" i="3"/>
  <c r="B2378" i="3"/>
  <c r="C2378" i="3"/>
  <c r="B2379" i="3"/>
  <c r="C2379" i="3"/>
  <c r="B2380" i="3"/>
  <c r="C2380" i="3"/>
  <c r="B2381" i="3"/>
  <c r="C2381" i="3"/>
  <c r="B2382" i="3"/>
  <c r="C2382" i="3"/>
  <c r="B2383" i="3"/>
  <c r="C2383" i="3"/>
  <c r="B2384" i="3"/>
  <c r="C2384" i="3"/>
  <c r="B2385" i="3"/>
  <c r="C2385" i="3"/>
  <c r="B2514" i="3"/>
  <c r="C2514" i="3"/>
  <c r="B2515" i="3"/>
  <c r="C2515" i="3"/>
  <c r="B2516" i="3"/>
  <c r="C2516" i="3"/>
  <c r="B2517" i="3"/>
  <c r="C2517" i="3"/>
  <c r="B2518" i="3"/>
  <c r="C2518" i="3"/>
  <c r="B2519" i="3"/>
  <c r="C2519" i="3"/>
  <c r="B2520" i="3"/>
  <c r="C2520" i="3"/>
  <c r="B2521" i="3"/>
  <c r="C2521" i="3"/>
  <c r="B2530" i="3"/>
  <c r="C2530" i="3"/>
  <c r="B2531" i="3"/>
  <c r="C2531" i="3"/>
  <c r="B2532" i="3"/>
  <c r="C2532" i="3"/>
  <c r="B2533" i="3"/>
  <c r="C2533" i="3"/>
  <c r="B2534" i="3"/>
  <c r="C2534" i="3"/>
  <c r="B2535" i="3"/>
  <c r="C2535" i="3"/>
  <c r="B2536" i="3"/>
  <c r="C2536" i="3"/>
  <c r="B2537" i="3"/>
  <c r="C2537" i="3"/>
  <c r="B2570" i="3"/>
  <c r="C2570" i="3"/>
  <c r="B2571" i="3"/>
  <c r="C2571" i="3"/>
  <c r="B2572" i="3"/>
  <c r="C2572" i="3"/>
  <c r="B2573" i="3"/>
  <c r="C2573" i="3"/>
  <c r="B2574" i="3"/>
  <c r="C2574" i="3"/>
  <c r="B2575" i="3"/>
  <c r="C2575" i="3"/>
  <c r="B2576" i="3"/>
  <c r="C2576" i="3"/>
  <c r="B2577" i="3"/>
  <c r="C2577" i="3"/>
  <c r="B2578" i="3"/>
  <c r="C2578" i="3"/>
  <c r="B2579" i="3"/>
  <c r="C2579" i="3"/>
  <c r="B2580" i="3"/>
  <c r="C2580" i="3"/>
  <c r="B2581" i="3"/>
  <c r="C2581" i="3"/>
  <c r="B2582" i="3"/>
  <c r="C2582" i="3"/>
  <c r="B2583" i="3"/>
  <c r="C2583" i="3"/>
  <c r="B2584" i="3"/>
  <c r="C2584" i="3"/>
  <c r="B2585" i="3"/>
  <c r="C2585" i="3"/>
  <c r="B2586" i="3"/>
  <c r="C2586" i="3"/>
  <c r="B2587" i="3"/>
  <c r="C2587" i="3"/>
  <c r="B2588" i="3"/>
  <c r="C2588" i="3"/>
  <c r="B2589" i="3"/>
  <c r="C2589" i="3"/>
  <c r="B2590" i="3"/>
  <c r="C2590" i="3"/>
  <c r="B2591" i="3"/>
  <c r="C2591" i="3"/>
  <c r="B2592" i="3"/>
  <c r="C2592" i="3"/>
  <c r="B2593" i="3"/>
  <c r="C2593" i="3"/>
  <c r="B2642" i="3"/>
  <c r="C2642" i="3"/>
  <c r="B2643" i="3"/>
  <c r="C2643" i="3"/>
  <c r="B2644" i="3"/>
  <c r="C2644" i="3"/>
  <c r="B2645" i="3"/>
  <c r="C2645" i="3"/>
  <c r="B2646" i="3"/>
  <c r="C2646" i="3"/>
  <c r="B2647" i="3"/>
  <c r="C2647" i="3"/>
  <c r="B2648" i="3"/>
  <c r="C2648" i="3"/>
  <c r="B2649" i="3"/>
  <c r="C2649" i="3"/>
  <c r="B2650" i="3"/>
  <c r="C2650" i="3"/>
  <c r="B2651" i="3"/>
  <c r="C2651" i="3"/>
  <c r="B2652" i="3"/>
  <c r="C2652" i="3"/>
  <c r="B2653" i="3"/>
  <c r="C2653" i="3"/>
  <c r="B2654" i="3"/>
  <c r="C2654" i="3"/>
  <c r="B2655" i="3"/>
  <c r="C2655" i="3"/>
  <c r="B2656" i="3"/>
  <c r="C2656" i="3"/>
  <c r="B2657" i="3"/>
  <c r="C2657" i="3"/>
  <c r="B2690" i="3"/>
  <c r="C2690" i="3"/>
  <c r="B2691" i="3"/>
  <c r="C2691" i="3"/>
  <c r="B2692" i="3"/>
  <c r="C2692" i="3"/>
  <c r="B2693" i="3"/>
  <c r="C2693" i="3"/>
  <c r="B2694" i="3"/>
  <c r="C2694" i="3"/>
  <c r="B2695" i="3"/>
  <c r="C2695" i="3"/>
  <c r="B2696" i="3"/>
  <c r="C2696" i="3"/>
  <c r="B2697" i="3"/>
  <c r="C2697" i="3"/>
  <c r="B2714" i="3"/>
  <c r="C2714" i="3"/>
  <c r="B2715" i="3"/>
  <c r="C2715" i="3"/>
  <c r="B2716" i="3"/>
  <c r="C2716" i="3"/>
  <c r="B2717" i="3"/>
  <c r="C2717" i="3"/>
  <c r="B2718" i="3"/>
  <c r="C2718" i="3"/>
  <c r="B2719" i="3"/>
  <c r="C2719" i="3"/>
  <c r="B2720" i="3"/>
  <c r="C2720" i="3"/>
  <c r="B2721" i="3"/>
  <c r="C2721" i="3"/>
  <c r="B2722" i="3"/>
  <c r="C2722" i="3"/>
  <c r="B2723" i="3"/>
  <c r="C2723" i="3"/>
  <c r="B2724" i="3"/>
  <c r="C2724" i="3"/>
  <c r="B2725" i="3"/>
  <c r="C2725" i="3"/>
  <c r="B2726" i="3"/>
  <c r="C2726" i="3"/>
  <c r="B2727" i="3"/>
  <c r="C2727" i="3"/>
  <c r="B2728" i="3"/>
  <c r="C2728" i="3"/>
  <c r="B2729" i="3"/>
  <c r="C2729" i="3"/>
  <c r="B2746" i="3"/>
  <c r="C2746" i="3"/>
  <c r="B2747" i="3"/>
  <c r="C2747" i="3"/>
  <c r="B2748" i="3"/>
  <c r="C2748" i="3"/>
  <c r="B2749" i="3"/>
  <c r="C2749" i="3"/>
  <c r="B2750" i="3"/>
  <c r="C2750" i="3"/>
  <c r="B2751" i="3"/>
  <c r="C2751" i="3"/>
  <c r="B2752" i="3"/>
  <c r="C2752" i="3"/>
  <c r="B2753" i="3"/>
  <c r="C2753" i="3"/>
  <c r="B2754" i="3"/>
  <c r="C2754" i="3"/>
  <c r="B2755" i="3"/>
  <c r="C2755" i="3"/>
  <c r="B2756" i="3"/>
  <c r="C2756" i="3"/>
  <c r="B2757" i="3"/>
  <c r="C2757" i="3"/>
  <c r="B2758" i="3"/>
  <c r="C2758" i="3"/>
  <c r="B2759" i="3"/>
  <c r="C2759" i="3"/>
  <c r="B2760" i="3"/>
  <c r="C2760" i="3"/>
  <c r="B2761" i="3"/>
  <c r="C2761" i="3"/>
  <c r="B2762" i="3"/>
  <c r="C2762" i="3"/>
  <c r="B2763" i="3"/>
  <c r="C2763" i="3"/>
  <c r="B2764" i="3"/>
  <c r="C2764" i="3"/>
  <c r="B2765" i="3"/>
  <c r="C2765" i="3"/>
  <c r="B2766" i="3"/>
  <c r="C2766" i="3"/>
  <c r="B2767" i="3"/>
  <c r="C2767" i="3"/>
  <c r="B2768" i="3"/>
  <c r="C2768" i="3"/>
  <c r="B2769" i="3"/>
  <c r="C2769" i="3"/>
  <c r="B2770" i="3"/>
  <c r="C2770" i="3"/>
  <c r="B2771" i="3"/>
  <c r="C2771" i="3"/>
  <c r="B2772" i="3"/>
  <c r="C2772" i="3"/>
  <c r="B2773" i="3"/>
  <c r="C2773" i="3"/>
  <c r="B2774" i="3"/>
  <c r="C2774" i="3"/>
  <c r="B2775" i="3"/>
  <c r="C2775" i="3"/>
  <c r="B2776" i="3"/>
  <c r="C2776" i="3"/>
  <c r="B2777" i="3"/>
  <c r="C2777" i="3"/>
  <c r="B2802" i="3"/>
  <c r="C2802" i="3"/>
  <c r="B2803" i="3"/>
  <c r="C2803" i="3"/>
  <c r="B2804" i="3"/>
  <c r="C2804" i="3"/>
  <c r="B2805" i="3"/>
  <c r="C2805" i="3"/>
  <c r="B2806" i="3"/>
  <c r="C2806" i="3"/>
  <c r="B2807" i="3"/>
  <c r="C2807" i="3"/>
  <c r="B2808" i="3"/>
  <c r="C2808" i="3"/>
  <c r="B2809" i="3"/>
  <c r="C2809" i="3"/>
  <c r="B2858" i="3"/>
  <c r="C2858" i="3"/>
  <c r="B2859" i="3"/>
  <c r="C2859" i="3"/>
  <c r="B2860" i="3"/>
  <c r="C2860" i="3"/>
  <c r="B2861" i="3"/>
  <c r="C2861" i="3"/>
  <c r="B2862" i="3"/>
  <c r="C2862" i="3"/>
  <c r="B2863" i="3"/>
  <c r="C2863" i="3"/>
  <c r="B2864" i="3"/>
  <c r="C2864" i="3"/>
  <c r="B2865" i="3"/>
  <c r="C2865" i="3"/>
  <c r="B2874" i="3"/>
  <c r="C2874" i="3"/>
  <c r="B2875" i="3"/>
  <c r="C2875" i="3"/>
  <c r="B2876" i="3"/>
  <c r="C2876" i="3"/>
  <c r="B2877" i="3"/>
  <c r="C2877" i="3"/>
  <c r="B2878" i="3"/>
  <c r="C2878" i="3"/>
  <c r="B2879" i="3"/>
  <c r="C2879" i="3"/>
  <c r="B2880" i="3"/>
  <c r="C2880" i="3"/>
  <c r="B2881" i="3"/>
  <c r="C2881" i="3"/>
  <c r="B2906" i="3"/>
  <c r="C2906" i="3"/>
  <c r="B2907" i="3"/>
  <c r="C2907" i="3"/>
  <c r="B2908" i="3"/>
  <c r="C2908" i="3"/>
  <c r="B2909" i="3"/>
  <c r="C2909" i="3"/>
  <c r="B2910" i="3"/>
  <c r="C2910" i="3"/>
  <c r="B2911" i="3"/>
  <c r="C2911" i="3"/>
  <c r="B2912" i="3"/>
  <c r="C2912" i="3"/>
  <c r="B2913" i="3"/>
  <c r="C2913" i="3"/>
  <c r="B2914" i="3"/>
  <c r="C2914" i="3"/>
  <c r="B2915" i="3"/>
  <c r="C2915" i="3"/>
  <c r="B2916" i="3"/>
  <c r="C2916" i="3"/>
  <c r="B2917" i="3"/>
  <c r="C2917" i="3"/>
  <c r="B2918" i="3"/>
  <c r="C2918" i="3"/>
  <c r="B2919" i="3"/>
  <c r="C2919" i="3"/>
  <c r="B2920" i="3"/>
  <c r="C2920" i="3"/>
  <c r="B2921" i="3"/>
  <c r="C2921" i="3"/>
  <c r="B2962" i="3"/>
  <c r="C2962" i="3"/>
  <c r="B2963" i="3"/>
  <c r="C2963" i="3"/>
  <c r="B2964" i="3"/>
  <c r="C2964" i="3"/>
  <c r="B2965" i="3"/>
  <c r="C2965" i="3"/>
  <c r="B2966" i="3"/>
  <c r="C2966" i="3"/>
  <c r="B2967" i="3"/>
  <c r="C2967" i="3"/>
  <c r="B2968" i="3"/>
  <c r="C2968" i="3"/>
  <c r="B2969" i="3"/>
  <c r="C2969" i="3"/>
  <c r="B2970" i="3"/>
  <c r="C2970" i="3"/>
  <c r="B2971" i="3"/>
  <c r="C2971" i="3"/>
  <c r="B2972" i="3"/>
  <c r="C2972" i="3"/>
  <c r="B2973" i="3"/>
  <c r="C2973" i="3"/>
  <c r="B2974" i="3"/>
  <c r="C2974" i="3"/>
  <c r="B2975" i="3"/>
  <c r="C2975" i="3"/>
  <c r="B2976" i="3"/>
  <c r="C2976" i="3"/>
  <c r="B2977" i="3"/>
  <c r="C2977" i="3"/>
  <c r="B2978" i="3"/>
  <c r="C2978" i="3"/>
  <c r="B2979" i="3"/>
  <c r="C2979" i="3"/>
  <c r="B2980" i="3"/>
  <c r="C2980" i="3"/>
  <c r="B2981" i="3"/>
  <c r="C2981" i="3"/>
  <c r="B2982" i="3"/>
  <c r="C2982" i="3"/>
  <c r="B2983" i="3"/>
  <c r="C2983" i="3"/>
  <c r="B2984" i="3"/>
  <c r="C2984" i="3"/>
  <c r="B2985" i="3"/>
  <c r="C2985" i="3"/>
  <c r="B3002" i="3"/>
  <c r="C3002" i="3"/>
  <c r="B3003" i="3"/>
  <c r="C3003" i="3"/>
  <c r="B3004" i="3"/>
  <c r="C3004" i="3"/>
  <c r="B3005" i="3"/>
  <c r="C3005" i="3"/>
  <c r="B3006" i="3"/>
  <c r="C3006" i="3"/>
  <c r="B3007" i="3"/>
  <c r="C3007" i="3"/>
  <c r="B3008" i="3"/>
  <c r="C3008" i="3"/>
  <c r="B3009" i="3"/>
  <c r="C3009" i="3"/>
  <c r="B3066" i="3"/>
  <c r="C3066" i="3"/>
  <c r="B3067" i="3"/>
  <c r="C3067" i="3"/>
  <c r="B3068" i="3"/>
  <c r="C3068" i="3"/>
  <c r="B3069" i="3"/>
  <c r="C3069" i="3"/>
  <c r="B3070" i="3"/>
  <c r="C3070" i="3"/>
  <c r="B3071" i="3"/>
  <c r="C3071" i="3"/>
  <c r="B3072" i="3"/>
  <c r="C3072" i="3"/>
  <c r="B3073" i="3"/>
  <c r="C3073" i="3"/>
  <c r="B3074" i="3"/>
  <c r="C3074" i="3"/>
  <c r="B3075" i="3"/>
  <c r="C3075" i="3"/>
  <c r="B3076" i="3"/>
  <c r="C3076" i="3"/>
  <c r="B3077" i="3"/>
  <c r="C3077" i="3"/>
  <c r="B3078" i="3"/>
  <c r="C3078" i="3"/>
  <c r="B3079" i="3"/>
  <c r="C3079" i="3"/>
  <c r="B3080" i="3"/>
  <c r="C3080" i="3"/>
  <c r="B3081" i="3"/>
  <c r="C3081" i="3"/>
  <c r="B3122" i="3"/>
  <c r="C3122" i="3"/>
  <c r="B3123" i="3"/>
  <c r="C3123" i="3"/>
  <c r="B3124" i="3"/>
  <c r="C3124" i="3"/>
  <c r="B3125" i="3"/>
  <c r="C3125" i="3"/>
  <c r="B3126" i="3"/>
  <c r="C3126" i="3"/>
  <c r="B3127" i="3"/>
  <c r="C3127" i="3"/>
  <c r="B3128" i="3"/>
  <c r="C3128" i="3"/>
  <c r="B3129" i="3"/>
  <c r="C3129" i="3"/>
  <c r="B3186" i="3"/>
  <c r="C3186" i="3"/>
  <c r="B3187" i="3"/>
  <c r="C3187" i="3"/>
  <c r="B3188" i="3"/>
  <c r="C3188" i="3"/>
  <c r="B3189" i="3"/>
  <c r="C3189" i="3"/>
  <c r="B3190" i="3"/>
  <c r="C3190" i="3"/>
  <c r="B3191" i="3"/>
  <c r="C3191" i="3"/>
  <c r="B3192" i="3"/>
  <c r="C3192" i="3"/>
  <c r="B3193" i="3"/>
  <c r="C319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C1090" i="3"/>
  <c r="B1090" i="3"/>
  <c r="D203" i="1"/>
  <c r="D204" i="1"/>
  <c r="D205" i="1"/>
  <c r="D207" i="1"/>
  <c r="D208" i="1"/>
  <c r="D209" i="1"/>
  <c r="D210" i="1"/>
  <c r="D220" i="1"/>
  <c r="D221" i="1"/>
  <c r="D223" i="1"/>
  <c r="D226" i="1"/>
  <c r="D228" i="1"/>
  <c r="D229" i="1"/>
  <c r="D230" i="1"/>
  <c r="D231" i="1"/>
  <c r="D232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02" i="1"/>
  <c r="D3" i="1"/>
  <c r="D15" i="1"/>
  <c r="D16" i="1"/>
  <c r="D17" i="1"/>
  <c r="D18" i="1"/>
  <c r="D20" i="1"/>
  <c r="D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22" i="1"/>
</calcChain>
</file>

<file path=xl/sharedStrings.xml><?xml version="1.0" encoding="utf-8"?>
<sst xmlns="http://schemas.openxmlformats.org/spreadsheetml/2006/main" count="6914" uniqueCount="688">
  <si>
    <t>VALOR</t>
  </si>
  <si>
    <t>Cidade Ágil</t>
  </si>
  <si>
    <t>Básico</t>
  </si>
  <si>
    <t>Intermediário</t>
  </si>
  <si>
    <t>Cidade Compras</t>
  </si>
  <si>
    <t>Cidade Educação</t>
  </si>
  <si>
    <t>Palestra Empreedorismo para Educadores</t>
  </si>
  <si>
    <t>Quadrinhos 300 impressões</t>
  </si>
  <si>
    <t>Quadrinhos 400 impressões</t>
  </si>
  <si>
    <t>Quadrinhos 500 impressões</t>
  </si>
  <si>
    <t>Quadrinhos 600 impressões</t>
  </si>
  <si>
    <t>Quadrinhos 700 impressões</t>
  </si>
  <si>
    <t>Quadrinhos 800 impressões</t>
  </si>
  <si>
    <t>Quadrinhos 900 impressões</t>
  </si>
  <si>
    <t>Quadrinhos 1000 impressões</t>
  </si>
  <si>
    <t>Quadrinhos 1500 impressões</t>
  </si>
  <si>
    <t>Quadrinhos 2000 impressões</t>
  </si>
  <si>
    <t>Quadrinhos 2500 impressões</t>
  </si>
  <si>
    <t>Quadrinhos 3000 impressões</t>
  </si>
  <si>
    <t>Quadrinhos 3500 impressões</t>
  </si>
  <si>
    <t>Quadrinhos 4000 impressões</t>
  </si>
  <si>
    <t>Quadrinhos 4500 impressões</t>
  </si>
  <si>
    <t>Quadrinhos 5000 impressões</t>
  </si>
  <si>
    <t>Quadrinhos 10000 impressões</t>
  </si>
  <si>
    <t>Quadrinhos 20000 impressões</t>
  </si>
  <si>
    <t>Mural 300 impressões</t>
  </si>
  <si>
    <t>Mural 400 impressões</t>
  </si>
  <si>
    <t>Mural 500 impressões</t>
  </si>
  <si>
    <t>Mural 600 impressões</t>
  </si>
  <si>
    <t>Mural 700 impressões</t>
  </si>
  <si>
    <t>Mural 800 impressões</t>
  </si>
  <si>
    <t>Mural 900 impressões</t>
  </si>
  <si>
    <t>Mural 1000 impressões</t>
  </si>
  <si>
    <t>Mural 1500 impressões</t>
  </si>
  <si>
    <t>Mural 2000 impressões</t>
  </si>
  <si>
    <t>Mural 2500 impressões</t>
  </si>
  <si>
    <t>Mural 3000 impressões</t>
  </si>
  <si>
    <t>Mural 3500 impressões</t>
  </si>
  <si>
    <t>Mural 4000 impressões</t>
  </si>
  <si>
    <t>Mural 4500 impressões</t>
  </si>
  <si>
    <t>Mural 5000 impressões</t>
  </si>
  <si>
    <t>JEPP Digital</t>
  </si>
  <si>
    <t>JEPP (1º ano) 300 livros</t>
  </si>
  <si>
    <t>JEPP (1º ano) 400 livros</t>
  </si>
  <si>
    <t>JEPP (1º ano) 500 livros</t>
  </si>
  <si>
    <t>JEPP (1º ano) 600 livros</t>
  </si>
  <si>
    <t>JEPP (1º ano) 700 livros</t>
  </si>
  <si>
    <t>JEPP (1º ano) 800 livros</t>
  </si>
  <si>
    <t>JEPP (1º ano) 900 livros</t>
  </si>
  <si>
    <t>JEPP (1º ano) 1000 livros</t>
  </si>
  <si>
    <t>JEPP (1º ano) 1500 livros</t>
  </si>
  <si>
    <t>JEPP (1º ano) 2000 livros</t>
  </si>
  <si>
    <t>JEPP (1º ano) 2500 livros</t>
  </si>
  <si>
    <t>JEPP (1º ano) 3000 livros</t>
  </si>
  <si>
    <t>JEPP (1º ano) 3500 livros</t>
  </si>
  <si>
    <t>JEPP (1º ano) 4000 livros</t>
  </si>
  <si>
    <t>JEPP (1º ano) 4500 livros</t>
  </si>
  <si>
    <t>JEPP (1º ano) 5000 livros</t>
  </si>
  <si>
    <t>JEPP (2º ano) 300 livros</t>
  </si>
  <si>
    <t>JEPP (2º ano) 400 livros</t>
  </si>
  <si>
    <t>JEPP (2º ano) 500 livros</t>
  </si>
  <si>
    <t>JEPP (2º ano) 600 livros</t>
  </si>
  <si>
    <t>JEPP (2º ano) 700 livros</t>
  </si>
  <si>
    <t>JEPP (2º ano) 800 livros</t>
  </si>
  <si>
    <t>JEPP (2º ano) 900 livros</t>
  </si>
  <si>
    <t>JEPP (2º ano) 1000 livros</t>
  </si>
  <si>
    <t>JEPP (2º ano) 1500 livros</t>
  </si>
  <si>
    <t>JEPP (2º ano) 2000 livros</t>
  </si>
  <si>
    <t>JEPP (2º ano) 2500 livros</t>
  </si>
  <si>
    <t>JEPP (2º ano) 3000 livros</t>
  </si>
  <si>
    <t>JEPP (2º ano) 3500 livros</t>
  </si>
  <si>
    <t>JEPP (2º ano) 4000 livros</t>
  </si>
  <si>
    <t>JEPP (2º ano) 4500 livros</t>
  </si>
  <si>
    <t>JEPP (2º ano) 5000 livros</t>
  </si>
  <si>
    <t>JEPP (3º ano) 300 livros</t>
  </si>
  <si>
    <t>JEPP (3º ano) 400 livros</t>
  </si>
  <si>
    <t>JEPP (3º ano) 500 livros</t>
  </si>
  <si>
    <t>JEPP (3º ano) 600 livros</t>
  </si>
  <si>
    <t>JEPP (3º ano) 700 livros</t>
  </si>
  <si>
    <t>JEPP (3º ano) 800 livros</t>
  </si>
  <si>
    <t>JEPP (3º ano) 900 livros</t>
  </si>
  <si>
    <t>JEPP (3º ano) 1000 livros</t>
  </si>
  <si>
    <t>JEPP (3º ano) 1500 livros</t>
  </si>
  <si>
    <t>JEPP (3º ano) 2000 livros</t>
  </si>
  <si>
    <t>JEPP (3º ano) 2500 livros</t>
  </si>
  <si>
    <t>JEPP (3º ano) 3000 livros</t>
  </si>
  <si>
    <t>JEPP (3º ano) 3500 livros</t>
  </si>
  <si>
    <t>JEPP (3º ano) 4000 livros</t>
  </si>
  <si>
    <t>JEPP (3º ano) 4500 livros</t>
  </si>
  <si>
    <t>JEPP (3º ano) 5000 livros</t>
  </si>
  <si>
    <t>JEPP (4º ano) 300 livros</t>
  </si>
  <si>
    <t>JEPP (4º ano) 400 livros</t>
  </si>
  <si>
    <t>JEPP (4º ano) 500 livros</t>
  </si>
  <si>
    <t>JEPP (4º ano) 600 livros</t>
  </si>
  <si>
    <t>JEPP (4º ano) 700 livros</t>
  </si>
  <si>
    <t>JEPP (4º ano) 800 livros</t>
  </si>
  <si>
    <t>JEPP (4º ano) 900 livros</t>
  </si>
  <si>
    <t>JEPP (4º ano) 1000 livros</t>
  </si>
  <si>
    <t>JEPP (4º ano) 1500 livros</t>
  </si>
  <si>
    <t>JEPP (4º ano) 2000 livros</t>
  </si>
  <si>
    <t>JEPP (4º ano) 2500 livros</t>
  </si>
  <si>
    <t>JEPP (4º ano) 3000 livros</t>
  </si>
  <si>
    <t>JEPP (4º ano) 3500 livros</t>
  </si>
  <si>
    <t>JEPP (4º ano) 4000 livros</t>
  </si>
  <si>
    <t>JEPP (4º ano) 4500 livros</t>
  </si>
  <si>
    <t>JEPP (4º ano) 5000 livros</t>
  </si>
  <si>
    <t>JEPP (5º ano) 300 livros</t>
  </si>
  <si>
    <t>JEPP (5º ano) 400 livros</t>
  </si>
  <si>
    <t>JEPP (5º ano) 500 livros</t>
  </si>
  <si>
    <t>JEPP (5º ano) 600 livros</t>
  </si>
  <si>
    <t>JEPP (5º ano) 700 livros</t>
  </si>
  <si>
    <t>JEPP (5º ano) 800 livros</t>
  </si>
  <si>
    <t>JEPP (5º ano) 900 livros</t>
  </si>
  <si>
    <t>JEPP (5º ano) 1000 livros</t>
  </si>
  <si>
    <t>JEPP (5º ano) 1500 livros</t>
  </si>
  <si>
    <t>JEPP (5º ano) 2000 livros</t>
  </si>
  <si>
    <t>JEPP (5º ano) 2500 livros</t>
  </si>
  <si>
    <t>JEPP (5º ano) 3000 livros</t>
  </si>
  <si>
    <t>JEPP (5º ano) 3500 livros</t>
  </si>
  <si>
    <t>JEPP (5º ano) 4000 livros</t>
  </si>
  <si>
    <t>JEPP (5º ano) 4500 livros</t>
  </si>
  <si>
    <t>JEPP (5º ano) 5000 livros</t>
  </si>
  <si>
    <t>JEPP (6º ano) 300 livros</t>
  </si>
  <si>
    <t>JEPP (6º ano) 400 livros</t>
  </si>
  <si>
    <t>JEPP (6º ano) 500 livros</t>
  </si>
  <si>
    <t>JEPP (6º ano) 600 livros</t>
  </si>
  <si>
    <t>JEPP (6º ano) 700 livros</t>
  </si>
  <si>
    <t>JEPP (6º ano) 800 livros</t>
  </si>
  <si>
    <t>JEPP (6º ano) 900 livros</t>
  </si>
  <si>
    <t>JEPP (6º ano) 1000 livros</t>
  </si>
  <si>
    <t>JEPP (6º ano) 1500 livros</t>
  </si>
  <si>
    <t>JEPP (6º ano) 2000 livros</t>
  </si>
  <si>
    <t>JEPP (6º ano) 2500 livros</t>
  </si>
  <si>
    <t>JEPP (6º ano) 3000 livros</t>
  </si>
  <si>
    <t>JEPP (6º ano) 3500 livros</t>
  </si>
  <si>
    <t>JEPP (6º ano) 4000 livros</t>
  </si>
  <si>
    <t>JEPP (6º ano) 4500 livros</t>
  </si>
  <si>
    <t>JEPP (6º ano) 5000 livros</t>
  </si>
  <si>
    <t>JEPP (7º ano) 300 livros</t>
  </si>
  <si>
    <t>JEPP (7º ano) 400 livros</t>
  </si>
  <si>
    <t>JEPP (7º ano) 500 livros</t>
  </si>
  <si>
    <t>JEPP (7º ano) 600 livros</t>
  </si>
  <si>
    <t>JEPP (7º ano) 700 livros</t>
  </si>
  <si>
    <t>JEPP (7º ano) 800 livros</t>
  </si>
  <si>
    <t>JEPP (7º ano) 900 livros</t>
  </si>
  <si>
    <t>JEPP (7º ano) 1000 livros</t>
  </si>
  <si>
    <t>JEPP (7º ano) 1500 livros</t>
  </si>
  <si>
    <t>JEPP (7º ano) 2000 livros</t>
  </si>
  <si>
    <t>JEPP (7º ano) 2500 livros</t>
  </si>
  <si>
    <t>JEPP (7º ano) 3000 livros</t>
  </si>
  <si>
    <t>JEPP (7º ano) 3500 livros</t>
  </si>
  <si>
    <t>JEPP (7º ano) 4000 livros</t>
  </si>
  <si>
    <t>JEPP (7º ano) 4500 livros</t>
  </si>
  <si>
    <t>JEPP (7º ano) 5000 livros</t>
  </si>
  <si>
    <t>JEPP (8º ano) 300 livros</t>
  </si>
  <si>
    <t>JEPP (8º ano) 400 livros</t>
  </si>
  <si>
    <t>JEPP (8º ano) 500 livros</t>
  </si>
  <si>
    <t>JEPP (8º ano) 600 livros</t>
  </si>
  <si>
    <t>JEPP (8º ano) 700 livros</t>
  </si>
  <si>
    <t>JEPP (8º ano) 800 livros</t>
  </si>
  <si>
    <t>JEPP (8º ano) 900 livros</t>
  </si>
  <si>
    <t>JEPP (8º ano) 1000 livros</t>
  </si>
  <si>
    <t>JEPP (8º ano) 1500 livros</t>
  </si>
  <si>
    <t>JEPP (8º ano) 2000 livros</t>
  </si>
  <si>
    <t>JEPP (8º ano) 2500 livros</t>
  </si>
  <si>
    <t>JEPP (8º ano) 3000 livros</t>
  </si>
  <si>
    <t>JEPP (8º ano) 3500 livros</t>
  </si>
  <si>
    <t>JEPP (8º ano) 4000 livros</t>
  </si>
  <si>
    <t>JEPP (8º ano) 4500 livros</t>
  </si>
  <si>
    <t>JEPP (8º ano) 5000 livros</t>
  </si>
  <si>
    <t>JEPP (9º ano) 300 livros</t>
  </si>
  <si>
    <t>JEPP (9º ano) 400 livros</t>
  </si>
  <si>
    <t>JEPP (9º ano) 500 livros</t>
  </si>
  <si>
    <t>JEPP (9º ano) 600 livros</t>
  </si>
  <si>
    <t>JEPP (9º ano) 700 livros</t>
  </si>
  <si>
    <t>JEPP (9º ano) 800 livros</t>
  </si>
  <si>
    <t>JEPP (9º ano) 900 livros</t>
  </si>
  <si>
    <t>JEPP (9º ano) 1000 livros</t>
  </si>
  <si>
    <t>JEPP (9º ano) 1500 livros</t>
  </si>
  <si>
    <t>JEPP (9º ano) 2000 livros</t>
  </si>
  <si>
    <t>JEPP (9º ano) 2500 livros</t>
  </si>
  <si>
    <t>JEPP (9º ano) 3000 livros</t>
  </si>
  <si>
    <t>JEPP (9º ano) 3500 livros</t>
  </si>
  <si>
    <t>JEPP (9º ano) 4000 livros</t>
  </si>
  <si>
    <t>JEPP (9º ano) 4500 livros</t>
  </si>
  <si>
    <t>JEPP (9º ano) 5000 livros</t>
  </si>
  <si>
    <t>Cidade Líder</t>
  </si>
  <si>
    <t>Círculo de Líderes</t>
  </si>
  <si>
    <t>Conexão Liderança</t>
  </si>
  <si>
    <t>Cidade Especialização Produtiva</t>
  </si>
  <si>
    <t>Completo</t>
  </si>
  <si>
    <t>ProDEC</t>
  </si>
  <si>
    <t>Cidade Inovadora</t>
  </si>
  <si>
    <t>Avançado</t>
  </si>
  <si>
    <t>-</t>
  </si>
  <si>
    <t>Cidade Crédito</t>
  </si>
  <si>
    <t>Planejamento e Formação de Governança</t>
  </si>
  <si>
    <t>Programa Juro Zero</t>
  </si>
  <si>
    <t xml:space="preserve">Minuta de lei municipal de crédito </t>
  </si>
  <si>
    <t xml:space="preserve">Pacote de soluções Mais Finanças </t>
  </si>
  <si>
    <t>Cidade Empreendedora Digital</t>
  </si>
  <si>
    <t>Cidade Inclusão Produtiva</t>
  </si>
  <si>
    <t>Cidade Inteligente</t>
  </si>
  <si>
    <t>Cidade Turismo</t>
  </si>
  <si>
    <t>Rede de Secretários</t>
  </si>
  <si>
    <t>Customizado</t>
  </si>
  <si>
    <t>Digite o valor</t>
  </si>
  <si>
    <t>SUBSIDIO</t>
  </si>
  <si>
    <t>SOLUCAO</t>
  </si>
  <si>
    <t>INICIATIVA</t>
  </si>
  <si>
    <t>Cidade Emprendedora</t>
  </si>
  <si>
    <t>Ecossistema Local de Inovação - Inicial</t>
  </si>
  <si>
    <t>Ecossistema Local de Inovação - Estruturação</t>
  </si>
  <si>
    <t>Ecossistema Local de Inovação - Desenvolvimento</t>
  </si>
  <si>
    <t>Ecossistema Local de Inovação - Consolidado</t>
  </si>
  <si>
    <t>Cultura Empreendedora</t>
  </si>
  <si>
    <t>Escritório de Compras</t>
  </si>
  <si>
    <t>Sala do Empreendedor</t>
  </si>
  <si>
    <t>Agente de Crédito/ Banco do Empreendedor</t>
  </si>
  <si>
    <t>Formação de Lideranças Institucionais</t>
  </si>
  <si>
    <t>Turismo</t>
  </si>
  <si>
    <t>Indústria</t>
  </si>
  <si>
    <t>Agronegócio</t>
  </si>
  <si>
    <t>Indicação Geográfica (IG)</t>
  </si>
  <si>
    <t>Outras iniciativas</t>
  </si>
  <si>
    <t>MUN</t>
  </si>
  <si>
    <t>ANO</t>
  </si>
  <si>
    <t>EIXO</t>
  </si>
  <si>
    <t>PERCENTUAL</t>
  </si>
  <si>
    <t>IDAN-M</t>
  </si>
  <si>
    <t>Guarapuava</t>
  </si>
  <si>
    <t>Acesso a Crédito</t>
  </si>
  <si>
    <t>Acesso a Mercados</t>
  </si>
  <si>
    <t>Associativismo e Inclusão Produtiva</t>
  </si>
  <si>
    <t>Desburocratização</t>
  </si>
  <si>
    <t>Gestão Municipal</t>
  </si>
  <si>
    <t>Inovação</t>
  </si>
  <si>
    <t>Liderança</t>
  </si>
  <si>
    <t>Laranjal</t>
  </si>
  <si>
    <t>Nova Tebas</t>
  </si>
  <si>
    <t>Palmital</t>
  </si>
  <si>
    <t>Pitanga</t>
  </si>
  <si>
    <t>Santa Maria do Oeste</t>
  </si>
  <si>
    <t>Turvo</t>
  </si>
  <si>
    <t>Arapongas</t>
  </si>
  <si>
    <t>Bela Vista do Paraíso</t>
  </si>
  <si>
    <t>Cambé</t>
  </si>
  <si>
    <t>Boa Ventura de São Roque</t>
  </si>
  <si>
    <t>Campina do Simão</t>
  </si>
  <si>
    <t>Cândido de Abreu</t>
  </si>
  <si>
    <t>Dois Vizinhos</t>
  </si>
  <si>
    <t>Enéas Marques</t>
  </si>
  <si>
    <t>Francisco Beltrão</t>
  </si>
  <si>
    <t>Honório Serpa</t>
  </si>
  <si>
    <t>Itapejara d'Oeste</t>
  </si>
  <si>
    <t>Mangueirinha</t>
  </si>
  <si>
    <t>Mariópolis</t>
  </si>
  <si>
    <t>Marmeleiro</t>
  </si>
  <si>
    <t>Nova Esperança do Sudoeste</t>
  </si>
  <si>
    <t>Nova Prata do Iguaçu</t>
  </si>
  <si>
    <t>Palmas</t>
  </si>
  <si>
    <t>Pato Branco</t>
  </si>
  <si>
    <t>Renascença</t>
  </si>
  <si>
    <t>Salto do Lontra</t>
  </si>
  <si>
    <t>São João</t>
  </si>
  <si>
    <t>São Jorge d'Oeste</t>
  </si>
  <si>
    <t>Saudade do Iguaçu</t>
  </si>
  <si>
    <t>Sulina</t>
  </si>
  <si>
    <t>Verê</t>
  </si>
  <si>
    <t>Vitorino</t>
  </si>
  <si>
    <t>Irati</t>
  </si>
  <si>
    <t>Prudentópolis</t>
  </si>
  <si>
    <t>Rebouças</t>
  </si>
  <si>
    <t>Rio Azul</t>
  </si>
  <si>
    <t>Teixeira Soares</t>
  </si>
  <si>
    <t>Ipiranga</t>
  </si>
  <si>
    <t>Jaguariaíva</t>
  </si>
  <si>
    <t>Palmeira</t>
  </si>
  <si>
    <t>Ponta Grossa</t>
  </si>
  <si>
    <t>Porto Amazonas</t>
  </si>
  <si>
    <t>Ibiporã</t>
  </si>
  <si>
    <t>Jataizinho</t>
  </si>
  <si>
    <t>Londrina</t>
  </si>
  <si>
    <t>Pitangueiras</t>
  </si>
  <si>
    <t>Rolândia</t>
  </si>
  <si>
    <t>Sertanópolis</t>
  </si>
  <si>
    <t>Tamarana</t>
  </si>
  <si>
    <t>Abatiá</t>
  </si>
  <si>
    <t>Andirá</t>
  </si>
  <si>
    <t>Bandeirantes</t>
  </si>
  <si>
    <t>Barra do Jacaré</t>
  </si>
  <si>
    <t>Cambará</t>
  </si>
  <si>
    <t>Carlópolis</t>
  </si>
  <si>
    <t>Congonhinhas</t>
  </si>
  <si>
    <t>Conselheiro Mairinck</t>
  </si>
  <si>
    <t>General Carneiro</t>
  </si>
  <si>
    <t>Paula Freitas</t>
  </si>
  <si>
    <t>Paulo Frontin</t>
  </si>
  <si>
    <t>Porto Vitória</t>
  </si>
  <si>
    <t>São Mateus do Sul</t>
  </si>
  <si>
    <t>União da Vitória</t>
  </si>
  <si>
    <t>Alto Paraíso</t>
  </si>
  <si>
    <t>Alto Piquiri</t>
  </si>
  <si>
    <t>Altônia</t>
  </si>
  <si>
    <t>Cafezal do Sul</t>
  </si>
  <si>
    <t>Cruzeiro do Oeste</t>
  </si>
  <si>
    <t>Icaraíma</t>
  </si>
  <si>
    <t>Maria Helena</t>
  </si>
  <si>
    <t>Pérola</t>
  </si>
  <si>
    <t>São Jorge do Patrocínio</t>
  </si>
  <si>
    <t>Umuarama</t>
  </si>
  <si>
    <t>Almirante Tamandaré</t>
  </si>
  <si>
    <t>Araucária</t>
  </si>
  <si>
    <t>Balsa Nova</t>
  </si>
  <si>
    <t>Campina Grande do Sul</t>
  </si>
  <si>
    <t>Campo Largo</t>
  </si>
  <si>
    <t>Campo Magro</t>
  </si>
  <si>
    <t>Colombo</t>
  </si>
  <si>
    <t>Antonina</t>
  </si>
  <si>
    <t>Altamira do Paraná</t>
  </si>
  <si>
    <t>Araruna</t>
  </si>
  <si>
    <t>Barbosa Ferraz</t>
  </si>
  <si>
    <t>Boa Esperança</t>
  </si>
  <si>
    <t>Campina da Lagoa</t>
  </si>
  <si>
    <t>Campo Mourão</t>
  </si>
  <si>
    <t>Corumbataí do Sul</t>
  </si>
  <si>
    <t>Boa Esperança do Iguaçu</t>
  </si>
  <si>
    <t>Bom Sucesso do Sul</t>
  </si>
  <si>
    <t>Chopinzinho</t>
  </si>
  <si>
    <t>Clevelândia</t>
  </si>
  <si>
    <t>Coronel Domingos Soares</t>
  </si>
  <si>
    <t>Coronel Vivida</t>
  </si>
  <si>
    <t>Cruzeiro do Iguaçu</t>
  </si>
  <si>
    <t>Pinhais</t>
  </si>
  <si>
    <t>Piraquara</t>
  </si>
  <si>
    <t>Quatro Barras</t>
  </si>
  <si>
    <t>São José dos Pinhais</t>
  </si>
  <si>
    <t>Ampére</t>
  </si>
  <si>
    <t>Barracão</t>
  </si>
  <si>
    <t>Bela Vista da Caroba</t>
  </si>
  <si>
    <t>Bom Jesus do Sul</t>
  </si>
  <si>
    <t>Capanema</t>
  </si>
  <si>
    <t>Figueira</t>
  </si>
  <si>
    <t>Guapirama</t>
  </si>
  <si>
    <t>Ibaiti</t>
  </si>
  <si>
    <t>Itambaracá</t>
  </si>
  <si>
    <t>Jaboti</t>
  </si>
  <si>
    <t>Jacarezinho</t>
  </si>
  <si>
    <t>Japira</t>
  </si>
  <si>
    <t>Joaquim Távora</t>
  </si>
  <si>
    <t>Jundiaí do Sul</t>
  </si>
  <si>
    <t>Pinhalão</t>
  </si>
  <si>
    <t>Quatiguá</t>
  </si>
  <si>
    <t>Ribeirão Claro</t>
  </si>
  <si>
    <t>Ribeirão do Pinhal</t>
  </si>
  <si>
    <t>Salto do Itararé</t>
  </si>
  <si>
    <t>Santa Amélia</t>
  </si>
  <si>
    <t>Santana do Itararé</t>
  </si>
  <si>
    <t>Santo Antônio da Platina</t>
  </si>
  <si>
    <t>São José da Boa Vista</t>
  </si>
  <si>
    <t>Siqueira Campos</t>
  </si>
  <si>
    <t>Tomazina</t>
  </si>
  <si>
    <t>Wenceslau Braz</t>
  </si>
  <si>
    <t>Ângulo</t>
  </si>
  <si>
    <t>Astorga</t>
  </si>
  <si>
    <t>Atalaia</t>
  </si>
  <si>
    <t>Colorado</t>
  </si>
  <si>
    <t>Carambeí</t>
  </si>
  <si>
    <t>Castro</t>
  </si>
  <si>
    <t>Apucarana</t>
  </si>
  <si>
    <t>Arapuã</t>
  </si>
  <si>
    <t>Ariranha do Ivaí</t>
  </si>
  <si>
    <t>Bom Sucesso</t>
  </si>
  <si>
    <t>Borrazópolis</t>
  </si>
  <si>
    <t>Califórnia</t>
  </si>
  <si>
    <t>Cambira</t>
  </si>
  <si>
    <t>Cruzmaltina</t>
  </si>
  <si>
    <t>Guaraqueçaba</t>
  </si>
  <si>
    <t>Guaratuba</t>
  </si>
  <si>
    <t>Matinhos</t>
  </si>
  <si>
    <t>Morretes</t>
  </si>
  <si>
    <t>Paranaguá</t>
  </si>
  <si>
    <t>Pontal do Paraná</t>
  </si>
  <si>
    <t>Alvorada do Sul</t>
  </si>
  <si>
    <t>Cafeara</t>
  </si>
  <si>
    <t>Centenário do Sul</t>
  </si>
  <si>
    <t>Flor da Serra do Sul</t>
  </si>
  <si>
    <t>Manfrinópolis</t>
  </si>
  <si>
    <t>Pérola d'Oeste</t>
  </si>
  <si>
    <t>Pinhal de São Bento</t>
  </si>
  <si>
    <t>Planalto</t>
  </si>
  <si>
    <t>Pranchita</t>
  </si>
  <si>
    <t>Realeza</t>
  </si>
  <si>
    <t>Salgado Filho</t>
  </si>
  <si>
    <t>Santa Izabel do Oeste</t>
  </si>
  <si>
    <t>Santo Antônio do Sudoeste</t>
  </si>
  <si>
    <t>Leópolis</t>
  </si>
  <si>
    <t>Nova Fátima</t>
  </si>
  <si>
    <t>Nova Santa Bárbara</t>
  </si>
  <si>
    <t>Santo Antônio do Paraíso</t>
  </si>
  <si>
    <t>São Jerônimo da Serra</t>
  </si>
  <si>
    <t>São Sebastião da Amoreira</t>
  </si>
  <si>
    <t>Sapopema</t>
  </si>
  <si>
    <t>Sertaneja</t>
  </si>
  <si>
    <t>Uraí</t>
  </si>
  <si>
    <t>Arapoti</t>
  </si>
  <si>
    <t>Antônio Olinto</t>
  </si>
  <si>
    <t>Bituruna</t>
  </si>
  <si>
    <t>Cruz Machado</t>
  </si>
  <si>
    <t>Inajá</t>
  </si>
  <si>
    <t>Loanda</t>
  </si>
  <si>
    <t>Nova Londrina</t>
  </si>
  <si>
    <t>Paranavaí</t>
  </si>
  <si>
    <t>Santa Isabel do Ivaí</t>
  </si>
  <si>
    <t>Terra Rica</t>
  </si>
  <si>
    <t>Anahy</t>
  </si>
  <si>
    <t>Assis Chateaubriand</t>
  </si>
  <si>
    <t>Braganey</t>
  </si>
  <si>
    <t>Brasilândia do Sul</t>
  </si>
  <si>
    <t>Cafelândia</t>
  </si>
  <si>
    <t>Capitão Leônidas Marques</t>
  </si>
  <si>
    <t>Cascavel</t>
  </si>
  <si>
    <t>Céu Azul</t>
  </si>
  <si>
    <t>Corbélia</t>
  </si>
  <si>
    <t>Doutor Camargo</t>
  </si>
  <si>
    <t>Mandaguari</t>
  </si>
  <si>
    <t>Marialva</t>
  </si>
  <si>
    <t>Maringá</t>
  </si>
  <si>
    <t>Munhoz de Mello</t>
  </si>
  <si>
    <t>Nossa Senhora das Graças</t>
  </si>
  <si>
    <t>Nova Esperança</t>
  </si>
  <si>
    <t>Paiçandu</t>
  </si>
  <si>
    <t>Santa Inês</t>
  </si>
  <si>
    <t>Sarandi</t>
  </si>
  <si>
    <t>Campo Bonito</t>
  </si>
  <si>
    <t>Candói</t>
  </si>
  <si>
    <t>Cantagalo</t>
  </si>
  <si>
    <t>Catanduvas</t>
  </si>
  <si>
    <t>Diamante D'Oeste</t>
  </si>
  <si>
    <t>Entre Rios do Oeste</t>
  </si>
  <si>
    <t>Foz do Iguaçu</t>
  </si>
  <si>
    <t>Francisco Alves</t>
  </si>
  <si>
    <t>Guaíra</t>
  </si>
  <si>
    <t>Iguatu</t>
  </si>
  <si>
    <t>Iracema do Oeste</t>
  </si>
  <si>
    <t>Itaipulândia</t>
  </si>
  <si>
    <t>Jesuítas</t>
  </si>
  <si>
    <t>Lindoeste</t>
  </si>
  <si>
    <t>Marechal Cândido Rondon</t>
  </si>
  <si>
    <t>Maripá</t>
  </si>
  <si>
    <t>Matelândia</t>
  </si>
  <si>
    <t>Medianeira</t>
  </si>
  <si>
    <t>Mercedes</t>
  </si>
  <si>
    <t>Missal</t>
  </si>
  <si>
    <t>Nova Aurora</t>
  </si>
  <si>
    <t>Nova Santa Rosa</t>
  </si>
  <si>
    <t>Ouro Verde do Oeste</t>
  </si>
  <si>
    <t>Palotina</t>
  </si>
  <si>
    <t>Pato Bragado</t>
  </si>
  <si>
    <t>Ramilândia</t>
  </si>
  <si>
    <t>Santa Helena</t>
  </si>
  <si>
    <t>Santa Lúcia</t>
  </si>
  <si>
    <t>Santa Tereza do Oeste</t>
  </si>
  <si>
    <t>Santa Terezinha de Itaipu</t>
  </si>
  <si>
    <t>São Miguel do Iguaçu</t>
  </si>
  <si>
    <t>São Pedro do Iguaçu</t>
  </si>
  <si>
    <t>Terra Roxa</t>
  </si>
  <si>
    <t>Toledo</t>
  </si>
  <si>
    <t>Tupãssi</t>
  </si>
  <si>
    <t>Ubiratã</t>
  </si>
  <si>
    <t>Vera Cruz do Oeste</t>
  </si>
  <si>
    <t>Florestópolis</t>
  </si>
  <si>
    <t>Guaraci</t>
  </si>
  <si>
    <t>Jaguapitã</t>
  </si>
  <si>
    <t>Lupionópolis</t>
  </si>
  <si>
    <t>Miraselva</t>
  </si>
  <si>
    <t>Porecatu</t>
  </si>
  <si>
    <t>Prado Ferreira</t>
  </si>
  <si>
    <t>Primeiro de Maio</t>
  </si>
  <si>
    <t>Goioerê</t>
  </si>
  <si>
    <t>Nova Cantu</t>
  </si>
  <si>
    <t>Quarto Centenário</t>
  </si>
  <si>
    <t>Quinta do Sol</t>
  </si>
  <si>
    <t>Rancho Alegre D'Oeste</t>
  </si>
  <si>
    <t>Roncador</t>
  </si>
  <si>
    <t>Curiúva</t>
  </si>
  <si>
    <t>Ivaí</t>
  </si>
  <si>
    <t>Ortigueira</t>
  </si>
  <si>
    <t>Reserva</t>
  </si>
  <si>
    <t>Telêmaco Borba</t>
  </si>
  <si>
    <t>Tibagi</t>
  </si>
  <si>
    <t>Ventania</t>
  </si>
  <si>
    <t>Fazenda Rio Grande</t>
  </si>
  <si>
    <t>Lapa</t>
  </si>
  <si>
    <t>Mandirituba</t>
  </si>
  <si>
    <t>Piên</t>
  </si>
  <si>
    <t>Rio Negro</t>
  </si>
  <si>
    <t>Tijucas do Sul</t>
  </si>
  <si>
    <t>Adrianópolis</t>
  </si>
  <si>
    <t>Bocaiúva do Sul</t>
  </si>
  <si>
    <t>Cerro Azul</t>
  </si>
  <si>
    <t>Alto Paraná</t>
  </si>
  <si>
    <t>Cruzeiro do Sul</t>
  </si>
  <si>
    <t>Assaí</t>
  </si>
  <si>
    <t>Cornélio Procópio</t>
  </si>
  <si>
    <t>Cianorte</t>
  </si>
  <si>
    <t>Cidade Gaúcha</t>
  </si>
  <si>
    <t>Faxinal</t>
  </si>
  <si>
    <t>Godoy Moreira</t>
  </si>
  <si>
    <t>Grandes Rios</t>
  </si>
  <si>
    <t>Ivaiporã</t>
  </si>
  <si>
    <t>Jandaia do Sul</t>
  </si>
  <si>
    <t>Jardim Alegre</t>
  </si>
  <si>
    <t>Lidianópolis</t>
  </si>
  <si>
    <t>Lunardelli</t>
  </si>
  <si>
    <t>Marilândia do Sul</t>
  </si>
  <si>
    <t>Mauá da Serra</t>
  </si>
  <si>
    <t>Rio Bom</t>
  </si>
  <si>
    <t>Rio Branco do Ivaí</t>
  </si>
  <si>
    <t>Rosário do Ivaí</t>
  </si>
  <si>
    <t>São Pedro do Ivaí</t>
  </si>
  <si>
    <t>Diamante do Sul</t>
  </si>
  <si>
    <t>Espigão Alto do Iguaçu</t>
  </si>
  <si>
    <t>Foz do Jordão</t>
  </si>
  <si>
    <t>Goioxim</t>
  </si>
  <si>
    <t>Guaraniaçu</t>
  </si>
  <si>
    <t>Laranjeiras do Sul</t>
  </si>
  <si>
    <t>Nova Laranjeiras</t>
  </si>
  <si>
    <t>Pinhão</t>
  </si>
  <si>
    <t>Porto Barreiro</t>
  </si>
  <si>
    <t>Quedas do Iguaçu</t>
  </si>
  <si>
    <t>Reserva do Iguaçu</t>
  </si>
  <si>
    <t>Rio Bonito do Iguaçu</t>
  </si>
  <si>
    <t>Três Barras do Paraná</t>
  </si>
  <si>
    <t>Virmond</t>
  </si>
  <si>
    <t>Doutor Ulysses</t>
  </si>
  <si>
    <t>Itaperuçu</t>
  </si>
  <si>
    <t>Rio Branco do Sul</t>
  </si>
  <si>
    <t>Japurá</t>
  </si>
  <si>
    <t>São Manoel do Paraná</t>
  </si>
  <si>
    <t>Agudos do Sul</t>
  </si>
  <si>
    <t>Campo do Tenente</t>
  </si>
  <si>
    <t>Contenda</t>
  </si>
  <si>
    <t>Amaporã</t>
  </si>
  <si>
    <t>Boa Vista da Aparecida</t>
  </si>
  <si>
    <t>Diamante do Norte</t>
  </si>
  <si>
    <t>Douradina</t>
  </si>
  <si>
    <t>Engenheiro Beltrão</t>
  </si>
  <si>
    <t>Esperança Nova</t>
  </si>
  <si>
    <t>Farol</t>
  </si>
  <si>
    <t>Fênix</t>
  </si>
  <si>
    <t>Fernandes Pinheiro</t>
  </si>
  <si>
    <t>Floraí</t>
  </si>
  <si>
    <t>Floresta</t>
  </si>
  <si>
    <t>Flórida</t>
  </si>
  <si>
    <t>Formosa do Oeste</t>
  </si>
  <si>
    <t>Guairaçá</t>
  </si>
  <si>
    <t>Guamiranga</t>
  </si>
  <si>
    <t>Guaporema</t>
  </si>
  <si>
    <t>Ibema</t>
  </si>
  <si>
    <t>Iguaraçu</t>
  </si>
  <si>
    <t>Imbaú</t>
  </si>
  <si>
    <t>Imbituva</t>
  </si>
  <si>
    <t>Inácio Martins</t>
  </si>
  <si>
    <t>Indianópolis</t>
  </si>
  <si>
    <t>Iporã</t>
  </si>
  <si>
    <t>Iretama</t>
  </si>
  <si>
    <t>Itaguajé</t>
  </si>
  <si>
    <t>Itambé</t>
  </si>
  <si>
    <t>Itaúna do Sul</t>
  </si>
  <si>
    <t>Ivaté</t>
  </si>
  <si>
    <t>Ivatuba</t>
  </si>
  <si>
    <t>Janiópolis</t>
  </si>
  <si>
    <t>Jardim Olinda</t>
  </si>
  <si>
    <t>Juranda</t>
  </si>
  <si>
    <t>Jussara</t>
  </si>
  <si>
    <t>Kaloré</t>
  </si>
  <si>
    <t>Lobato</t>
  </si>
  <si>
    <t>Luiziana</t>
  </si>
  <si>
    <t>Mallet</t>
  </si>
  <si>
    <t>Mamborê</t>
  </si>
  <si>
    <t>Mandaguaçu</t>
  </si>
  <si>
    <t>Manoel Ribas</t>
  </si>
  <si>
    <t>Marilena</t>
  </si>
  <si>
    <t>Mariluz</t>
  </si>
  <si>
    <t>Marquinho</t>
  </si>
  <si>
    <t>Marumbi</t>
  </si>
  <si>
    <t>Mato Rico</t>
  </si>
  <si>
    <t>Mirador</t>
  </si>
  <si>
    <t>Moreira Sales</t>
  </si>
  <si>
    <t>Nova Aliança do Ivaí</t>
  </si>
  <si>
    <t>Nova América da Colina</t>
  </si>
  <si>
    <t>Nova Olímpia</t>
  </si>
  <si>
    <t>Novo Itacolomi</t>
  </si>
  <si>
    <t>Ourizona</t>
  </si>
  <si>
    <t>Paraíso do Norte</t>
  </si>
  <si>
    <t>Paranacity</t>
  </si>
  <si>
    <t>Paranapoema</t>
  </si>
  <si>
    <t>Peabiru</t>
  </si>
  <si>
    <t>Perobal</t>
  </si>
  <si>
    <t>Piraí do Sul</t>
  </si>
  <si>
    <t>Planaltina do Paraná</t>
  </si>
  <si>
    <t>Porto Rico</t>
  </si>
  <si>
    <t>Presidente Castelo Branco</t>
  </si>
  <si>
    <t>Quatro Pontes</t>
  </si>
  <si>
    <t>Querência do Norte</t>
  </si>
  <si>
    <t>Quitandinha</t>
  </si>
  <si>
    <t>Rancho Alegre</t>
  </si>
  <si>
    <t>Rondon</t>
  </si>
  <si>
    <t>Sabáudia</t>
  </si>
  <si>
    <t>Santa Cecília do Pavão</t>
  </si>
  <si>
    <t>Santa Cruz de Monte Castelo</t>
  </si>
  <si>
    <t>Santa Fé</t>
  </si>
  <si>
    <t>Santa Mariana</t>
  </si>
  <si>
    <t>Santa Mônica</t>
  </si>
  <si>
    <t>Santo Antônio do Caiuá</t>
  </si>
  <si>
    <t>Santo Inácio</t>
  </si>
  <si>
    <t>São Carlos do Ivaí</t>
  </si>
  <si>
    <t>São João do Caiuá</t>
  </si>
  <si>
    <t>São João do Ivaí</t>
  </si>
  <si>
    <t>São João do Triunfo</t>
  </si>
  <si>
    <t>São Jorge do Ivaí</t>
  </si>
  <si>
    <t>São José das Palmeiras</t>
  </si>
  <si>
    <t>São Pedro do Paraná</t>
  </si>
  <si>
    <t>São Tomé</t>
  </si>
  <si>
    <t>Sengés</t>
  </si>
  <si>
    <t>Serranópolis do Iguaçu</t>
  </si>
  <si>
    <t>Tamboara</t>
  </si>
  <si>
    <t>Tapejara</t>
  </si>
  <si>
    <t>Tapira</t>
  </si>
  <si>
    <t>Terra Boa</t>
  </si>
  <si>
    <t>Tunas do Paraná</t>
  </si>
  <si>
    <t>Tuneiras do Oeste</t>
  </si>
  <si>
    <t>Uniflor</t>
  </si>
  <si>
    <t>Xambrê</t>
  </si>
  <si>
    <t>Curitiba</t>
  </si>
  <si>
    <t>REG</t>
  </si>
  <si>
    <t>TER</t>
  </si>
  <si>
    <t>Básico - Palestra Compras Estratégicas – Nova Lei de Licitações</t>
  </si>
  <si>
    <t>Básico - Nova Lei de Licitações (Lei nº 14.133/2021)</t>
  </si>
  <si>
    <t>Básico - Compras da Agricultura Familiar</t>
  </si>
  <si>
    <t>Básico - Compras Municipais para o Desenvolvimento Local</t>
  </si>
  <si>
    <t>Básico - Agente de Contratação Básico</t>
  </si>
  <si>
    <t>Básico - Compras Estratégicas – Nova Lei de Licitações</t>
  </si>
  <si>
    <t>Básico - Consultoria Escritório de Compras</t>
  </si>
  <si>
    <t>Intermediário - Programa de compras municipais local para o desenvolvimento local</t>
  </si>
  <si>
    <t>Intermediário - Consultoria Compras Estratégicas da Agricultura Familiar</t>
  </si>
  <si>
    <t>Intermediário - Consultoria Escritório de Compras</t>
  </si>
  <si>
    <t>Avançado - Consultoria Escritório de Compras</t>
  </si>
  <si>
    <t>Avançado - Consultoria Escritório de Compras - 180h</t>
  </si>
  <si>
    <t>Avançado - Programa Municipal de Fomento à Agricultura Familiar por Meio das Compras Governamentais</t>
  </si>
  <si>
    <t>Avançado - Consultoria de Implementação do Edital de Credenciamento de Fornecedores</t>
  </si>
  <si>
    <t>Avançado - Compras Municipais para o Desenvolvimento Local</t>
  </si>
  <si>
    <t>Formação de Agentes de Crédito</t>
  </si>
  <si>
    <t>Minuta de Lei para Capítulo da Lei Geral implementado</t>
  </si>
  <si>
    <t>Mestres da Liderança</t>
  </si>
  <si>
    <t>Rotas da Liderança (por workshop)</t>
  </si>
  <si>
    <t>Novos Líderes</t>
  </si>
  <si>
    <t>Até 120 mil habitantes</t>
  </si>
  <si>
    <t>De 120 a 180 mil habitantes</t>
  </si>
  <si>
    <t>Acima de 180 mil habitantes</t>
  </si>
  <si>
    <t>Inicial - Lei da Inovação</t>
  </si>
  <si>
    <t>Inicial - Diagnóstico do Ecossistema de Inovação</t>
  </si>
  <si>
    <t>Inicial - Ativação de Comunidades</t>
  </si>
  <si>
    <t>Intermediário - Compras de Soluções Inovadoras (Catalisa GOV)</t>
  </si>
  <si>
    <t>Intermediário - Planejamento de Novos Ambientes de Inovação</t>
  </si>
  <si>
    <t>Intermediário - Aprimoramento de Ambientes de Inovação</t>
  </si>
  <si>
    <t>Intermediário - Consultoria para Implantação de Fundo Municipal de Inovação</t>
  </si>
  <si>
    <t>Avançado - Implantação de Órgão Público de Fomento à Inovação</t>
  </si>
  <si>
    <t>Avançado - Programa de Formação de Lideranças para Governança de Ecossistema</t>
  </si>
  <si>
    <t>Avançado - Prospecção de oportunidades e parcerias</t>
  </si>
  <si>
    <t>Avançado - ELI Ecossistemas</t>
  </si>
  <si>
    <t>Imersão técnica internacional (por participante)</t>
  </si>
  <si>
    <t>Módulos presenciais (por participante)</t>
  </si>
  <si>
    <t>Ciclo 1 - Palestra turismo</t>
  </si>
  <si>
    <t>Ciclo 2 - Mapeamento do Mercado do Turismo</t>
  </si>
  <si>
    <t>Ciclo 2 - Palestra Excelência em Gestão</t>
  </si>
  <si>
    <t>Ciclo 2 - Empreender no Artesanato</t>
  </si>
  <si>
    <t>Ciclo 2 - Palestra Cadastur</t>
  </si>
  <si>
    <t>Ciclo 2 - Turista Oculto</t>
  </si>
  <si>
    <t>Ciclo 3 - Destino Turístico Inteligente</t>
  </si>
  <si>
    <t>Ciclo 3 - Selo de Qualidade no Turismo do Paraná</t>
  </si>
  <si>
    <t>Ciclo 3 - Criando Produtos Turísticos de Experiência</t>
  </si>
  <si>
    <t>Ciclo 3 - Souvenirs Inovadores</t>
  </si>
  <si>
    <t>Ciclo 3 - Turbine</t>
  </si>
  <si>
    <t>Ciclo 3 - Imersão técnica benchmarking (por participante)</t>
  </si>
  <si>
    <t>Ciclo 3 - Plano Municipal de Turismo</t>
  </si>
  <si>
    <t>Ciclo 3 - Inventariação e hierarquização da oferta turística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</si>
</sst>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44" fontId="0" fillId="0" borderId="0" xfId="1" applyFont="1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44" fontId="0" fillId="2" borderId="0" xfId="1" applyFont="1" applyFill="1"/>
    <xf numFmtId="0" fontId="2" fillId="2" borderId="0" xfId="0" applyFont="1" applyFill="1" applyAlignment="1">
      <alignment horizontal="center" vertical="center"/>
    </xf>
    <xf numFmtId="44" fontId="1" fillId="2" borderId="0" xfId="1" applyFont="1" applyFill="1"/>
    <xf numFmtId="44" fontId="0" fillId="0" borderId="0" xfId="0" applyNumberFormat="1"/>
    <xf numFmtId="44" fontId="0" fillId="0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braepr.sharepoint.com/sites/pr_uan/Documentos2022/Pol&#237;ticas%20P&#250;blicas/N&#250;cleos%20de%20Pol&#237;ticas%20P&#250;blicas/N&#218;CLEO%20CIDADE%20EMPREENDEDORA/IDAN-M%202024-25/cod_mun_reg_ter.xlsx" TargetMode="External"/><Relationship Id="rId1" Type="http://schemas.openxmlformats.org/officeDocument/2006/relationships/externalLinkPath" Target="https://sebraepr.sharepoint.com/sites/pr_uan/Documentos2022/Pol&#237;ticas%20P&#250;blicas/N&#250;cleos%20de%20Pol&#237;ticas%20P&#250;blicas/N&#218;CLEO%20CIDADE%20EMPREENDEDORA/IDAN-M%202024-25/cod_mun_reg_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nicipios"/>
    </sheetNames>
    <sheetDataSet>
      <sheetData sheetId="0">
        <row r="1">
          <cell r="B1" t="str">
            <v>MUN</v>
          </cell>
          <cell r="C1" t="str">
            <v>REG</v>
          </cell>
          <cell r="D1" t="str">
            <v>TER</v>
          </cell>
        </row>
        <row r="2">
          <cell r="B2" t="str">
            <v>Abatiá</v>
          </cell>
          <cell r="C2" t="str">
            <v>Norte</v>
          </cell>
          <cell r="D2" t="str">
            <v>Norte Pioneiro</v>
          </cell>
        </row>
        <row r="3">
          <cell r="B3" t="str">
            <v>Adrianópolis</v>
          </cell>
          <cell r="C3" t="str">
            <v>Leste</v>
          </cell>
          <cell r="D3" t="str">
            <v>Vale Do Ribeira</v>
          </cell>
        </row>
        <row r="4">
          <cell r="B4" t="str">
            <v>Agudos do Sul</v>
          </cell>
          <cell r="C4" t="str">
            <v>Leste</v>
          </cell>
          <cell r="D4" t="str">
            <v>Gralha Azul</v>
          </cell>
        </row>
        <row r="5">
          <cell r="B5" t="str">
            <v>Almirante Tamandaré</v>
          </cell>
          <cell r="C5" t="str">
            <v>Leste</v>
          </cell>
          <cell r="D5" t="str">
            <v>RMC</v>
          </cell>
        </row>
        <row r="6">
          <cell r="B6" t="str">
            <v>Altamira do Paraná</v>
          </cell>
          <cell r="C6" t="str">
            <v>Noroeste</v>
          </cell>
          <cell r="D6" t="str">
            <v>Centro Ocidental</v>
          </cell>
        </row>
        <row r="7">
          <cell r="B7" t="str">
            <v>Alto Paraíso</v>
          </cell>
          <cell r="C7" t="str">
            <v>Noroeste</v>
          </cell>
          <cell r="D7" t="str">
            <v>Arenito-Caiuá</v>
          </cell>
        </row>
        <row r="8">
          <cell r="B8" t="str">
            <v>Alto Paraná</v>
          </cell>
          <cell r="C8" t="str">
            <v>Noroeste</v>
          </cell>
          <cell r="D8" t="str">
            <v>Costa Noroeste</v>
          </cell>
        </row>
        <row r="9">
          <cell r="B9" t="str">
            <v>Alto Piquiri</v>
          </cell>
          <cell r="C9" t="str">
            <v>Noroeste</v>
          </cell>
          <cell r="D9" t="str">
            <v>Arenito-Caiuá</v>
          </cell>
        </row>
        <row r="10">
          <cell r="B10" t="str">
            <v>Altônia</v>
          </cell>
          <cell r="C10" t="str">
            <v>Noroeste</v>
          </cell>
          <cell r="D10" t="str">
            <v>Arenito-Caiuá</v>
          </cell>
        </row>
        <row r="11">
          <cell r="B11" t="str">
            <v>Alvorada do Sul</v>
          </cell>
          <cell r="C11" t="str">
            <v>Norte</v>
          </cell>
          <cell r="D11" t="str">
            <v>Vale do Paranapanema</v>
          </cell>
        </row>
        <row r="12">
          <cell r="B12" t="str">
            <v>Amaporã</v>
          </cell>
          <cell r="C12" t="str">
            <v>Noroeste</v>
          </cell>
          <cell r="D12" t="str">
            <v>Costa Noroeste</v>
          </cell>
        </row>
        <row r="13">
          <cell r="B13" t="str">
            <v>Ampére</v>
          </cell>
          <cell r="C13" t="str">
            <v>Sul</v>
          </cell>
          <cell r="D13" t="str">
            <v>Sudoeste La Frontera</v>
          </cell>
        </row>
        <row r="14">
          <cell r="B14" t="str">
            <v>Anahy</v>
          </cell>
          <cell r="C14" t="str">
            <v>Oeste</v>
          </cell>
          <cell r="D14" t="str">
            <v>Oeste Integrado</v>
          </cell>
        </row>
        <row r="15">
          <cell r="B15" t="str">
            <v>Andirá</v>
          </cell>
          <cell r="C15" t="str">
            <v>Norte</v>
          </cell>
          <cell r="D15" t="str">
            <v>Norte Pioneiro</v>
          </cell>
        </row>
        <row r="16">
          <cell r="B16" t="str">
            <v>Ângulo</v>
          </cell>
          <cell r="C16" t="str">
            <v>Noroeste</v>
          </cell>
          <cell r="D16" t="str">
            <v>Terra Roxa</v>
          </cell>
        </row>
        <row r="17">
          <cell r="B17" t="str">
            <v>Antonina</v>
          </cell>
          <cell r="C17" t="str">
            <v>Leste</v>
          </cell>
          <cell r="D17" t="str">
            <v>Litoral</v>
          </cell>
        </row>
        <row r="18">
          <cell r="B18" t="str">
            <v>Antônio Olinto</v>
          </cell>
          <cell r="C18" t="str">
            <v>Sul</v>
          </cell>
          <cell r="D18" t="str">
            <v>Sul do Paraná</v>
          </cell>
        </row>
        <row r="19">
          <cell r="B19" t="str">
            <v>Apucarana</v>
          </cell>
          <cell r="C19" t="str">
            <v>Norte</v>
          </cell>
          <cell r="D19" t="str">
            <v>Vale Do Ivaí</v>
          </cell>
        </row>
        <row r="20">
          <cell r="B20" t="str">
            <v>Arapongas</v>
          </cell>
          <cell r="C20" t="str">
            <v>Norte</v>
          </cell>
          <cell r="D20" t="str">
            <v>Norte Do Paraná</v>
          </cell>
        </row>
        <row r="21">
          <cell r="B21" t="str">
            <v>Arapoti</v>
          </cell>
          <cell r="C21" t="str">
            <v>Centro</v>
          </cell>
          <cell r="D21" t="str">
            <v>Vale Do Tibagi</v>
          </cell>
        </row>
        <row r="22">
          <cell r="B22" t="str">
            <v>Arapuã</v>
          </cell>
          <cell r="C22" t="str">
            <v>Norte</v>
          </cell>
          <cell r="D22" t="str">
            <v>Vale Do Ivaí</v>
          </cell>
        </row>
        <row r="23">
          <cell r="B23" t="str">
            <v>Araruna</v>
          </cell>
          <cell r="C23" t="str">
            <v>Noroeste</v>
          </cell>
          <cell r="D23" t="str">
            <v>Centro Ocidental</v>
          </cell>
        </row>
        <row r="24">
          <cell r="B24" t="str">
            <v>Araucária</v>
          </cell>
          <cell r="C24" t="str">
            <v>Leste</v>
          </cell>
          <cell r="D24" t="str">
            <v>RMC</v>
          </cell>
        </row>
        <row r="25">
          <cell r="B25" t="str">
            <v>Ariranha do Ivaí</v>
          </cell>
          <cell r="C25" t="str">
            <v>Norte</v>
          </cell>
          <cell r="D25" t="str">
            <v>Vale Do Ivaí</v>
          </cell>
        </row>
        <row r="26">
          <cell r="B26" t="str">
            <v>Assaí</v>
          </cell>
          <cell r="C26" t="str">
            <v>Norte</v>
          </cell>
          <cell r="D26" t="str">
            <v>Norte Central</v>
          </cell>
        </row>
        <row r="27">
          <cell r="B27" t="str">
            <v>Assis Chateaubriand</v>
          </cell>
          <cell r="C27" t="str">
            <v>Oeste</v>
          </cell>
          <cell r="D27" t="str">
            <v>Oeste Integrado</v>
          </cell>
        </row>
        <row r="28">
          <cell r="B28" t="str">
            <v>Astorga</v>
          </cell>
          <cell r="C28" t="str">
            <v>Noroeste</v>
          </cell>
          <cell r="D28" t="str">
            <v>Terra Roxa</v>
          </cell>
        </row>
        <row r="29">
          <cell r="B29" t="str">
            <v>Atalaia</v>
          </cell>
          <cell r="C29" t="str">
            <v>Noroeste</v>
          </cell>
          <cell r="D29" t="str">
            <v>Terra Roxa</v>
          </cell>
        </row>
        <row r="30">
          <cell r="B30" t="str">
            <v>Balsa Nova</v>
          </cell>
          <cell r="C30" t="str">
            <v>Leste</v>
          </cell>
          <cell r="D30" t="str">
            <v>RMC</v>
          </cell>
        </row>
        <row r="31">
          <cell r="B31" t="str">
            <v>Bandeirantes</v>
          </cell>
          <cell r="C31" t="str">
            <v>Norte</v>
          </cell>
          <cell r="D31" t="str">
            <v>Norte Pioneiro</v>
          </cell>
        </row>
        <row r="32">
          <cell r="B32" t="str">
            <v>Barbosa Ferraz</v>
          </cell>
          <cell r="C32" t="str">
            <v>Noroeste</v>
          </cell>
          <cell r="D32" t="str">
            <v>Centro Ocidental</v>
          </cell>
        </row>
        <row r="33">
          <cell r="B33" t="str">
            <v>Barra do Jacaré</v>
          </cell>
          <cell r="C33" t="str">
            <v>Norte</v>
          </cell>
          <cell r="D33" t="str">
            <v>Norte Pioneiro</v>
          </cell>
        </row>
        <row r="34">
          <cell r="B34" t="str">
            <v>Barracão</v>
          </cell>
          <cell r="C34" t="str">
            <v>Sul</v>
          </cell>
          <cell r="D34" t="str">
            <v>Sudoeste La Frontera</v>
          </cell>
        </row>
        <row r="35">
          <cell r="B35" t="str">
            <v>Bela Vista da Caroba</v>
          </cell>
          <cell r="C35" t="str">
            <v>Sul</v>
          </cell>
          <cell r="D35" t="str">
            <v>Sudoeste La Frontera</v>
          </cell>
        </row>
        <row r="36">
          <cell r="B36" t="str">
            <v>Bela Vista do Paraíso</v>
          </cell>
          <cell r="C36" t="str">
            <v>Norte</v>
          </cell>
          <cell r="D36" t="str">
            <v>Norte Do Paraná</v>
          </cell>
        </row>
        <row r="37">
          <cell r="B37" t="str">
            <v>Bituruna</v>
          </cell>
          <cell r="C37" t="str">
            <v>Sul</v>
          </cell>
          <cell r="D37" t="str">
            <v>Sul do Paraná</v>
          </cell>
        </row>
        <row r="38">
          <cell r="B38" t="str">
            <v>Boa Esperança</v>
          </cell>
          <cell r="C38" t="str">
            <v>Noroeste</v>
          </cell>
          <cell r="D38" t="str">
            <v>Centro Ocidental</v>
          </cell>
        </row>
        <row r="39">
          <cell r="B39" t="str">
            <v>Boa Esperança do Iguaçu</v>
          </cell>
          <cell r="C39" t="str">
            <v>Sul</v>
          </cell>
          <cell r="D39" t="str">
            <v>Sudoeste Pioneiro</v>
          </cell>
        </row>
        <row r="40">
          <cell r="B40" t="str">
            <v>Boa Ventura de São Roque</v>
          </cell>
          <cell r="C40" t="str">
            <v>Centro</v>
          </cell>
          <cell r="D40" t="str">
            <v>Paraná Centro</v>
          </cell>
        </row>
        <row r="41">
          <cell r="B41" t="str">
            <v>Boa Vista da Aparecida</v>
          </cell>
          <cell r="C41" t="str">
            <v>Oeste</v>
          </cell>
          <cell r="D41" t="str">
            <v>Oeste Integrado</v>
          </cell>
        </row>
        <row r="42">
          <cell r="B42" t="str">
            <v>Bocaiúva do Sul</v>
          </cell>
          <cell r="C42" t="str">
            <v>Leste</v>
          </cell>
          <cell r="D42" t="str">
            <v>Vale Do Ribeira</v>
          </cell>
        </row>
        <row r="43">
          <cell r="B43" t="str">
            <v>Bom Jesus do Sul</v>
          </cell>
          <cell r="C43" t="str">
            <v>Sul</v>
          </cell>
          <cell r="D43" t="str">
            <v>Sudoeste La Frontera</v>
          </cell>
        </row>
        <row r="44">
          <cell r="B44" t="str">
            <v>Bom Sucesso</v>
          </cell>
          <cell r="C44" t="str">
            <v>Norte</v>
          </cell>
          <cell r="D44" t="str">
            <v>Vale Do Ivaí</v>
          </cell>
        </row>
        <row r="45">
          <cell r="B45" t="str">
            <v>Bom Sucesso do Sul</v>
          </cell>
          <cell r="C45" t="str">
            <v>Sul</v>
          </cell>
          <cell r="D45" t="str">
            <v>Sudoeste Pioneiro</v>
          </cell>
        </row>
        <row r="46">
          <cell r="B46" t="str">
            <v>Borrazópolis</v>
          </cell>
          <cell r="C46" t="str">
            <v>Norte</v>
          </cell>
          <cell r="D46" t="str">
            <v>Vale Do Ivaí</v>
          </cell>
        </row>
        <row r="47">
          <cell r="B47" t="str">
            <v>Braganey</v>
          </cell>
          <cell r="C47" t="str">
            <v>Oeste</v>
          </cell>
          <cell r="D47" t="str">
            <v>Oeste Integrado</v>
          </cell>
        </row>
        <row r="48">
          <cell r="B48" t="str">
            <v>Brasilândia do Sul</v>
          </cell>
          <cell r="C48" t="str">
            <v>Oeste</v>
          </cell>
          <cell r="D48" t="str">
            <v>Oeste Integrado</v>
          </cell>
        </row>
        <row r="49">
          <cell r="B49" t="str">
            <v>Cafeara</v>
          </cell>
          <cell r="C49" t="str">
            <v>Norte</v>
          </cell>
          <cell r="D49" t="str">
            <v>Vale do Paranapanema</v>
          </cell>
        </row>
        <row r="50">
          <cell r="B50" t="str">
            <v>Cafelândia</v>
          </cell>
          <cell r="C50" t="str">
            <v>Oeste</v>
          </cell>
          <cell r="D50" t="str">
            <v>Oeste Integrado</v>
          </cell>
        </row>
        <row r="51">
          <cell r="B51" t="str">
            <v>Cafezal do Sul</v>
          </cell>
          <cell r="C51" t="str">
            <v>Noroeste</v>
          </cell>
          <cell r="D51" t="str">
            <v>Arenito-Caiuá</v>
          </cell>
        </row>
        <row r="52">
          <cell r="B52" t="str">
            <v>Califórnia</v>
          </cell>
          <cell r="C52" t="str">
            <v>Norte</v>
          </cell>
          <cell r="D52" t="str">
            <v>Vale Do Ivaí</v>
          </cell>
        </row>
        <row r="53">
          <cell r="B53" t="str">
            <v>Cambará</v>
          </cell>
          <cell r="C53" t="str">
            <v>Norte</v>
          </cell>
          <cell r="D53" t="str">
            <v>Norte Pioneiro</v>
          </cell>
        </row>
        <row r="54">
          <cell r="B54" t="str">
            <v>Cambé</v>
          </cell>
          <cell r="C54" t="str">
            <v>Norte</v>
          </cell>
          <cell r="D54" t="str">
            <v>Norte Do Paraná</v>
          </cell>
        </row>
        <row r="55">
          <cell r="B55" t="str">
            <v>Cambira</v>
          </cell>
          <cell r="C55" t="str">
            <v>Norte</v>
          </cell>
          <cell r="D55" t="str">
            <v>Vale Do Ivaí</v>
          </cell>
        </row>
        <row r="56">
          <cell r="B56" t="str">
            <v>Campina da Lagoa</v>
          </cell>
          <cell r="C56" t="str">
            <v>Noroeste</v>
          </cell>
          <cell r="D56" t="str">
            <v>Centro Ocidental</v>
          </cell>
        </row>
        <row r="57">
          <cell r="B57" t="str">
            <v>Campina do Simão</v>
          </cell>
          <cell r="C57" t="str">
            <v>Centro</v>
          </cell>
          <cell r="D57" t="str">
            <v>Paraná Centro</v>
          </cell>
        </row>
        <row r="58">
          <cell r="B58" t="str">
            <v>Campina Grande do Sul</v>
          </cell>
          <cell r="C58" t="str">
            <v>Leste</v>
          </cell>
          <cell r="D58" t="str">
            <v>RMC</v>
          </cell>
        </row>
        <row r="59">
          <cell r="B59" t="str">
            <v>Campo Bonito</v>
          </cell>
          <cell r="C59" t="str">
            <v>Oeste</v>
          </cell>
          <cell r="D59" t="str">
            <v>Cantuquiriguaçu</v>
          </cell>
        </row>
        <row r="60">
          <cell r="B60" t="str">
            <v>Campo do Tenente</v>
          </cell>
          <cell r="C60" t="str">
            <v>Leste</v>
          </cell>
          <cell r="D60" t="str">
            <v>Gralha Azul</v>
          </cell>
        </row>
        <row r="61">
          <cell r="B61" t="str">
            <v>Campo Largo</v>
          </cell>
          <cell r="C61" t="str">
            <v>Leste</v>
          </cell>
          <cell r="D61" t="str">
            <v>RMC</v>
          </cell>
        </row>
        <row r="62">
          <cell r="B62" t="str">
            <v>Campo Magro</v>
          </cell>
          <cell r="C62" t="str">
            <v>Leste</v>
          </cell>
          <cell r="D62" t="str">
            <v>RMC</v>
          </cell>
        </row>
        <row r="63">
          <cell r="B63" t="str">
            <v>Campo Mourão</v>
          </cell>
          <cell r="C63" t="str">
            <v>Noroeste</v>
          </cell>
          <cell r="D63" t="str">
            <v>Centro Ocidental</v>
          </cell>
        </row>
        <row r="64">
          <cell r="B64" t="str">
            <v>Cândido de Abreu</v>
          </cell>
          <cell r="C64" t="str">
            <v>Centro</v>
          </cell>
          <cell r="D64" t="str">
            <v>Paraná Centro</v>
          </cell>
        </row>
        <row r="65">
          <cell r="B65" t="str">
            <v>Candói</v>
          </cell>
          <cell r="C65" t="str">
            <v>Oeste</v>
          </cell>
          <cell r="D65" t="str">
            <v>Cantuquiriguaçu</v>
          </cell>
        </row>
        <row r="66">
          <cell r="B66" t="str">
            <v>Cantagalo</v>
          </cell>
          <cell r="C66" t="str">
            <v>Oeste</v>
          </cell>
          <cell r="D66" t="str">
            <v>Cantuquiriguaçu</v>
          </cell>
        </row>
        <row r="67">
          <cell r="B67" t="str">
            <v>Capanema</v>
          </cell>
          <cell r="C67" t="str">
            <v>Sul</v>
          </cell>
          <cell r="D67" t="str">
            <v>Sudoeste La Frontera</v>
          </cell>
        </row>
        <row r="68">
          <cell r="B68" t="str">
            <v>Capitão Leônidas Marques</v>
          </cell>
          <cell r="C68" t="str">
            <v>Oeste</v>
          </cell>
          <cell r="D68" t="str">
            <v>Oeste Integrado</v>
          </cell>
        </row>
        <row r="69">
          <cell r="B69" t="str">
            <v>Carambeí</v>
          </cell>
          <cell r="C69" t="str">
            <v>Centro</v>
          </cell>
          <cell r="D69" t="str">
            <v>Campos Gerais</v>
          </cell>
        </row>
        <row r="70">
          <cell r="B70" t="str">
            <v>Carlópolis</v>
          </cell>
          <cell r="C70" t="str">
            <v>Norte</v>
          </cell>
          <cell r="D70" t="str">
            <v>Norte Pioneiro</v>
          </cell>
        </row>
        <row r="71">
          <cell r="B71" t="str">
            <v>Cascavel</v>
          </cell>
          <cell r="C71" t="str">
            <v>Oeste</v>
          </cell>
          <cell r="D71" t="str">
            <v>Oeste Integrado</v>
          </cell>
        </row>
        <row r="72">
          <cell r="B72" t="str">
            <v>Castro</v>
          </cell>
          <cell r="C72" t="str">
            <v>Centro</v>
          </cell>
          <cell r="D72" t="str">
            <v>Campos Gerais</v>
          </cell>
        </row>
        <row r="73">
          <cell r="B73" t="str">
            <v>Catanduvas</v>
          </cell>
          <cell r="C73" t="str">
            <v>Oeste</v>
          </cell>
          <cell r="D73" t="str">
            <v>Cantuquiriguaçu</v>
          </cell>
        </row>
        <row r="74">
          <cell r="B74" t="str">
            <v>Centenário do Sul</v>
          </cell>
          <cell r="C74" t="str">
            <v>Norte</v>
          </cell>
          <cell r="D74" t="str">
            <v>Vale do Paranapanema</v>
          </cell>
        </row>
        <row r="75">
          <cell r="B75" t="str">
            <v>Cerro Azul</v>
          </cell>
          <cell r="C75" t="str">
            <v>Leste</v>
          </cell>
          <cell r="D75" t="str">
            <v>Vale Do Ribeira</v>
          </cell>
        </row>
        <row r="76">
          <cell r="B76" t="str">
            <v>Céu Azul</v>
          </cell>
          <cell r="C76" t="str">
            <v>Oeste</v>
          </cell>
          <cell r="D76" t="str">
            <v>Oeste Integrado</v>
          </cell>
        </row>
        <row r="77">
          <cell r="B77" t="str">
            <v>Chopinzinho</v>
          </cell>
          <cell r="C77" t="str">
            <v>Sul</v>
          </cell>
          <cell r="D77" t="str">
            <v>Sudoeste Pioneiro</v>
          </cell>
        </row>
        <row r="78">
          <cell r="B78" t="str">
            <v>Cianorte</v>
          </cell>
          <cell r="C78" t="str">
            <v>Noroeste</v>
          </cell>
          <cell r="D78" t="str">
            <v>Médio Noroeste</v>
          </cell>
        </row>
        <row r="79">
          <cell r="B79" t="str">
            <v>Cidade Gaúcha</v>
          </cell>
          <cell r="C79" t="str">
            <v>Noroeste</v>
          </cell>
          <cell r="D79" t="str">
            <v>Médio Noroeste</v>
          </cell>
        </row>
        <row r="80">
          <cell r="B80" t="str">
            <v>Clevelândia</v>
          </cell>
          <cell r="C80" t="str">
            <v>Sul</v>
          </cell>
          <cell r="D80" t="str">
            <v>Sudoeste Pioneiro</v>
          </cell>
        </row>
        <row r="81">
          <cell r="B81" t="str">
            <v>Colombo</v>
          </cell>
          <cell r="C81" t="str">
            <v>Leste</v>
          </cell>
          <cell r="D81" t="str">
            <v>RMC</v>
          </cell>
        </row>
        <row r="82">
          <cell r="B82" t="str">
            <v>Colorado</v>
          </cell>
          <cell r="C82" t="str">
            <v>Noroeste</v>
          </cell>
          <cell r="D82" t="str">
            <v>Terra Roxa</v>
          </cell>
        </row>
        <row r="83">
          <cell r="B83" t="str">
            <v>Congonhinhas</v>
          </cell>
          <cell r="C83" t="str">
            <v>Norte</v>
          </cell>
          <cell r="D83" t="str">
            <v>Norte Pioneiro</v>
          </cell>
        </row>
        <row r="84">
          <cell r="B84" t="str">
            <v>Conselheiro Mairinck</v>
          </cell>
          <cell r="C84" t="str">
            <v>Norte</v>
          </cell>
          <cell r="D84" t="str">
            <v>Norte Pioneiro</v>
          </cell>
        </row>
        <row r="85">
          <cell r="B85" t="str">
            <v>Contenda</v>
          </cell>
          <cell r="C85" t="str">
            <v>Leste</v>
          </cell>
          <cell r="D85" t="str">
            <v>Gralha Azul</v>
          </cell>
        </row>
        <row r="86">
          <cell r="B86" t="str">
            <v>Corbélia</v>
          </cell>
          <cell r="C86" t="str">
            <v>Oeste</v>
          </cell>
          <cell r="D86" t="str">
            <v>Oeste Integrado</v>
          </cell>
        </row>
        <row r="87">
          <cell r="B87" t="str">
            <v>Cornélio Procópio</v>
          </cell>
          <cell r="C87" t="str">
            <v>Norte</v>
          </cell>
          <cell r="D87" t="str">
            <v>Norte Central</v>
          </cell>
        </row>
        <row r="88">
          <cell r="B88" t="str">
            <v>Coronel Domingos Soares</v>
          </cell>
          <cell r="C88" t="str">
            <v>Sul</v>
          </cell>
          <cell r="D88" t="str">
            <v>Sudoeste Pioneiro</v>
          </cell>
        </row>
        <row r="89">
          <cell r="B89" t="str">
            <v>Coronel Vivida</v>
          </cell>
          <cell r="C89" t="str">
            <v>Sul</v>
          </cell>
          <cell r="D89" t="str">
            <v>Sudoeste Pioneiro</v>
          </cell>
        </row>
        <row r="90">
          <cell r="B90" t="str">
            <v>Corumbataí do Sul</v>
          </cell>
          <cell r="C90" t="str">
            <v>Noroeste</v>
          </cell>
          <cell r="D90" t="str">
            <v>Centro Ocidental</v>
          </cell>
        </row>
        <row r="91">
          <cell r="B91" t="str">
            <v>Cruz Machado</v>
          </cell>
          <cell r="C91" t="str">
            <v>Sul</v>
          </cell>
          <cell r="D91" t="str">
            <v>Sul do Paraná</v>
          </cell>
        </row>
        <row r="92">
          <cell r="B92" t="str">
            <v>Cruzeiro do Iguaçu</v>
          </cell>
          <cell r="C92" t="str">
            <v>Sul</v>
          </cell>
          <cell r="D92" t="str">
            <v>Sudoeste Pioneiro</v>
          </cell>
        </row>
        <row r="93">
          <cell r="B93" t="str">
            <v>Cruzeiro do Oeste</v>
          </cell>
          <cell r="C93" t="str">
            <v>Noroeste</v>
          </cell>
          <cell r="D93" t="str">
            <v>Arenito-Caiuá</v>
          </cell>
        </row>
        <row r="94">
          <cell r="B94" t="str">
            <v>Cruzeiro do Sul</v>
          </cell>
          <cell r="C94" t="str">
            <v>Noroeste</v>
          </cell>
          <cell r="D94" t="str">
            <v>Costa Noroeste</v>
          </cell>
        </row>
        <row r="95">
          <cell r="B95" t="str">
            <v>Cruzmaltina</v>
          </cell>
          <cell r="C95" t="str">
            <v>Norte</v>
          </cell>
          <cell r="D95" t="str">
            <v>Vale Do Ivaí</v>
          </cell>
        </row>
        <row r="96">
          <cell r="B96" t="str">
            <v>Curitiba</v>
          </cell>
          <cell r="C96" t="str">
            <v>Curitiba</v>
          </cell>
          <cell r="D96" t="str">
            <v>Curitiba</v>
          </cell>
        </row>
        <row r="97">
          <cell r="B97" t="str">
            <v>Curiúva</v>
          </cell>
          <cell r="C97" t="str">
            <v>Centro</v>
          </cell>
          <cell r="D97" t="str">
            <v>Vale Do Tibagi</v>
          </cell>
        </row>
        <row r="98">
          <cell r="B98" t="str">
            <v>Diamante do Norte</v>
          </cell>
          <cell r="C98" t="str">
            <v>Noroeste</v>
          </cell>
          <cell r="D98" t="str">
            <v>Costa Noroeste</v>
          </cell>
        </row>
        <row r="99">
          <cell r="B99" t="str">
            <v>Diamante do Sul</v>
          </cell>
          <cell r="C99" t="str">
            <v>Oeste</v>
          </cell>
          <cell r="D99" t="str">
            <v>Cantuquiriguaçu</v>
          </cell>
        </row>
        <row r="100">
          <cell r="B100" t="str">
            <v>Diamante D'Oeste</v>
          </cell>
          <cell r="C100" t="str">
            <v>Oeste</v>
          </cell>
          <cell r="D100" t="str">
            <v>Oeste Integrado</v>
          </cell>
        </row>
        <row r="101">
          <cell r="B101" t="str">
            <v>Dois Vizinhos</v>
          </cell>
          <cell r="C101" t="str">
            <v>Sul</v>
          </cell>
          <cell r="D101" t="str">
            <v>Sudoeste Pioneiro</v>
          </cell>
        </row>
        <row r="102">
          <cell r="B102" t="str">
            <v>Douradina</v>
          </cell>
          <cell r="C102" t="str">
            <v>Noroeste</v>
          </cell>
          <cell r="D102" t="str">
            <v>Arenito-Caiuá</v>
          </cell>
        </row>
        <row r="103">
          <cell r="B103" t="str">
            <v>Doutor Camargo</v>
          </cell>
          <cell r="C103" t="str">
            <v>Noroeste</v>
          </cell>
          <cell r="D103" t="str">
            <v>Terra Roxa</v>
          </cell>
        </row>
        <row r="104">
          <cell r="B104" t="str">
            <v>Doutor Ulysses</v>
          </cell>
          <cell r="C104" t="str">
            <v>Leste</v>
          </cell>
          <cell r="D104" t="str">
            <v>Vale Do Ribeira</v>
          </cell>
        </row>
        <row r="105">
          <cell r="B105" t="str">
            <v>Enéas Marques</v>
          </cell>
          <cell r="C105" t="str">
            <v>Sul</v>
          </cell>
          <cell r="D105" t="str">
            <v>Sudoeste Pioneiro</v>
          </cell>
        </row>
        <row r="106">
          <cell r="B106" t="str">
            <v>Engenheiro Beltrão</v>
          </cell>
          <cell r="C106" t="str">
            <v>Noroeste</v>
          </cell>
          <cell r="D106" t="str">
            <v>Centro Ocidental</v>
          </cell>
        </row>
        <row r="107">
          <cell r="B107" t="str">
            <v>Entre Rios do Oeste</v>
          </cell>
          <cell r="C107" t="str">
            <v>Oeste</v>
          </cell>
          <cell r="D107" t="str">
            <v>Oeste Integrado</v>
          </cell>
        </row>
        <row r="108">
          <cell r="B108" t="str">
            <v>Esperança Nova</v>
          </cell>
          <cell r="C108" t="str">
            <v>Noroeste</v>
          </cell>
          <cell r="D108" t="str">
            <v>Arenito-Caiuá</v>
          </cell>
        </row>
        <row r="109">
          <cell r="B109" t="str">
            <v>Espigão Alto do Iguaçu</v>
          </cell>
          <cell r="C109" t="str">
            <v>Oeste</v>
          </cell>
          <cell r="D109" t="str">
            <v>Cantuquiriguaçu</v>
          </cell>
        </row>
        <row r="110">
          <cell r="B110" t="str">
            <v>Farol</v>
          </cell>
          <cell r="C110" t="str">
            <v>Noroeste</v>
          </cell>
          <cell r="D110" t="str">
            <v>Centro Ocidental</v>
          </cell>
        </row>
        <row r="111">
          <cell r="B111" t="str">
            <v>Faxinal</v>
          </cell>
          <cell r="C111" t="str">
            <v>Norte</v>
          </cell>
          <cell r="D111" t="str">
            <v>Vale Do Ivaí</v>
          </cell>
        </row>
        <row r="112">
          <cell r="B112" t="str">
            <v>Fazenda Rio Grande</v>
          </cell>
          <cell r="C112" t="str">
            <v>Leste</v>
          </cell>
          <cell r="D112" t="str">
            <v>Gralha Azul</v>
          </cell>
        </row>
        <row r="113">
          <cell r="B113" t="str">
            <v>Fênix</v>
          </cell>
          <cell r="C113" t="str">
            <v>Noroeste</v>
          </cell>
          <cell r="D113" t="str">
            <v>Centro Ocidental</v>
          </cell>
        </row>
        <row r="114">
          <cell r="B114" t="str">
            <v>Fernandes Pinheiro</v>
          </cell>
          <cell r="C114" t="str">
            <v>Centro</v>
          </cell>
          <cell r="D114" t="str">
            <v>Vale Dos Pinheirais</v>
          </cell>
        </row>
        <row r="115">
          <cell r="B115" t="str">
            <v>Figueira</v>
          </cell>
          <cell r="C115" t="str">
            <v>Norte</v>
          </cell>
          <cell r="D115" t="str">
            <v>Norte Pioneiro</v>
          </cell>
        </row>
        <row r="116">
          <cell r="B116" t="str">
            <v>Flor da Serra do Sul</v>
          </cell>
          <cell r="C116" t="str">
            <v>Sul</v>
          </cell>
          <cell r="D116" t="str">
            <v>Sudoeste La Frontera</v>
          </cell>
        </row>
        <row r="117">
          <cell r="B117" t="str">
            <v>Floraí</v>
          </cell>
          <cell r="C117" t="str">
            <v>Noroeste</v>
          </cell>
          <cell r="D117" t="str">
            <v>Terra Roxa</v>
          </cell>
        </row>
        <row r="118">
          <cell r="B118" t="str">
            <v>Floresta</v>
          </cell>
          <cell r="C118" t="str">
            <v>Noroeste</v>
          </cell>
          <cell r="D118" t="str">
            <v>Terra Roxa</v>
          </cell>
        </row>
        <row r="119">
          <cell r="B119" t="str">
            <v>Florestópolis</v>
          </cell>
          <cell r="C119" t="str">
            <v>Norte</v>
          </cell>
          <cell r="D119" t="str">
            <v>Vale do Paranapanema</v>
          </cell>
        </row>
        <row r="120">
          <cell r="B120" t="str">
            <v>Flórida</v>
          </cell>
          <cell r="C120" t="str">
            <v>Noroeste</v>
          </cell>
          <cell r="D120" t="str">
            <v>Terra Roxa</v>
          </cell>
        </row>
        <row r="121">
          <cell r="B121" t="str">
            <v>Formosa do Oeste</v>
          </cell>
          <cell r="C121" t="str">
            <v>Oeste</v>
          </cell>
          <cell r="D121" t="str">
            <v>Oeste Integrado</v>
          </cell>
        </row>
        <row r="122">
          <cell r="B122" t="str">
            <v>Foz do Iguaçu</v>
          </cell>
          <cell r="C122" t="str">
            <v>Oeste</v>
          </cell>
          <cell r="D122" t="str">
            <v>Oeste Integrado</v>
          </cell>
        </row>
        <row r="123">
          <cell r="B123" t="str">
            <v>Foz do Jordão</v>
          </cell>
          <cell r="C123" t="str">
            <v>Oeste</v>
          </cell>
          <cell r="D123" t="str">
            <v>Cantuquiriguaçu</v>
          </cell>
        </row>
        <row r="124">
          <cell r="B124" t="str">
            <v>Francisco Alves</v>
          </cell>
          <cell r="C124" t="str">
            <v>Oeste</v>
          </cell>
          <cell r="D124" t="str">
            <v>Oeste Integrado</v>
          </cell>
        </row>
        <row r="125">
          <cell r="B125" t="str">
            <v>Francisco Beltrão</v>
          </cell>
          <cell r="C125" t="str">
            <v>Sul</v>
          </cell>
          <cell r="D125" t="str">
            <v>Sudoeste Pioneiro</v>
          </cell>
        </row>
        <row r="126">
          <cell r="B126" t="str">
            <v>General Carneiro</v>
          </cell>
          <cell r="C126" t="str">
            <v>Sul</v>
          </cell>
          <cell r="D126" t="str">
            <v>Sul do Paraná</v>
          </cell>
        </row>
        <row r="127">
          <cell r="B127" t="str">
            <v>Godoy Moreira</v>
          </cell>
          <cell r="C127" t="str">
            <v>Norte</v>
          </cell>
          <cell r="D127" t="str">
            <v>Vale Do Ivaí</v>
          </cell>
        </row>
        <row r="128">
          <cell r="B128" t="str">
            <v>Goioerê</v>
          </cell>
          <cell r="C128" t="str">
            <v>Noroeste</v>
          </cell>
          <cell r="D128" t="str">
            <v>Centro Ocidental</v>
          </cell>
        </row>
        <row r="129">
          <cell r="B129" t="str">
            <v>Goioxim</v>
          </cell>
          <cell r="C129" t="str">
            <v>Oeste</v>
          </cell>
          <cell r="D129" t="str">
            <v>Cantuquiriguaçu</v>
          </cell>
        </row>
        <row r="130">
          <cell r="B130" t="str">
            <v>Grandes Rios</v>
          </cell>
          <cell r="C130" t="str">
            <v>Norte</v>
          </cell>
          <cell r="D130" t="str">
            <v>Vale Do Ivaí</v>
          </cell>
        </row>
        <row r="131">
          <cell r="B131" t="str">
            <v>Guaíra</v>
          </cell>
          <cell r="C131" t="str">
            <v>Oeste</v>
          </cell>
          <cell r="D131" t="str">
            <v>Oeste Integrado</v>
          </cell>
        </row>
        <row r="132">
          <cell r="B132" t="str">
            <v>Guairaçá</v>
          </cell>
          <cell r="C132" t="str">
            <v>Noroeste</v>
          </cell>
          <cell r="D132" t="str">
            <v>Costa Noroeste</v>
          </cell>
        </row>
        <row r="133">
          <cell r="B133" t="str">
            <v>Guamiranga</v>
          </cell>
          <cell r="C133" t="str">
            <v>Centro</v>
          </cell>
          <cell r="D133" t="str">
            <v>Vale Dos Pinheirais</v>
          </cell>
        </row>
        <row r="134">
          <cell r="B134" t="str">
            <v>Guapirama</v>
          </cell>
          <cell r="C134" t="str">
            <v>Norte</v>
          </cell>
          <cell r="D134" t="str">
            <v>Norte Pioneiro</v>
          </cell>
        </row>
        <row r="135">
          <cell r="B135" t="str">
            <v>Guaporema</v>
          </cell>
          <cell r="C135" t="str">
            <v>Noroeste</v>
          </cell>
          <cell r="D135" t="str">
            <v>Médio Noroeste</v>
          </cell>
        </row>
        <row r="136">
          <cell r="B136" t="str">
            <v>Guaraci</v>
          </cell>
          <cell r="C136" t="str">
            <v>Norte</v>
          </cell>
          <cell r="D136" t="str">
            <v>Vale do Paranapanema</v>
          </cell>
        </row>
        <row r="137">
          <cell r="B137" t="str">
            <v>Guaraniaçu</v>
          </cell>
          <cell r="C137" t="str">
            <v>Oeste</v>
          </cell>
          <cell r="D137" t="str">
            <v>Cantuquiriguaçu</v>
          </cell>
        </row>
        <row r="138">
          <cell r="B138" t="str">
            <v>Guarapuava</v>
          </cell>
          <cell r="C138" t="str">
            <v>Centro</v>
          </cell>
          <cell r="D138" t="str">
            <v>Paraná Centro</v>
          </cell>
        </row>
        <row r="139">
          <cell r="B139" t="str">
            <v>Guaraqueçaba</v>
          </cell>
          <cell r="C139" t="str">
            <v>Leste</v>
          </cell>
          <cell r="D139" t="str">
            <v>Litoral</v>
          </cell>
        </row>
        <row r="140">
          <cell r="B140" t="str">
            <v>Guaratuba</v>
          </cell>
          <cell r="C140" t="str">
            <v>Leste</v>
          </cell>
          <cell r="D140" t="str">
            <v>Litoral</v>
          </cell>
        </row>
        <row r="141">
          <cell r="B141" t="str">
            <v>Honório Serpa</v>
          </cell>
          <cell r="C141" t="str">
            <v>Sul</v>
          </cell>
          <cell r="D141" t="str">
            <v>Sudoeste Pioneiro</v>
          </cell>
        </row>
        <row r="142">
          <cell r="B142" t="str">
            <v>Ibaiti</v>
          </cell>
          <cell r="C142" t="str">
            <v>Norte</v>
          </cell>
          <cell r="D142" t="str">
            <v>Norte Pioneiro</v>
          </cell>
        </row>
        <row r="143">
          <cell r="B143" t="str">
            <v>Ibema</v>
          </cell>
          <cell r="C143" t="str">
            <v>Oeste</v>
          </cell>
          <cell r="D143" t="str">
            <v>Cantuquiriguaçu</v>
          </cell>
        </row>
        <row r="144">
          <cell r="B144" t="str">
            <v>Ibiporã</v>
          </cell>
          <cell r="C144" t="str">
            <v>Norte</v>
          </cell>
          <cell r="D144" t="str">
            <v>Norte Do Paraná</v>
          </cell>
        </row>
        <row r="145">
          <cell r="B145" t="str">
            <v>Icaraíma</v>
          </cell>
          <cell r="C145" t="str">
            <v>Noroeste</v>
          </cell>
          <cell r="D145" t="str">
            <v>Arenito-Caiuá</v>
          </cell>
        </row>
        <row r="146">
          <cell r="B146" t="str">
            <v>Iguaraçu</v>
          </cell>
          <cell r="C146" t="str">
            <v>Noroeste</v>
          </cell>
          <cell r="D146" t="str">
            <v>Terra Roxa</v>
          </cell>
        </row>
        <row r="147">
          <cell r="B147" t="str">
            <v>Iguatu</v>
          </cell>
          <cell r="C147" t="str">
            <v>Oeste</v>
          </cell>
          <cell r="D147" t="str">
            <v>Oeste Integrado</v>
          </cell>
        </row>
        <row r="148">
          <cell r="B148" t="str">
            <v>Imbaú</v>
          </cell>
          <cell r="C148" t="str">
            <v>Centro</v>
          </cell>
          <cell r="D148" t="str">
            <v>Vale Do Tibagi</v>
          </cell>
        </row>
        <row r="149">
          <cell r="B149" t="str">
            <v>Imbituva</v>
          </cell>
          <cell r="C149" t="str">
            <v>Centro</v>
          </cell>
          <cell r="D149" t="str">
            <v>Vale Dos Pinheirais</v>
          </cell>
        </row>
        <row r="150">
          <cell r="B150" t="str">
            <v>Inácio Martins</v>
          </cell>
          <cell r="C150" t="str">
            <v>Centro</v>
          </cell>
          <cell r="D150" t="str">
            <v>Vale Dos Pinheirais</v>
          </cell>
        </row>
        <row r="151">
          <cell r="B151" t="str">
            <v>Inajá</v>
          </cell>
          <cell r="C151" t="str">
            <v>Noroeste</v>
          </cell>
          <cell r="D151" t="str">
            <v>Costa Noroeste</v>
          </cell>
        </row>
        <row r="152">
          <cell r="B152" t="str">
            <v>Indianópolis</v>
          </cell>
          <cell r="C152" t="str">
            <v>Noroeste</v>
          </cell>
          <cell r="D152" t="str">
            <v>Médio Noroeste</v>
          </cell>
        </row>
        <row r="153">
          <cell r="B153" t="str">
            <v>Ipiranga</v>
          </cell>
          <cell r="C153" t="str">
            <v>Centro</v>
          </cell>
          <cell r="D153" t="str">
            <v>Campos Gerais</v>
          </cell>
        </row>
        <row r="154">
          <cell r="B154" t="str">
            <v>Iporã</v>
          </cell>
          <cell r="C154" t="str">
            <v>Noroeste</v>
          </cell>
          <cell r="D154" t="str">
            <v>Arenito-Caiuá</v>
          </cell>
        </row>
        <row r="155">
          <cell r="B155" t="str">
            <v>Iracema do Oeste</v>
          </cell>
          <cell r="C155" t="str">
            <v>Oeste</v>
          </cell>
          <cell r="D155" t="str">
            <v>Oeste Integrado</v>
          </cell>
        </row>
        <row r="156">
          <cell r="B156" t="str">
            <v>Irati</v>
          </cell>
          <cell r="C156" t="str">
            <v>Centro</v>
          </cell>
          <cell r="D156" t="str">
            <v>Vale Dos Pinheirais</v>
          </cell>
        </row>
        <row r="157">
          <cell r="B157" t="str">
            <v>Iretama</v>
          </cell>
          <cell r="C157" t="str">
            <v>Noroeste</v>
          </cell>
          <cell r="D157" t="str">
            <v>Centro Ocidental</v>
          </cell>
        </row>
        <row r="158">
          <cell r="B158" t="str">
            <v>Itaguajé</v>
          </cell>
          <cell r="C158" t="str">
            <v>Noroeste</v>
          </cell>
          <cell r="D158" t="str">
            <v>Terra Roxa</v>
          </cell>
        </row>
        <row r="159">
          <cell r="B159" t="str">
            <v>Itaipulândia</v>
          </cell>
          <cell r="C159" t="str">
            <v>Oeste</v>
          </cell>
          <cell r="D159" t="str">
            <v>Oeste Integrado</v>
          </cell>
        </row>
        <row r="160">
          <cell r="B160" t="str">
            <v>Itambaracá</v>
          </cell>
          <cell r="C160" t="str">
            <v>Norte</v>
          </cell>
          <cell r="D160" t="str">
            <v>Norte Pioneiro</v>
          </cell>
        </row>
        <row r="161">
          <cell r="B161" t="str">
            <v>Itambé</v>
          </cell>
          <cell r="C161" t="str">
            <v>Noroeste</v>
          </cell>
          <cell r="D161" t="str">
            <v>Terra Roxa</v>
          </cell>
        </row>
        <row r="162">
          <cell r="B162" t="str">
            <v>Itapejara d'Oeste</v>
          </cell>
          <cell r="C162" t="str">
            <v>Sul</v>
          </cell>
          <cell r="D162" t="str">
            <v>Sudoeste Pioneiro</v>
          </cell>
        </row>
        <row r="163">
          <cell r="B163" t="str">
            <v>Itaperuçu</v>
          </cell>
          <cell r="C163" t="str">
            <v>Leste</v>
          </cell>
          <cell r="D163" t="str">
            <v>Vale Do Ribeira</v>
          </cell>
        </row>
        <row r="164">
          <cell r="B164" t="str">
            <v>Itaúna do Sul</v>
          </cell>
          <cell r="C164" t="str">
            <v>Noroeste</v>
          </cell>
          <cell r="D164" t="str">
            <v>Costa Noroeste</v>
          </cell>
        </row>
        <row r="165">
          <cell r="B165" t="str">
            <v>Ivaí</v>
          </cell>
          <cell r="C165" t="str">
            <v>Centro</v>
          </cell>
          <cell r="D165" t="str">
            <v>Vale Do Tibagi</v>
          </cell>
        </row>
        <row r="166">
          <cell r="B166" t="str">
            <v>Ivaiporã</v>
          </cell>
          <cell r="C166" t="str">
            <v>Norte</v>
          </cell>
          <cell r="D166" t="str">
            <v>Vale Do Ivaí</v>
          </cell>
        </row>
        <row r="167">
          <cell r="B167" t="str">
            <v>Ivaté</v>
          </cell>
          <cell r="C167" t="str">
            <v>Noroeste</v>
          </cell>
          <cell r="D167" t="str">
            <v>Arenito-Caiuá</v>
          </cell>
        </row>
        <row r="168">
          <cell r="B168" t="str">
            <v>Ivatuba</v>
          </cell>
          <cell r="C168" t="str">
            <v>Noroeste</v>
          </cell>
          <cell r="D168" t="str">
            <v>Terra Roxa</v>
          </cell>
        </row>
        <row r="169">
          <cell r="B169" t="str">
            <v>Jaboti</v>
          </cell>
          <cell r="C169" t="str">
            <v>Norte</v>
          </cell>
          <cell r="D169" t="str">
            <v>Norte Pioneiro</v>
          </cell>
        </row>
        <row r="170">
          <cell r="B170" t="str">
            <v>Jacarezinho</v>
          </cell>
          <cell r="C170" t="str">
            <v>Norte</v>
          </cell>
          <cell r="D170" t="str">
            <v>Norte Pioneiro</v>
          </cell>
        </row>
        <row r="171">
          <cell r="B171" t="str">
            <v>Jaguapitã</v>
          </cell>
          <cell r="C171" t="str">
            <v>Norte</v>
          </cell>
          <cell r="D171" t="str">
            <v>Vale do Paranapanema</v>
          </cell>
        </row>
        <row r="172">
          <cell r="B172" t="str">
            <v>Jaguariaíva</v>
          </cell>
          <cell r="C172" t="str">
            <v>Centro</v>
          </cell>
          <cell r="D172" t="str">
            <v>Campos Gerais</v>
          </cell>
        </row>
        <row r="173">
          <cell r="B173" t="str">
            <v>Jandaia do Sul</v>
          </cell>
          <cell r="C173" t="str">
            <v>Norte</v>
          </cell>
          <cell r="D173" t="str">
            <v>Vale Do Ivaí</v>
          </cell>
        </row>
        <row r="174">
          <cell r="B174" t="str">
            <v>Janiópolis</v>
          </cell>
          <cell r="C174" t="str">
            <v>Noroeste</v>
          </cell>
          <cell r="D174" t="str">
            <v>Centro Ocidental</v>
          </cell>
        </row>
        <row r="175">
          <cell r="B175" t="str">
            <v>Japira</v>
          </cell>
          <cell r="C175" t="str">
            <v>Norte</v>
          </cell>
          <cell r="D175" t="str">
            <v>Norte Pioneiro</v>
          </cell>
        </row>
        <row r="176">
          <cell r="B176" t="str">
            <v>Japurá</v>
          </cell>
          <cell r="C176" t="str">
            <v>Noroeste</v>
          </cell>
          <cell r="D176" t="str">
            <v>Médio Noroeste</v>
          </cell>
        </row>
        <row r="177">
          <cell r="B177" t="str">
            <v>Jardim Alegre</v>
          </cell>
          <cell r="C177" t="str">
            <v>Norte</v>
          </cell>
          <cell r="D177" t="str">
            <v>Vale Do Ivaí</v>
          </cell>
        </row>
        <row r="178">
          <cell r="B178" t="str">
            <v>Jardim Olinda</v>
          </cell>
          <cell r="C178" t="str">
            <v>Noroeste</v>
          </cell>
          <cell r="D178" t="str">
            <v>Costa Noroeste</v>
          </cell>
        </row>
        <row r="179">
          <cell r="B179" t="str">
            <v>Jataizinho</v>
          </cell>
          <cell r="C179" t="str">
            <v>Norte</v>
          </cell>
          <cell r="D179" t="str">
            <v>Norte Do Paraná</v>
          </cell>
        </row>
        <row r="180">
          <cell r="B180" t="str">
            <v>Jesuítas</v>
          </cell>
          <cell r="C180" t="str">
            <v>Oeste</v>
          </cell>
          <cell r="D180" t="str">
            <v>Oeste Integrado</v>
          </cell>
        </row>
        <row r="181">
          <cell r="B181" t="str">
            <v>Joaquim Távora</v>
          </cell>
          <cell r="C181" t="str">
            <v>Norte</v>
          </cell>
          <cell r="D181" t="str">
            <v>Norte Pioneiro</v>
          </cell>
        </row>
        <row r="182">
          <cell r="B182" t="str">
            <v>Jundiaí do Sul</v>
          </cell>
          <cell r="C182" t="str">
            <v>Norte</v>
          </cell>
          <cell r="D182" t="str">
            <v>Norte Pioneiro</v>
          </cell>
        </row>
        <row r="183">
          <cell r="B183" t="str">
            <v>Juranda</v>
          </cell>
          <cell r="C183" t="str">
            <v>Noroeste</v>
          </cell>
          <cell r="D183" t="str">
            <v>Centro Ocidental</v>
          </cell>
        </row>
        <row r="184">
          <cell r="B184" t="str">
            <v>Jussara</v>
          </cell>
          <cell r="C184" t="str">
            <v>Noroeste</v>
          </cell>
          <cell r="D184" t="str">
            <v>Médio Noroeste</v>
          </cell>
        </row>
        <row r="185">
          <cell r="B185" t="str">
            <v>Kaloré</v>
          </cell>
          <cell r="C185" t="str">
            <v>Norte</v>
          </cell>
          <cell r="D185" t="str">
            <v>Vale Do Ivaí</v>
          </cell>
        </row>
        <row r="186">
          <cell r="B186" t="str">
            <v>Lapa</v>
          </cell>
          <cell r="C186" t="str">
            <v>Leste</v>
          </cell>
          <cell r="D186" t="str">
            <v>Gralha Azul</v>
          </cell>
        </row>
        <row r="187">
          <cell r="B187" t="str">
            <v>Laranjal</v>
          </cell>
          <cell r="C187" t="str">
            <v>Centro</v>
          </cell>
          <cell r="D187" t="str">
            <v>Paraná Centro</v>
          </cell>
        </row>
        <row r="188">
          <cell r="B188" t="str">
            <v>Laranjeiras do Sul</v>
          </cell>
          <cell r="C188" t="str">
            <v>Oeste</v>
          </cell>
          <cell r="D188" t="str">
            <v>Cantuquiriguaçu</v>
          </cell>
        </row>
        <row r="189">
          <cell r="B189" t="str">
            <v>Leópolis</v>
          </cell>
          <cell r="C189" t="str">
            <v>Norte</v>
          </cell>
          <cell r="D189" t="str">
            <v>Norte Central</v>
          </cell>
        </row>
        <row r="190">
          <cell r="B190" t="str">
            <v>Lidianópolis</v>
          </cell>
          <cell r="C190" t="str">
            <v>Norte</v>
          </cell>
          <cell r="D190" t="str">
            <v>Vale Do Ivaí</v>
          </cell>
        </row>
        <row r="191">
          <cell r="B191" t="str">
            <v>Lindoeste</v>
          </cell>
          <cell r="C191" t="str">
            <v>Oeste</v>
          </cell>
          <cell r="D191" t="str">
            <v>Oeste Integrado</v>
          </cell>
        </row>
        <row r="192">
          <cell r="B192" t="str">
            <v>Loanda</v>
          </cell>
          <cell r="C192" t="str">
            <v>Noroeste</v>
          </cell>
          <cell r="D192" t="str">
            <v>Costa Noroeste</v>
          </cell>
        </row>
        <row r="193">
          <cell r="B193" t="str">
            <v>Lobato</v>
          </cell>
          <cell r="C193" t="str">
            <v>Noroeste</v>
          </cell>
          <cell r="D193" t="str">
            <v>Terra Roxa</v>
          </cell>
        </row>
        <row r="194">
          <cell r="B194" t="str">
            <v>Londrina</v>
          </cell>
          <cell r="C194" t="str">
            <v>Norte</v>
          </cell>
          <cell r="D194" t="str">
            <v>Norte Do Paraná</v>
          </cell>
        </row>
        <row r="195">
          <cell r="B195" t="str">
            <v>Luiziana</v>
          </cell>
          <cell r="C195" t="str">
            <v>Noroeste</v>
          </cell>
          <cell r="D195" t="str">
            <v>Centro Ocidental</v>
          </cell>
        </row>
        <row r="196">
          <cell r="B196" t="str">
            <v>Lunardelli</v>
          </cell>
          <cell r="C196" t="str">
            <v>Norte</v>
          </cell>
          <cell r="D196" t="str">
            <v>Vale Do Ivaí</v>
          </cell>
        </row>
        <row r="197">
          <cell r="B197" t="str">
            <v>Lupionópolis</v>
          </cell>
          <cell r="C197" t="str">
            <v>Norte</v>
          </cell>
          <cell r="D197" t="str">
            <v>Vale do Paranapanema</v>
          </cell>
        </row>
        <row r="198">
          <cell r="B198" t="str">
            <v>Mallet</v>
          </cell>
          <cell r="C198" t="str">
            <v>Centro</v>
          </cell>
          <cell r="D198" t="str">
            <v>Vale Dos Pinheirais</v>
          </cell>
        </row>
        <row r="199">
          <cell r="B199" t="str">
            <v>Mamborê</v>
          </cell>
          <cell r="C199" t="str">
            <v>Noroeste</v>
          </cell>
          <cell r="D199" t="str">
            <v>Centro Ocidental</v>
          </cell>
        </row>
        <row r="200">
          <cell r="B200" t="str">
            <v>Mandaguaçu</v>
          </cell>
          <cell r="C200" t="str">
            <v>Noroeste</v>
          </cell>
          <cell r="D200" t="str">
            <v>Terra Roxa</v>
          </cell>
        </row>
        <row r="201">
          <cell r="B201" t="str">
            <v>Mandaguari</v>
          </cell>
          <cell r="C201" t="str">
            <v>Noroeste</v>
          </cell>
          <cell r="D201" t="str">
            <v>Terra Roxa</v>
          </cell>
        </row>
        <row r="202">
          <cell r="B202" t="str">
            <v>Mandirituba</v>
          </cell>
          <cell r="C202" t="str">
            <v>Leste</v>
          </cell>
          <cell r="D202" t="str">
            <v>Gralha Azul</v>
          </cell>
        </row>
        <row r="203">
          <cell r="B203" t="str">
            <v>Manfrinópolis</v>
          </cell>
          <cell r="C203" t="str">
            <v>Sul</v>
          </cell>
          <cell r="D203" t="str">
            <v>Sudoeste La Frontera</v>
          </cell>
        </row>
        <row r="204">
          <cell r="B204" t="str">
            <v>Mangueirinha</v>
          </cell>
          <cell r="C204" t="str">
            <v>Sul</v>
          </cell>
          <cell r="D204" t="str">
            <v>Sudoeste Pioneiro</v>
          </cell>
        </row>
        <row r="205">
          <cell r="B205" t="str">
            <v>Manoel Ribas</v>
          </cell>
          <cell r="C205" t="str">
            <v>Centro</v>
          </cell>
          <cell r="D205" t="str">
            <v>Paraná Centro</v>
          </cell>
        </row>
        <row r="206">
          <cell r="B206" t="str">
            <v>Marechal Cândido Rondon</v>
          </cell>
          <cell r="C206" t="str">
            <v>Oeste</v>
          </cell>
          <cell r="D206" t="str">
            <v>Oeste Integrado</v>
          </cell>
        </row>
        <row r="207">
          <cell r="B207" t="str">
            <v>Maria Helena</v>
          </cell>
          <cell r="C207" t="str">
            <v>Noroeste</v>
          </cell>
          <cell r="D207" t="str">
            <v>Arenito-Caiuá</v>
          </cell>
        </row>
        <row r="208">
          <cell r="B208" t="str">
            <v>Marialva</v>
          </cell>
          <cell r="C208" t="str">
            <v>Noroeste</v>
          </cell>
          <cell r="D208" t="str">
            <v>Terra Roxa</v>
          </cell>
        </row>
        <row r="209">
          <cell r="B209" t="str">
            <v>Marilândia do Sul</v>
          </cell>
          <cell r="C209" t="str">
            <v>Norte</v>
          </cell>
          <cell r="D209" t="str">
            <v>Vale Do Ivaí</v>
          </cell>
        </row>
        <row r="210">
          <cell r="B210" t="str">
            <v>Marilena</v>
          </cell>
          <cell r="C210" t="str">
            <v>Noroeste</v>
          </cell>
          <cell r="D210" t="str">
            <v>Costa Noroeste</v>
          </cell>
        </row>
        <row r="211">
          <cell r="B211" t="str">
            <v>Mariluz</v>
          </cell>
          <cell r="C211" t="str">
            <v>Noroeste</v>
          </cell>
          <cell r="D211" t="str">
            <v>Arenito-Caiuá</v>
          </cell>
        </row>
        <row r="212">
          <cell r="B212" t="str">
            <v>Maringá</v>
          </cell>
          <cell r="C212" t="str">
            <v>Noroeste</v>
          </cell>
          <cell r="D212" t="str">
            <v>Terra Roxa</v>
          </cell>
        </row>
        <row r="213">
          <cell r="B213" t="str">
            <v>Mariópolis</v>
          </cell>
          <cell r="C213" t="str">
            <v>Sul</v>
          </cell>
          <cell r="D213" t="str">
            <v>Sudoeste Pioneiro</v>
          </cell>
        </row>
        <row r="214">
          <cell r="B214" t="str">
            <v>Maripá</v>
          </cell>
          <cell r="C214" t="str">
            <v>Oeste</v>
          </cell>
          <cell r="D214" t="str">
            <v>Oeste Integrado</v>
          </cell>
        </row>
        <row r="215">
          <cell r="B215" t="str">
            <v>Marmeleiro</v>
          </cell>
          <cell r="C215" t="str">
            <v>Sul</v>
          </cell>
          <cell r="D215" t="str">
            <v>Sudoeste Pioneiro</v>
          </cell>
        </row>
        <row r="216">
          <cell r="B216" t="str">
            <v>Marquinho</v>
          </cell>
          <cell r="C216" t="str">
            <v>Oeste</v>
          </cell>
          <cell r="D216" t="str">
            <v>Cantuquiriguaçu</v>
          </cell>
        </row>
        <row r="217">
          <cell r="B217" t="str">
            <v>Marumbi</v>
          </cell>
          <cell r="C217" t="str">
            <v>Norte</v>
          </cell>
          <cell r="D217" t="str">
            <v>Vale Do Ivaí</v>
          </cell>
        </row>
        <row r="218">
          <cell r="B218" t="str">
            <v>Matelândia</v>
          </cell>
          <cell r="C218" t="str">
            <v>Oeste</v>
          </cell>
          <cell r="D218" t="str">
            <v>Oeste Integrado</v>
          </cell>
        </row>
        <row r="219">
          <cell r="B219" t="str">
            <v>Matinhos</v>
          </cell>
          <cell r="C219" t="str">
            <v>Leste</v>
          </cell>
          <cell r="D219" t="str">
            <v>Litoral</v>
          </cell>
        </row>
        <row r="220">
          <cell r="B220" t="str">
            <v>Mato Rico</v>
          </cell>
          <cell r="C220" t="str">
            <v>Centro</v>
          </cell>
          <cell r="D220" t="str">
            <v>Paraná Centro</v>
          </cell>
        </row>
        <row r="221">
          <cell r="B221" t="str">
            <v>Mauá da Serra</v>
          </cell>
          <cell r="C221" t="str">
            <v>Norte</v>
          </cell>
          <cell r="D221" t="str">
            <v>Vale Do Ivaí</v>
          </cell>
        </row>
        <row r="222">
          <cell r="B222" t="str">
            <v>Medianeira</v>
          </cell>
          <cell r="C222" t="str">
            <v>Oeste</v>
          </cell>
          <cell r="D222" t="str">
            <v>Oeste Integrado</v>
          </cell>
        </row>
        <row r="223">
          <cell r="B223" t="str">
            <v>Mercedes</v>
          </cell>
          <cell r="C223" t="str">
            <v>Oeste</v>
          </cell>
          <cell r="D223" t="str">
            <v>Oeste Integrado</v>
          </cell>
        </row>
        <row r="224">
          <cell r="B224" t="str">
            <v>Mirador</v>
          </cell>
          <cell r="C224" t="str">
            <v>Noroeste</v>
          </cell>
          <cell r="D224" t="str">
            <v>Costa Noroeste</v>
          </cell>
        </row>
        <row r="225">
          <cell r="B225" t="str">
            <v>Miraselva</v>
          </cell>
          <cell r="C225" t="str">
            <v>Norte</v>
          </cell>
          <cell r="D225" t="str">
            <v>Vale do Paranapanema</v>
          </cell>
        </row>
        <row r="226">
          <cell r="B226" t="str">
            <v>Missal</v>
          </cell>
          <cell r="C226" t="str">
            <v>Oeste</v>
          </cell>
          <cell r="D226" t="str">
            <v>Oeste Integrado</v>
          </cell>
        </row>
        <row r="227">
          <cell r="B227" t="str">
            <v>Moreira Sales</v>
          </cell>
          <cell r="C227" t="str">
            <v>Noroeste</v>
          </cell>
          <cell r="D227" t="str">
            <v>Centro Ocidental</v>
          </cell>
        </row>
        <row r="228">
          <cell r="B228" t="str">
            <v>Morretes</v>
          </cell>
          <cell r="C228" t="str">
            <v>Leste</v>
          </cell>
          <cell r="D228" t="str">
            <v>Litoral</v>
          </cell>
        </row>
        <row r="229">
          <cell r="B229" t="str">
            <v>Munhoz de Mello</v>
          </cell>
          <cell r="C229" t="str">
            <v>Noroeste</v>
          </cell>
          <cell r="D229" t="str">
            <v>Terra Roxa</v>
          </cell>
        </row>
        <row r="230">
          <cell r="B230" t="str">
            <v>Nossa Senhora das Graças</v>
          </cell>
          <cell r="C230" t="str">
            <v>Noroeste</v>
          </cell>
          <cell r="D230" t="str">
            <v>Terra Roxa</v>
          </cell>
        </row>
        <row r="231">
          <cell r="B231" t="str">
            <v>Nova Aliança do Ivaí</v>
          </cell>
          <cell r="C231" t="str">
            <v>Noroeste</v>
          </cell>
          <cell r="D231" t="str">
            <v>Costa Noroeste</v>
          </cell>
        </row>
        <row r="232">
          <cell r="B232" t="str">
            <v>Nova América da Colina</v>
          </cell>
          <cell r="C232" t="str">
            <v>Norte</v>
          </cell>
          <cell r="D232" t="str">
            <v>Norte Central</v>
          </cell>
        </row>
        <row r="233">
          <cell r="B233" t="str">
            <v>Nova Aurora</v>
          </cell>
          <cell r="C233" t="str">
            <v>Oeste</v>
          </cell>
          <cell r="D233" t="str">
            <v>Oeste Integrado</v>
          </cell>
        </row>
        <row r="234">
          <cell r="B234" t="str">
            <v>Nova Cantu</v>
          </cell>
          <cell r="C234" t="str">
            <v>Noroeste</v>
          </cell>
          <cell r="D234" t="str">
            <v>Centro Ocidental</v>
          </cell>
        </row>
        <row r="235">
          <cell r="B235" t="str">
            <v>Nova Esperança</v>
          </cell>
          <cell r="C235" t="str">
            <v>Noroeste</v>
          </cell>
          <cell r="D235" t="str">
            <v>Terra Roxa</v>
          </cell>
        </row>
        <row r="236">
          <cell r="B236" t="str">
            <v>Nova Esperança do Sudoeste</v>
          </cell>
          <cell r="C236" t="str">
            <v>Sul</v>
          </cell>
          <cell r="D236" t="str">
            <v>Sudoeste Pioneiro</v>
          </cell>
        </row>
        <row r="237">
          <cell r="B237" t="str">
            <v>Nova Fátima</v>
          </cell>
          <cell r="C237" t="str">
            <v>Norte</v>
          </cell>
          <cell r="D237" t="str">
            <v>Norte Central</v>
          </cell>
        </row>
        <row r="238">
          <cell r="B238" t="str">
            <v>Nova Laranjeiras</v>
          </cell>
          <cell r="C238" t="str">
            <v>Oeste</v>
          </cell>
          <cell r="D238" t="str">
            <v>Cantuquiriguaçu</v>
          </cell>
        </row>
        <row r="239">
          <cell r="B239" t="str">
            <v>Nova Londrina</v>
          </cell>
          <cell r="C239" t="str">
            <v>Noroeste</v>
          </cell>
          <cell r="D239" t="str">
            <v>Costa Noroeste</v>
          </cell>
        </row>
        <row r="240">
          <cell r="B240" t="str">
            <v>Nova Olímpia</v>
          </cell>
          <cell r="C240" t="str">
            <v>Noroeste</v>
          </cell>
          <cell r="D240" t="str">
            <v>Arenito-Caiuá</v>
          </cell>
        </row>
        <row r="241">
          <cell r="B241" t="str">
            <v>Nova Prata do Iguaçu</v>
          </cell>
          <cell r="C241" t="str">
            <v>Sul</v>
          </cell>
          <cell r="D241" t="str">
            <v>Sudoeste Pioneiro</v>
          </cell>
        </row>
        <row r="242">
          <cell r="B242" t="str">
            <v>Nova Santa Bárbara</v>
          </cell>
          <cell r="C242" t="str">
            <v>Norte</v>
          </cell>
          <cell r="D242" t="str">
            <v>Norte Central</v>
          </cell>
        </row>
        <row r="243">
          <cell r="B243" t="str">
            <v>Nova Santa Rosa</v>
          </cell>
          <cell r="C243" t="str">
            <v>Oeste</v>
          </cell>
          <cell r="D243" t="str">
            <v>Oeste Integrado</v>
          </cell>
        </row>
        <row r="244">
          <cell r="B244" t="str">
            <v>Nova Tebas</v>
          </cell>
          <cell r="C244" t="str">
            <v>Centro</v>
          </cell>
          <cell r="D244" t="str">
            <v>Paraná Centro</v>
          </cell>
        </row>
        <row r="245">
          <cell r="B245" t="str">
            <v>Novo Itacolomi</v>
          </cell>
          <cell r="C245" t="str">
            <v>Norte</v>
          </cell>
          <cell r="D245" t="str">
            <v>Vale Do Ivaí</v>
          </cell>
        </row>
        <row r="246">
          <cell r="B246" t="str">
            <v>Ortigueira</v>
          </cell>
          <cell r="C246" t="str">
            <v>Centro</v>
          </cell>
          <cell r="D246" t="str">
            <v>Vale Do Tibagi</v>
          </cell>
        </row>
        <row r="247">
          <cell r="B247" t="str">
            <v>Ourizona</v>
          </cell>
          <cell r="C247" t="str">
            <v>Noroeste</v>
          </cell>
          <cell r="D247" t="str">
            <v>Terra Roxa</v>
          </cell>
        </row>
        <row r="248">
          <cell r="B248" t="str">
            <v>Ouro Verde do Oeste</v>
          </cell>
          <cell r="C248" t="str">
            <v>Oeste</v>
          </cell>
          <cell r="D248" t="str">
            <v>Oeste Integrado</v>
          </cell>
        </row>
        <row r="249">
          <cell r="B249" t="str">
            <v>Paiçandu</v>
          </cell>
          <cell r="C249" t="str">
            <v>Noroeste</v>
          </cell>
          <cell r="D249" t="str">
            <v>Terra Roxa</v>
          </cell>
        </row>
        <row r="250">
          <cell r="B250" t="str">
            <v>Palmas</v>
          </cell>
          <cell r="C250" t="str">
            <v>Sul</v>
          </cell>
          <cell r="D250" t="str">
            <v>Sudoeste Pioneiro</v>
          </cell>
        </row>
        <row r="251">
          <cell r="B251" t="str">
            <v>Palmeira</v>
          </cell>
          <cell r="C251" t="str">
            <v>Centro</v>
          </cell>
          <cell r="D251" t="str">
            <v>Campos Gerais</v>
          </cell>
        </row>
        <row r="252">
          <cell r="B252" t="str">
            <v>Palmital</v>
          </cell>
          <cell r="C252" t="str">
            <v>Centro</v>
          </cell>
          <cell r="D252" t="str">
            <v>Paraná Centro</v>
          </cell>
        </row>
        <row r="253">
          <cell r="B253" t="str">
            <v>Palotina</v>
          </cell>
          <cell r="C253" t="str">
            <v>Oeste</v>
          </cell>
          <cell r="D253" t="str">
            <v>Oeste Integrado</v>
          </cell>
        </row>
        <row r="254">
          <cell r="B254" t="str">
            <v>Paraíso do Norte</v>
          </cell>
          <cell r="C254" t="str">
            <v>Noroeste</v>
          </cell>
          <cell r="D254" t="str">
            <v>Costa Noroeste</v>
          </cell>
        </row>
        <row r="255">
          <cell r="B255" t="str">
            <v>Paranacity</v>
          </cell>
          <cell r="C255" t="str">
            <v>Noroeste</v>
          </cell>
          <cell r="D255" t="str">
            <v>Terra Roxa</v>
          </cell>
        </row>
        <row r="256">
          <cell r="B256" t="str">
            <v>Paranaguá</v>
          </cell>
          <cell r="C256" t="str">
            <v>Leste</v>
          </cell>
          <cell r="D256" t="str">
            <v>Litoral</v>
          </cell>
        </row>
        <row r="257">
          <cell r="B257" t="str">
            <v>Paranapoema</v>
          </cell>
          <cell r="C257" t="str">
            <v>Noroeste</v>
          </cell>
          <cell r="D257" t="str">
            <v>Costa Noroeste</v>
          </cell>
        </row>
        <row r="258">
          <cell r="B258" t="str">
            <v>Paranavaí</v>
          </cell>
          <cell r="C258" t="str">
            <v>Noroeste</v>
          </cell>
          <cell r="D258" t="str">
            <v>Costa Noroeste</v>
          </cell>
        </row>
        <row r="259">
          <cell r="B259" t="str">
            <v>Pato Bragado</v>
          </cell>
          <cell r="C259" t="str">
            <v>Oeste</v>
          </cell>
          <cell r="D259" t="str">
            <v>Oeste Integrado</v>
          </cell>
        </row>
        <row r="260">
          <cell r="B260" t="str">
            <v>Pato Branco</v>
          </cell>
          <cell r="C260" t="str">
            <v>Sul</v>
          </cell>
          <cell r="D260" t="str">
            <v>Sudoeste Pioneiro</v>
          </cell>
        </row>
        <row r="261">
          <cell r="B261" t="str">
            <v>Paula Freitas</v>
          </cell>
          <cell r="C261" t="str">
            <v>Sul</v>
          </cell>
          <cell r="D261" t="str">
            <v>Sul do Paraná</v>
          </cell>
        </row>
        <row r="262">
          <cell r="B262" t="str">
            <v>Paulo Frontin</v>
          </cell>
          <cell r="C262" t="str">
            <v>Sul</v>
          </cell>
          <cell r="D262" t="str">
            <v>Sul do Paraná</v>
          </cell>
        </row>
        <row r="263">
          <cell r="B263" t="str">
            <v>Peabiru</v>
          </cell>
          <cell r="C263" t="str">
            <v>Noroeste</v>
          </cell>
          <cell r="D263" t="str">
            <v>Centro Ocidental</v>
          </cell>
        </row>
        <row r="264">
          <cell r="B264" t="str">
            <v>Perobal</v>
          </cell>
          <cell r="C264" t="str">
            <v>Noroeste</v>
          </cell>
          <cell r="D264" t="str">
            <v>Arenito-Caiuá</v>
          </cell>
        </row>
        <row r="265">
          <cell r="B265" t="str">
            <v>Pérola</v>
          </cell>
          <cell r="C265" t="str">
            <v>Noroeste</v>
          </cell>
          <cell r="D265" t="str">
            <v>Arenito-Caiuá</v>
          </cell>
        </row>
        <row r="266">
          <cell r="B266" t="str">
            <v>Pérola d'Oeste</v>
          </cell>
          <cell r="C266" t="str">
            <v>Sul</v>
          </cell>
          <cell r="D266" t="str">
            <v>Sudoeste La Frontera</v>
          </cell>
        </row>
        <row r="267">
          <cell r="B267" t="str">
            <v>Piên</v>
          </cell>
          <cell r="C267" t="str">
            <v>Leste</v>
          </cell>
          <cell r="D267" t="str">
            <v>Gralha Azul</v>
          </cell>
        </row>
        <row r="268">
          <cell r="B268" t="str">
            <v>Pinhais</v>
          </cell>
          <cell r="C268" t="str">
            <v>Leste</v>
          </cell>
          <cell r="D268" t="str">
            <v>RMC</v>
          </cell>
        </row>
        <row r="269">
          <cell r="B269" t="str">
            <v>Pinhal de São Bento</v>
          </cell>
          <cell r="C269" t="str">
            <v>Sul</v>
          </cell>
          <cell r="D269" t="str">
            <v>Sudoeste La Frontera</v>
          </cell>
        </row>
        <row r="270">
          <cell r="B270" t="str">
            <v>Pinhalão</v>
          </cell>
          <cell r="C270" t="str">
            <v>Norte</v>
          </cell>
          <cell r="D270" t="str">
            <v>Norte Pioneiro</v>
          </cell>
        </row>
        <row r="271">
          <cell r="B271" t="str">
            <v>Pinhão</v>
          </cell>
          <cell r="C271" t="str">
            <v>Oeste</v>
          </cell>
          <cell r="D271" t="str">
            <v>Cantuquiriguaçu</v>
          </cell>
        </row>
        <row r="272">
          <cell r="B272" t="str">
            <v>Piraí do Sul</v>
          </cell>
          <cell r="C272" t="str">
            <v>Centro</v>
          </cell>
          <cell r="D272" t="str">
            <v>Campos Gerais</v>
          </cell>
        </row>
        <row r="273">
          <cell r="B273" t="str">
            <v>Piraquara</v>
          </cell>
          <cell r="C273" t="str">
            <v>Leste</v>
          </cell>
          <cell r="D273" t="str">
            <v>RMC</v>
          </cell>
        </row>
        <row r="274">
          <cell r="B274" t="str">
            <v>Pitanga</v>
          </cell>
          <cell r="C274" t="str">
            <v>Centro</v>
          </cell>
          <cell r="D274" t="str">
            <v>Paraná Centro</v>
          </cell>
        </row>
        <row r="275">
          <cell r="B275" t="str">
            <v>Pitangueiras</v>
          </cell>
          <cell r="C275" t="str">
            <v>Norte</v>
          </cell>
          <cell r="D275" t="str">
            <v>Norte Do Paraná</v>
          </cell>
        </row>
        <row r="276">
          <cell r="B276" t="str">
            <v>Planaltina do Paraná</v>
          </cell>
          <cell r="C276" t="str">
            <v>Noroeste</v>
          </cell>
          <cell r="D276" t="str">
            <v>Costa Noroeste</v>
          </cell>
        </row>
        <row r="277">
          <cell r="B277" t="str">
            <v>Planalto</v>
          </cell>
          <cell r="C277" t="str">
            <v>Sul</v>
          </cell>
          <cell r="D277" t="str">
            <v>Sudoeste La Frontera</v>
          </cell>
        </row>
        <row r="278">
          <cell r="B278" t="str">
            <v>Ponta Grossa</v>
          </cell>
          <cell r="C278" t="str">
            <v>Centro</v>
          </cell>
          <cell r="D278" t="str">
            <v>Campos Gerais</v>
          </cell>
        </row>
        <row r="279">
          <cell r="B279" t="str">
            <v>Pontal do Paraná</v>
          </cell>
          <cell r="C279" t="str">
            <v>Leste</v>
          </cell>
          <cell r="D279" t="str">
            <v>Litoral</v>
          </cell>
        </row>
        <row r="280">
          <cell r="B280" t="str">
            <v>Porecatu</v>
          </cell>
          <cell r="C280" t="str">
            <v>Norte</v>
          </cell>
          <cell r="D280" t="str">
            <v>Vale do Paranapanema</v>
          </cell>
        </row>
        <row r="281">
          <cell r="B281" t="str">
            <v>Porto Amazonas</v>
          </cell>
          <cell r="C281" t="str">
            <v>Centro</v>
          </cell>
          <cell r="D281" t="str">
            <v>Campos Gerais</v>
          </cell>
        </row>
        <row r="282">
          <cell r="B282" t="str">
            <v>Porto Barreiro</v>
          </cell>
          <cell r="C282" t="str">
            <v>Oeste</v>
          </cell>
          <cell r="D282" t="str">
            <v>Cantuquiriguaçu</v>
          </cell>
        </row>
        <row r="283">
          <cell r="B283" t="str">
            <v>Porto Rico</v>
          </cell>
          <cell r="C283" t="str">
            <v>Noroeste</v>
          </cell>
          <cell r="D283" t="str">
            <v>Costa Noroeste</v>
          </cell>
        </row>
        <row r="284">
          <cell r="B284" t="str">
            <v>Porto Vitória</v>
          </cell>
          <cell r="C284" t="str">
            <v>Sul</v>
          </cell>
          <cell r="D284" t="str">
            <v>Sul do Paraná</v>
          </cell>
        </row>
        <row r="285">
          <cell r="B285" t="str">
            <v>Prado Ferreira</v>
          </cell>
          <cell r="C285" t="str">
            <v>Norte</v>
          </cell>
          <cell r="D285" t="str">
            <v>Vale do Paranapanema</v>
          </cell>
        </row>
        <row r="286">
          <cell r="B286" t="str">
            <v>Pranchita</v>
          </cell>
          <cell r="C286" t="str">
            <v>Sul</v>
          </cell>
          <cell r="D286" t="str">
            <v>Sudoeste La Frontera</v>
          </cell>
        </row>
        <row r="287">
          <cell r="B287" t="str">
            <v>Presidente Castelo Branco</v>
          </cell>
          <cell r="C287" t="str">
            <v>Noroeste</v>
          </cell>
          <cell r="D287" t="str">
            <v>Terra Roxa</v>
          </cell>
        </row>
        <row r="288">
          <cell r="B288" t="str">
            <v>Primeiro de Maio</v>
          </cell>
          <cell r="C288" t="str">
            <v>Norte</v>
          </cell>
          <cell r="D288" t="str">
            <v>Vale do Paranapanema</v>
          </cell>
        </row>
        <row r="289">
          <cell r="B289" t="str">
            <v>Prudentópolis</v>
          </cell>
          <cell r="C289" t="str">
            <v>Centro</v>
          </cell>
          <cell r="D289" t="str">
            <v>Vale Dos Pinheirais</v>
          </cell>
        </row>
        <row r="290">
          <cell r="B290" t="str">
            <v>Quarto Centenário</v>
          </cell>
          <cell r="C290" t="str">
            <v>Noroeste</v>
          </cell>
          <cell r="D290" t="str">
            <v>Centro Ocidental</v>
          </cell>
        </row>
        <row r="291">
          <cell r="B291" t="str">
            <v>Quatiguá</v>
          </cell>
          <cell r="C291" t="str">
            <v>Norte</v>
          </cell>
          <cell r="D291" t="str">
            <v>Norte Pioneiro</v>
          </cell>
        </row>
        <row r="292">
          <cell r="B292" t="str">
            <v>Quatro Barras</v>
          </cell>
          <cell r="C292" t="str">
            <v>Leste</v>
          </cell>
          <cell r="D292" t="str">
            <v>RMC</v>
          </cell>
        </row>
        <row r="293">
          <cell r="B293" t="str">
            <v>Quatro Pontes</v>
          </cell>
          <cell r="C293" t="str">
            <v>Oeste</v>
          </cell>
          <cell r="D293" t="str">
            <v>Oeste Integrado</v>
          </cell>
        </row>
        <row r="294">
          <cell r="B294" t="str">
            <v>Quedas do Iguaçu</v>
          </cell>
          <cell r="C294" t="str">
            <v>Oeste</v>
          </cell>
          <cell r="D294" t="str">
            <v>Cantuquiriguaçu</v>
          </cell>
        </row>
        <row r="295">
          <cell r="B295" t="str">
            <v>Querência do Norte</v>
          </cell>
          <cell r="C295" t="str">
            <v>Noroeste</v>
          </cell>
          <cell r="D295" t="str">
            <v>Costa Noroeste</v>
          </cell>
        </row>
        <row r="296">
          <cell r="B296" t="str">
            <v>Quinta do Sol</v>
          </cell>
          <cell r="C296" t="str">
            <v>Noroeste</v>
          </cell>
          <cell r="D296" t="str">
            <v>Centro Ocidental</v>
          </cell>
        </row>
        <row r="297">
          <cell r="B297" t="str">
            <v>Quitandinha</v>
          </cell>
          <cell r="C297" t="str">
            <v>Leste</v>
          </cell>
          <cell r="D297" t="str">
            <v>Gralha Azul</v>
          </cell>
        </row>
        <row r="298">
          <cell r="B298" t="str">
            <v>Ramilândia</v>
          </cell>
          <cell r="C298" t="str">
            <v>Oeste</v>
          </cell>
          <cell r="D298" t="str">
            <v>Oeste Integrado</v>
          </cell>
        </row>
        <row r="299">
          <cell r="B299" t="str">
            <v>Rancho Alegre</v>
          </cell>
          <cell r="C299" t="str">
            <v>Norte</v>
          </cell>
          <cell r="D299" t="str">
            <v>Norte Central</v>
          </cell>
        </row>
        <row r="300">
          <cell r="B300" t="str">
            <v>Rancho Alegre D'Oeste</v>
          </cell>
          <cell r="C300" t="str">
            <v>Noroeste</v>
          </cell>
          <cell r="D300" t="str">
            <v>Centro Ocidental</v>
          </cell>
        </row>
        <row r="301">
          <cell r="B301" t="str">
            <v>Realeza</v>
          </cell>
          <cell r="C301" t="str">
            <v>Sul</v>
          </cell>
          <cell r="D301" t="str">
            <v>Sudoeste La Frontera</v>
          </cell>
        </row>
        <row r="302">
          <cell r="B302" t="str">
            <v>Rebouças</v>
          </cell>
          <cell r="C302" t="str">
            <v>Centro</v>
          </cell>
          <cell r="D302" t="str">
            <v>Vale Dos Pinheirais</v>
          </cell>
        </row>
        <row r="303">
          <cell r="B303" t="str">
            <v>Renascença</v>
          </cell>
          <cell r="C303" t="str">
            <v>Sul</v>
          </cell>
          <cell r="D303" t="str">
            <v>Sudoeste Pioneiro</v>
          </cell>
        </row>
        <row r="304">
          <cell r="B304" t="str">
            <v>Reserva</v>
          </cell>
          <cell r="C304" t="str">
            <v>Centro</v>
          </cell>
          <cell r="D304" t="str">
            <v>Vale Do Tibagi</v>
          </cell>
        </row>
        <row r="305">
          <cell r="B305" t="str">
            <v>Reserva do Iguaçu</v>
          </cell>
          <cell r="C305" t="str">
            <v>Oeste</v>
          </cell>
          <cell r="D305" t="str">
            <v>Cantuquiriguaçu</v>
          </cell>
        </row>
        <row r="306">
          <cell r="B306" t="str">
            <v>Ribeirão Claro</v>
          </cell>
          <cell r="C306" t="str">
            <v>Norte</v>
          </cell>
          <cell r="D306" t="str">
            <v>Norte Pioneiro</v>
          </cell>
        </row>
        <row r="307">
          <cell r="B307" t="str">
            <v>Ribeirão do Pinhal</v>
          </cell>
          <cell r="C307" t="str">
            <v>Norte</v>
          </cell>
          <cell r="D307" t="str">
            <v>Norte Pioneiro</v>
          </cell>
        </row>
        <row r="308">
          <cell r="B308" t="str">
            <v>Rio Azul</v>
          </cell>
          <cell r="C308" t="str">
            <v>Centro</v>
          </cell>
          <cell r="D308" t="str">
            <v>Vale Dos Pinheirais</v>
          </cell>
        </row>
        <row r="309">
          <cell r="B309" t="str">
            <v>Rio Bom</v>
          </cell>
          <cell r="C309" t="str">
            <v>Norte</v>
          </cell>
          <cell r="D309" t="str">
            <v>Vale Do Ivaí</v>
          </cell>
        </row>
        <row r="310">
          <cell r="B310" t="str">
            <v>Rio Bonito do Iguaçu</v>
          </cell>
          <cell r="C310" t="str">
            <v>Oeste</v>
          </cell>
          <cell r="D310" t="str">
            <v>Cantuquiriguaçu</v>
          </cell>
        </row>
        <row r="311">
          <cell r="B311" t="str">
            <v>Rio Branco do Ivaí</v>
          </cell>
          <cell r="C311" t="str">
            <v>Norte</v>
          </cell>
          <cell r="D311" t="str">
            <v>Vale Do Ivaí</v>
          </cell>
        </row>
        <row r="312">
          <cell r="B312" t="str">
            <v>Rio Branco do Sul</v>
          </cell>
          <cell r="C312" t="str">
            <v>Leste</v>
          </cell>
          <cell r="D312" t="str">
            <v>Vale Do Ribeira</v>
          </cell>
        </row>
        <row r="313">
          <cell r="B313" t="str">
            <v>Rio Negro</v>
          </cell>
          <cell r="C313" t="str">
            <v>Leste</v>
          </cell>
          <cell r="D313" t="str">
            <v>Gralha Azul</v>
          </cell>
        </row>
        <row r="314">
          <cell r="B314" t="str">
            <v>Rolândia</v>
          </cell>
          <cell r="C314" t="str">
            <v>Norte</v>
          </cell>
          <cell r="D314" t="str">
            <v>Norte Do Paraná</v>
          </cell>
        </row>
        <row r="315">
          <cell r="B315" t="str">
            <v>Roncador</v>
          </cell>
          <cell r="C315" t="str">
            <v>Noroeste</v>
          </cell>
          <cell r="D315" t="str">
            <v>Centro Ocidental</v>
          </cell>
        </row>
        <row r="316">
          <cell r="B316" t="str">
            <v>Rondon</v>
          </cell>
          <cell r="C316" t="str">
            <v>Noroeste</v>
          </cell>
          <cell r="D316" t="str">
            <v>Médio Noroeste</v>
          </cell>
        </row>
        <row r="317">
          <cell r="B317" t="str">
            <v>Rosário do Ivaí</v>
          </cell>
          <cell r="C317" t="str">
            <v>Norte</v>
          </cell>
          <cell r="D317" t="str">
            <v>Vale Do Ivaí</v>
          </cell>
        </row>
        <row r="318">
          <cell r="B318" t="str">
            <v>Sabáudia</v>
          </cell>
          <cell r="C318" t="str">
            <v>Norte</v>
          </cell>
          <cell r="D318" t="str">
            <v>Norte Do Paraná</v>
          </cell>
        </row>
        <row r="319">
          <cell r="B319" t="str">
            <v>Salgado Filho</v>
          </cell>
          <cell r="C319" t="str">
            <v>Sul</v>
          </cell>
          <cell r="D319" t="str">
            <v>Sudoeste La Frontera</v>
          </cell>
        </row>
        <row r="320">
          <cell r="B320" t="str">
            <v>Salto do Itararé</v>
          </cell>
          <cell r="C320" t="str">
            <v>Norte</v>
          </cell>
          <cell r="D320" t="str">
            <v>Norte Pioneiro</v>
          </cell>
        </row>
        <row r="321">
          <cell r="B321" t="str">
            <v>Salto do Lontra</v>
          </cell>
          <cell r="C321" t="str">
            <v>Sul</v>
          </cell>
          <cell r="D321" t="str">
            <v>Sudoeste Pioneiro</v>
          </cell>
        </row>
        <row r="322">
          <cell r="B322" t="str">
            <v>Santa Amélia</v>
          </cell>
          <cell r="C322" t="str">
            <v>Norte</v>
          </cell>
          <cell r="D322" t="str">
            <v>Norte Pioneiro</v>
          </cell>
        </row>
        <row r="323">
          <cell r="B323" t="str">
            <v>Santa Cecília do Pavão</v>
          </cell>
          <cell r="C323" t="str">
            <v>Norte</v>
          </cell>
          <cell r="D323" t="str">
            <v>Norte Central</v>
          </cell>
        </row>
        <row r="324">
          <cell r="B324" t="str">
            <v>Santa Cruz de Monte Castelo</v>
          </cell>
          <cell r="C324" t="str">
            <v>Noroeste</v>
          </cell>
          <cell r="D324" t="str">
            <v>Costa Noroeste</v>
          </cell>
        </row>
        <row r="325">
          <cell r="B325" t="str">
            <v>Santa Fé</v>
          </cell>
          <cell r="C325" t="str">
            <v>Noroeste</v>
          </cell>
          <cell r="D325" t="str">
            <v>Terra Roxa</v>
          </cell>
        </row>
        <row r="326">
          <cell r="B326" t="str">
            <v>Santa Helena</v>
          </cell>
          <cell r="C326" t="str">
            <v>Oeste</v>
          </cell>
          <cell r="D326" t="str">
            <v>Oeste Integrado</v>
          </cell>
        </row>
        <row r="327">
          <cell r="B327" t="str">
            <v>Santa Inês</v>
          </cell>
          <cell r="C327" t="str">
            <v>Noroeste</v>
          </cell>
          <cell r="D327" t="str">
            <v>Terra Roxa</v>
          </cell>
        </row>
        <row r="328">
          <cell r="B328" t="str">
            <v>Santa Isabel do Ivaí</v>
          </cell>
          <cell r="C328" t="str">
            <v>Noroeste</v>
          </cell>
          <cell r="D328" t="str">
            <v>Costa Noroeste</v>
          </cell>
        </row>
        <row r="329">
          <cell r="B329" t="str">
            <v>Santa Izabel do Oeste</v>
          </cell>
          <cell r="C329" t="str">
            <v>Sul</v>
          </cell>
          <cell r="D329" t="str">
            <v>Sudoeste La Frontera</v>
          </cell>
        </row>
        <row r="330">
          <cell r="B330" t="str">
            <v>Santa Lúcia</v>
          </cell>
          <cell r="C330" t="str">
            <v>Oeste</v>
          </cell>
          <cell r="D330" t="str">
            <v>Oeste Integrado</v>
          </cell>
        </row>
        <row r="331">
          <cell r="B331" t="str">
            <v>Santa Maria do Oeste</v>
          </cell>
          <cell r="C331" t="str">
            <v>Centro</v>
          </cell>
          <cell r="D331" t="str">
            <v>Paraná Centro</v>
          </cell>
        </row>
        <row r="332">
          <cell r="B332" t="str">
            <v>Santa Mariana</v>
          </cell>
          <cell r="C332" t="str">
            <v>Norte</v>
          </cell>
          <cell r="D332" t="str">
            <v>Norte Central</v>
          </cell>
        </row>
        <row r="333">
          <cell r="B333" t="str">
            <v>Santa Mônica</v>
          </cell>
          <cell r="C333" t="str">
            <v>Noroeste</v>
          </cell>
          <cell r="D333" t="str">
            <v>Costa Noroeste</v>
          </cell>
        </row>
        <row r="334">
          <cell r="B334" t="str">
            <v>Santa Tereza do Oeste</v>
          </cell>
          <cell r="C334" t="str">
            <v>Oeste</v>
          </cell>
          <cell r="D334" t="str">
            <v>Oeste Integrado</v>
          </cell>
        </row>
        <row r="335">
          <cell r="B335" t="str">
            <v>Santa Terezinha de Itaipu</v>
          </cell>
          <cell r="C335" t="str">
            <v>Oeste</v>
          </cell>
          <cell r="D335" t="str">
            <v>Oeste Integrado</v>
          </cell>
        </row>
        <row r="336">
          <cell r="B336" t="str">
            <v>Santana do Itararé</v>
          </cell>
          <cell r="C336" t="str">
            <v>Norte</v>
          </cell>
          <cell r="D336" t="str">
            <v>Norte Pioneiro</v>
          </cell>
        </row>
        <row r="337">
          <cell r="B337" t="str">
            <v>Santo Antônio da Platina</v>
          </cell>
          <cell r="C337" t="str">
            <v>Norte</v>
          </cell>
          <cell r="D337" t="str">
            <v>Norte Pioneiro</v>
          </cell>
        </row>
        <row r="338">
          <cell r="B338" t="str">
            <v>Santo Antônio do Caiuá</v>
          </cell>
          <cell r="C338" t="str">
            <v>Noroeste</v>
          </cell>
          <cell r="D338" t="str">
            <v>Costa Noroeste</v>
          </cell>
        </row>
        <row r="339">
          <cell r="B339" t="str">
            <v>Santo Antônio do Paraíso</v>
          </cell>
          <cell r="C339" t="str">
            <v>Norte</v>
          </cell>
          <cell r="D339" t="str">
            <v>Norte Central</v>
          </cell>
        </row>
        <row r="340">
          <cell r="B340" t="str">
            <v>Santo Antônio do Sudoeste</v>
          </cell>
          <cell r="C340" t="str">
            <v>Sul</v>
          </cell>
          <cell r="D340" t="str">
            <v>Sudoeste La Frontera</v>
          </cell>
        </row>
        <row r="341">
          <cell r="B341" t="str">
            <v>Santo Inácio</v>
          </cell>
          <cell r="C341" t="str">
            <v>Noroeste</v>
          </cell>
          <cell r="D341" t="str">
            <v>Terra Roxa</v>
          </cell>
        </row>
        <row r="342">
          <cell r="B342" t="str">
            <v>São Carlos do Ivaí</v>
          </cell>
          <cell r="C342" t="str">
            <v>Noroeste</v>
          </cell>
          <cell r="D342" t="str">
            <v>Costa Noroeste</v>
          </cell>
        </row>
        <row r="343">
          <cell r="B343" t="str">
            <v>São Jerônimo da Serra</v>
          </cell>
          <cell r="C343" t="str">
            <v>Norte</v>
          </cell>
          <cell r="D343" t="str">
            <v>Norte Central</v>
          </cell>
        </row>
        <row r="344">
          <cell r="B344" t="str">
            <v>São João</v>
          </cell>
          <cell r="C344" t="str">
            <v>Sul</v>
          </cell>
          <cell r="D344" t="str">
            <v>Sudoeste Pioneiro</v>
          </cell>
        </row>
        <row r="345">
          <cell r="B345" t="str">
            <v>São João do Caiuá</v>
          </cell>
          <cell r="C345" t="str">
            <v>Noroeste</v>
          </cell>
          <cell r="D345" t="str">
            <v>Costa Noroeste</v>
          </cell>
        </row>
        <row r="346">
          <cell r="B346" t="str">
            <v>São João do Ivaí</v>
          </cell>
          <cell r="C346" t="str">
            <v>Norte</v>
          </cell>
          <cell r="D346" t="str">
            <v>Vale Do Ivaí</v>
          </cell>
        </row>
        <row r="347">
          <cell r="B347" t="str">
            <v>São João do Triunfo</v>
          </cell>
          <cell r="C347" t="str">
            <v>Centro</v>
          </cell>
          <cell r="D347" t="str">
            <v>Campos Gerais</v>
          </cell>
        </row>
        <row r="348">
          <cell r="B348" t="str">
            <v>São Jorge do Ivaí</v>
          </cell>
          <cell r="C348" t="str">
            <v>Noroeste</v>
          </cell>
          <cell r="D348" t="str">
            <v>Terra Roxa</v>
          </cell>
        </row>
        <row r="349">
          <cell r="B349" t="str">
            <v>São Jorge do Patrocínio</v>
          </cell>
          <cell r="C349" t="str">
            <v>Noroeste</v>
          </cell>
          <cell r="D349" t="str">
            <v>Arenito-Caiuá</v>
          </cell>
        </row>
        <row r="350">
          <cell r="B350" t="str">
            <v>São Jorge d'Oeste</v>
          </cell>
          <cell r="C350" t="str">
            <v>Sul</v>
          </cell>
          <cell r="D350" t="str">
            <v>Sudoeste Pioneiro</v>
          </cell>
        </row>
        <row r="351">
          <cell r="B351" t="str">
            <v>São José da Boa Vista</v>
          </cell>
          <cell r="C351" t="str">
            <v>Norte</v>
          </cell>
          <cell r="D351" t="str">
            <v>Norte Pioneiro</v>
          </cell>
        </row>
        <row r="352">
          <cell r="B352" t="str">
            <v>São José das Palmeiras</v>
          </cell>
          <cell r="C352" t="str">
            <v>Oeste</v>
          </cell>
          <cell r="D352" t="str">
            <v>Oeste Integrado</v>
          </cell>
        </row>
        <row r="353">
          <cell r="B353" t="str">
            <v>São José dos Pinhais</v>
          </cell>
          <cell r="C353" t="str">
            <v>Leste</v>
          </cell>
          <cell r="D353" t="str">
            <v>RMC</v>
          </cell>
        </row>
        <row r="354">
          <cell r="B354" t="str">
            <v>São Manoel do Paraná</v>
          </cell>
          <cell r="C354" t="str">
            <v>Noroeste</v>
          </cell>
          <cell r="D354" t="str">
            <v>Médio Noroeste</v>
          </cell>
        </row>
        <row r="355">
          <cell r="B355" t="str">
            <v>São Mateus do Sul</v>
          </cell>
          <cell r="C355" t="str">
            <v>Sul</v>
          </cell>
          <cell r="D355" t="str">
            <v>Sul do Paraná</v>
          </cell>
        </row>
        <row r="356">
          <cell r="B356" t="str">
            <v>São Miguel do Iguaçu</v>
          </cell>
          <cell r="C356" t="str">
            <v>Oeste</v>
          </cell>
          <cell r="D356" t="str">
            <v>Oeste Integrado</v>
          </cell>
        </row>
        <row r="357">
          <cell r="B357" t="str">
            <v>São Pedro do Iguaçu</v>
          </cell>
          <cell r="C357" t="str">
            <v>Oeste</v>
          </cell>
          <cell r="D357" t="str">
            <v>Oeste Integrado</v>
          </cell>
        </row>
        <row r="358">
          <cell r="B358" t="str">
            <v>São Pedro do Ivaí</v>
          </cell>
          <cell r="C358" t="str">
            <v>Norte</v>
          </cell>
          <cell r="D358" t="str">
            <v>Vale Do Ivaí</v>
          </cell>
        </row>
        <row r="359">
          <cell r="B359" t="str">
            <v>São Pedro do Paraná</v>
          </cell>
          <cell r="C359" t="str">
            <v>Noroeste</v>
          </cell>
          <cell r="D359" t="str">
            <v>Costa Noroeste</v>
          </cell>
        </row>
        <row r="360">
          <cell r="B360" t="str">
            <v>São Sebastião da Amoreira</v>
          </cell>
          <cell r="C360" t="str">
            <v>Norte</v>
          </cell>
          <cell r="D360" t="str">
            <v>Norte Central</v>
          </cell>
        </row>
        <row r="361">
          <cell r="B361" t="str">
            <v>São Tomé</v>
          </cell>
          <cell r="C361" t="str">
            <v>Noroeste</v>
          </cell>
          <cell r="D361" t="str">
            <v>Médio Noroeste</v>
          </cell>
        </row>
        <row r="362">
          <cell r="B362" t="str">
            <v>Sapopema</v>
          </cell>
          <cell r="C362" t="str">
            <v>Norte</v>
          </cell>
          <cell r="D362" t="str">
            <v>Norte Central</v>
          </cell>
        </row>
        <row r="363">
          <cell r="B363" t="str">
            <v>Sarandi</v>
          </cell>
          <cell r="C363" t="str">
            <v>Noroeste</v>
          </cell>
          <cell r="D363" t="str">
            <v>Terra Roxa</v>
          </cell>
        </row>
        <row r="364">
          <cell r="B364" t="str">
            <v>Saudade do Iguaçu</v>
          </cell>
          <cell r="C364" t="str">
            <v>Sul</v>
          </cell>
          <cell r="D364" t="str">
            <v>Sudoeste Pioneiro</v>
          </cell>
        </row>
        <row r="365">
          <cell r="B365" t="str">
            <v>Sengés</v>
          </cell>
          <cell r="C365" t="str">
            <v>Centro</v>
          </cell>
          <cell r="D365" t="str">
            <v>Campos Gerais</v>
          </cell>
        </row>
        <row r="366">
          <cell r="B366" t="str">
            <v>Serranópolis do Iguaçu</v>
          </cell>
          <cell r="C366" t="str">
            <v>Oeste</v>
          </cell>
          <cell r="D366" t="str">
            <v>Oeste Integrado</v>
          </cell>
        </row>
        <row r="367">
          <cell r="B367" t="str">
            <v>Sertaneja</v>
          </cell>
          <cell r="C367" t="str">
            <v>Norte</v>
          </cell>
          <cell r="D367" t="str">
            <v>Norte Central</v>
          </cell>
        </row>
        <row r="368">
          <cell r="B368" t="str">
            <v>Sertanópolis</v>
          </cell>
          <cell r="C368" t="str">
            <v>Norte</v>
          </cell>
          <cell r="D368" t="str">
            <v>Norte Do Paraná</v>
          </cell>
        </row>
        <row r="369">
          <cell r="B369" t="str">
            <v>Siqueira Campos</v>
          </cell>
          <cell r="C369" t="str">
            <v>Norte</v>
          </cell>
          <cell r="D369" t="str">
            <v>Norte Pioneiro</v>
          </cell>
        </row>
        <row r="370">
          <cell r="B370" t="str">
            <v>Sulina</v>
          </cell>
          <cell r="C370" t="str">
            <v>Sul</v>
          </cell>
          <cell r="D370" t="str">
            <v>Sudoeste Pioneiro</v>
          </cell>
        </row>
        <row r="371">
          <cell r="B371" t="str">
            <v>Tamarana</v>
          </cell>
          <cell r="C371" t="str">
            <v>Norte</v>
          </cell>
          <cell r="D371" t="str">
            <v>Norte Do Paraná</v>
          </cell>
        </row>
        <row r="372">
          <cell r="B372" t="str">
            <v>Tamboara</v>
          </cell>
          <cell r="C372" t="str">
            <v>Noroeste</v>
          </cell>
          <cell r="D372" t="str">
            <v>Costa Noroeste</v>
          </cell>
        </row>
        <row r="373">
          <cell r="B373" t="str">
            <v>Tapejara</v>
          </cell>
          <cell r="C373" t="str">
            <v>Noroeste</v>
          </cell>
          <cell r="D373" t="str">
            <v>Médio Noroeste</v>
          </cell>
        </row>
        <row r="374">
          <cell r="B374" t="str">
            <v>Tapira</v>
          </cell>
          <cell r="C374" t="str">
            <v>Noroeste</v>
          </cell>
          <cell r="D374" t="str">
            <v>Arenito-Caiuá</v>
          </cell>
        </row>
        <row r="375">
          <cell r="B375" t="str">
            <v>Teixeira Soares</v>
          </cell>
          <cell r="C375" t="str">
            <v>Centro</v>
          </cell>
          <cell r="D375" t="str">
            <v>Vale Dos Pinheirais</v>
          </cell>
        </row>
        <row r="376">
          <cell r="B376" t="str">
            <v>Telêmaco Borba</v>
          </cell>
          <cell r="C376" t="str">
            <v>Centro</v>
          </cell>
          <cell r="D376" t="str">
            <v>Vale Do Tibagi</v>
          </cell>
        </row>
        <row r="377">
          <cell r="B377" t="str">
            <v>Terra Boa</v>
          </cell>
          <cell r="C377" t="str">
            <v>Noroeste</v>
          </cell>
          <cell r="D377" t="str">
            <v>Médio Noroeste</v>
          </cell>
        </row>
        <row r="378">
          <cell r="B378" t="str">
            <v>Terra Rica</v>
          </cell>
          <cell r="C378" t="str">
            <v>Noroeste</v>
          </cell>
          <cell r="D378" t="str">
            <v>Costa Noroeste</v>
          </cell>
        </row>
        <row r="379">
          <cell r="B379" t="str">
            <v>Terra Roxa</v>
          </cell>
          <cell r="C379" t="str">
            <v>Oeste</v>
          </cell>
          <cell r="D379" t="str">
            <v>Oeste Integrado</v>
          </cell>
        </row>
        <row r="380">
          <cell r="B380" t="str">
            <v>Tibagi</v>
          </cell>
          <cell r="C380" t="str">
            <v>Centro</v>
          </cell>
          <cell r="D380" t="str">
            <v>Vale Do Tibagi</v>
          </cell>
        </row>
        <row r="381">
          <cell r="B381" t="str">
            <v>Tijucas do Sul</v>
          </cell>
          <cell r="C381" t="str">
            <v>Leste</v>
          </cell>
          <cell r="D381" t="str">
            <v>Gralha Azul</v>
          </cell>
        </row>
        <row r="382">
          <cell r="B382" t="str">
            <v>Toledo</v>
          </cell>
          <cell r="C382" t="str">
            <v>Oeste</v>
          </cell>
          <cell r="D382" t="str">
            <v>Oeste Integrado</v>
          </cell>
        </row>
        <row r="383">
          <cell r="B383" t="str">
            <v>Tomazina</v>
          </cell>
          <cell r="C383" t="str">
            <v>Norte</v>
          </cell>
          <cell r="D383" t="str">
            <v>Norte Pioneiro</v>
          </cell>
        </row>
        <row r="384">
          <cell r="B384" t="str">
            <v>Três Barras do Paraná</v>
          </cell>
          <cell r="C384" t="str">
            <v>Oeste</v>
          </cell>
          <cell r="D384" t="str">
            <v>Cantuquiriguaçu</v>
          </cell>
        </row>
        <row r="385">
          <cell r="B385" t="str">
            <v>Tunas do Paraná</v>
          </cell>
          <cell r="C385" t="str">
            <v>Leste</v>
          </cell>
          <cell r="D385" t="str">
            <v>Vale Do Ribeira</v>
          </cell>
        </row>
        <row r="386">
          <cell r="B386" t="str">
            <v>Tuneiras do Oeste</v>
          </cell>
          <cell r="C386" t="str">
            <v>Noroeste</v>
          </cell>
          <cell r="D386" t="str">
            <v>Médio Noroeste</v>
          </cell>
        </row>
        <row r="387">
          <cell r="B387" t="str">
            <v>Tupãssi</v>
          </cell>
          <cell r="C387" t="str">
            <v>Oeste</v>
          </cell>
          <cell r="D387" t="str">
            <v>Oeste Integrado</v>
          </cell>
        </row>
        <row r="388">
          <cell r="B388" t="str">
            <v>Turvo</v>
          </cell>
          <cell r="C388" t="str">
            <v>Centro</v>
          </cell>
          <cell r="D388" t="str">
            <v>Paraná Centro</v>
          </cell>
        </row>
        <row r="389">
          <cell r="B389" t="str">
            <v>Ubiratã</v>
          </cell>
          <cell r="C389" t="str">
            <v>Oeste</v>
          </cell>
          <cell r="D389" t="str">
            <v>Oeste Integrado</v>
          </cell>
        </row>
        <row r="390">
          <cell r="B390" t="str">
            <v>Umuarama</v>
          </cell>
          <cell r="C390" t="str">
            <v>Noroeste</v>
          </cell>
          <cell r="D390" t="str">
            <v>Arenito-Caiuá</v>
          </cell>
        </row>
        <row r="391">
          <cell r="B391" t="str">
            <v>União da Vitória</v>
          </cell>
          <cell r="C391" t="str">
            <v>Sul</v>
          </cell>
          <cell r="D391" t="str">
            <v>Sul do Paraná</v>
          </cell>
        </row>
        <row r="392">
          <cell r="B392" t="str">
            <v>Uniflor</v>
          </cell>
          <cell r="C392" t="str">
            <v>Noroeste</v>
          </cell>
          <cell r="D392" t="str">
            <v>Terra Roxa</v>
          </cell>
        </row>
        <row r="393">
          <cell r="B393" t="str">
            <v>Uraí</v>
          </cell>
          <cell r="C393" t="str">
            <v>Norte</v>
          </cell>
          <cell r="D393" t="str">
            <v>Norte Central</v>
          </cell>
        </row>
        <row r="394">
          <cell r="B394" t="str">
            <v>Ventania</v>
          </cell>
          <cell r="C394" t="str">
            <v>Centro</v>
          </cell>
          <cell r="D394" t="str">
            <v>Vale Do Tibagi</v>
          </cell>
        </row>
        <row r="395">
          <cell r="B395" t="str">
            <v>Vera Cruz do Oeste</v>
          </cell>
          <cell r="C395" t="str">
            <v>Oeste</v>
          </cell>
          <cell r="D395" t="str">
            <v>Oeste Integrado</v>
          </cell>
        </row>
        <row r="396">
          <cell r="B396" t="str">
            <v>Verê</v>
          </cell>
          <cell r="C396" t="str">
            <v>Sul</v>
          </cell>
          <cell r="D396" t="str">
            <v>Sudoeste Pioneiro</v>
          </cell>
        </row>
        <row r="397">
          <cell r="B397" t="str">
            <v>Virmond</v>
          </cell>
          <cell r="C397" t="str">
            <v>Oeste</v>
          </cell>
          <cell r="D397" t="str">
            <v>Cantuquiriguaçu</v>
          </cell>
        </row>
        <row r="398">
          <cell r="B398" t="str">
            <v>Vitorino</v>
          </cell>
          <cell r="C398" t="str">
            <v>Sul</v>
          </cell>
          <cell r="D398" t="str">
            <v>Sudoeste Pioneiro</v>
          </cell>
        </row>
        <row r="399">
          <cell r="B399" t="str">
            <v>Wenceslau Braz</v>
          </cell>
          <cell r="C399" t="str">
            <v>Norte</v>
          </cell>
          <cell r="D399" t="str">
            <v>Norte Pioneiro</v>
          </cell>
        </row>
        <row r="400">
          <cell r="B400" t="str">
            <v>Xambrê</v>
          </cell>
          <cell r="C400" t="str">
            <v>Noroeste</v>
          </cell>
          <cell r="D400" t="str">
            <v>Arenito-Caiuá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3B57-EA5E-4DB5-8EB9-76A3D2200F4E}">
  <dimension ref="A1:G3193"/>
  <sheetViews>
    <sheetView tabSelected="1" workbookViewId="0">
      <selection activeCell="L24" sqref="L24"/>
    </sheetView>
  </sheetViews>
  <sheetFormatPr defaultRowHeight="15" x14ac:dyDescent="0.25"/>
  <cols>
    <col min="1" max="1" width="27" bestFit="1" customWidth="1"/>
    <col min="2" max="3" width="27" customWidth="1"/>
    <col min="4" max="4" width="7.7109375" customWidth="1"/>
    <col min="5" max="5" width="33.5703125" bestFit="1" customWidth="1"/>
    <col min="6" max="6" width="14.7109375" customWidth="1"/>
    <col min="7" max="7" width="10.5703125" customWidth="1"/>
  </cols>
  <sheetData>
    <row r="1" spans="1:7" x14ac:dyDescent="0.25">
      <c r="A1" s="3" t="s">
        <v>225</v>
      </c>
      <c r="B1" s="3" t="s">
        <v>636</v>
      </c>
      <c r="C1" s="3" t="s">
        <v>637</v>
      </c>
      <c r="D1" s="3" t="s">
        <v>226</v>
      </c>
      <c r="E1" s="3" t="s">
        <v>227</v>
      </c>
      <c r="F1" s="3" t="s">
        <v>228</v>
      </c>
      <c r="G1" s="3" t="s">
        <v>229</v>
      </c>
    </row>
    <row r="2" spans="1:7" x14ac:dyDescent="0.25">
      <c r="A2" t="s">
        <v>287</v>
      </c>
      <c r="B2" t="str">
        <f>_xlfn.XLOOKUP(A2,[1]Municipios!$B:$B,[1]Municipios!$C:$C)</f>
        <v>Norte</v>
      </c>
      <c r="C2" t="str">
        <f>_xlfn.XLOOKUP(A2,[1]Municipios!$B:$B,[1]Municipios!$D:$D)</f>
        <v>Norte Pioneiro</v>
      </c>
      <c r="D2">
        <v>2025</v>
      </c>
      <c r="E2" t="s">
        <v>231</v>
      </c>
      <c r="F2">
        <v>0.44439999999999996</v>
      </c>
      <c r="G2">
        <v>71.47</v>
      </c>
    </row>
    <row r="3" spans="1:7" x14ac:dyDescent="0.25">
      <c r="A3" t="s">
        <v>287</v>
      </c>
      <c r="B3" t="str">
        <f>_xlfn.XLOOKUP(A3,[1]Municipios!$B:$B,[1]Municipios!$C:$C)</f>
        <v>Norte</v>
      </c>
      <c r="C3" t="str">
        <f>_xlfn.XLOOKUP(A3,[1]Municipios!$B:$B,[1]Municipios!$D:$D)</f>
        <v>Norte Pioneiro</v>
      </c>
      <c r="D3">
        <v>2025</v>
      </c>
      <c r="E3" t="s">
        <v>232</v>
      </c>
      <c r="F3">
        <v>0.84599999999999997</v>
      </c>
      <c r="G3">
        <v>71.47</v>
      </c>
    </row>
    <row r="4" spans="1:7" x14ac:dyDescent="0.25">
      <c r="A4" t="s">
        <v>287</v>
      </c>
      <c r="B4" t="str">
        <f>_xlfn.XLOOKUP(A4,[1]Municipios!$B:$B,[1]Municipios!$C:$C)</f>
        <v>Norte</v>
      </c>
      <c r="C4" t="str">
        <f>_xlfn.XLOOKUP(A4,[1]Municipios!$B:$B,[1]Municipios!$D:$D)</f>
        <v>Norte Pioneiro</v>
      </c>
      <c r="D4">
        <v>2025</v>
      </c>
      <c r="E4" t="s">
        <v>233</v>
      </c>
      <c r="F4">
        <v>0.875</v>
      </c>
      <c r="G4">
        <v>71.47</v>
      </c>
    </row>
    <row r="5" spans="1:7" x14ac:dyDescent="0.25">
      <c r="A5" t="s">
        <v>287</v>
      </c>
      <c r="B5" t="str">
        <f>_xlfn.XLOOKUP(A5,[1]Municipios!$B:$B,[1]Municipios!$C:$C)</f>
        <v>Norte</v>
      </c>
      <c r="C5" t="str">
        <f>_xlfn.XLOOKUP(A5,[1]Municipios!$B:$B,[1]Municipios!$D:$D)</f>
        <v>Norte Pioneiro</v>
      </c>
      <c r="D5">
        <v>2025</v>
      </c>
      <c r="E5" t="s">
        <v>215</v>
      </c>
      <c r="F5">
        <v>0.79999999999999993</v>
      </c>
      <c r="G5">
        <v>71.47</v>
      </c>
    </row>
    <row r="6" spans="1:7" x14ac:dyDescent="0.25">
      <c r="A6" t="s">
        <v>287</v>
      </c>
      <c r="B6" t="str">
        <f>_xlfn.XLOOKUP(A6,[1]Municipios!$B:$B,[1]Municipios!$C:$C)</f>
        <v>Norte</v>
      </c>
      <c r="C6" t="str">
        <f>_xlfn.XLOOKUP(A6,[1]Municipios!$B:$B,[1]Municipios!$D:$D)</f>
        <v>Norte Pioneiro</v>
      </c>
      <c r="D6">
        <v>2025</v>
      </c>
      <c r="E6" t="s">
        <v>234</v>
      </c>
      <c r="F6">
        <v>0.77780000000000005</v>
      </c>
      <c r="G6">
        <v>71.47</v>
      </c>
    </row>
    <row r="7" spans="1:7" x14ac:dyDescent="0.25">
      <c r="A7" t="s">
        <v>287</v>
      </c>
      <c r="B7" t="str">
        <f>_xlfn.XLOOKUP(A7,[1]Municipios!$B:$B,[1]Municipios!$C:$C)</f>
        <v>Norte</v>
      </c>
      <c r="C7" t="str">
        <f>_xlfn.XLOOKUP(A7,[1]Municipios!$B:$B,[1]Municipios!$D:$D)</f>
        <v>Norte Pioneiro</v>
      </c>
      <c r="D7">
        <v>2025</v>
      </c>
      <c r="E7" t="s">
        <v>235</v>
      </c>
      <c r="F7">
        <v>0.71429999999999993</v>
      </c>
      <c r="G7">
        <v>71.47</v>
      </c>
    </row>
    <row r="8" spans="1:7" x14ac:dyDescent="0.25">
      <c r="A8" t="s">
        <v>287</v>
      </c>
      <c r="B8" t="str">
        <f>_xlfn.XLOOKUP(A8,[1]Municipios!$B:$B,[1]Municipios!$C:$C)</f>
        <v>Norte</v>
      </c>
      <c r="C8" t="str">
        <f>_xlfn.XLOOKUP(A8,[1]Municipios!$B:$B,[1]Municipios!$D:$D)</f>
        <v>Norte Pioneiro</v>
      </c>
      <c r="D8">
        <v>2025</v>
      </c>
      <c r="E8" t="s">
        <v>236</v>
      </c>
      <c r="F8">
        <v>0.30759999999999998</v>
      </c>
      <c r="G8">
        <v>71.47</v>
      </c>
    </row>
    <row r="9" spans="1:7" x14ac:dyDescent="0.25">
      <c r="A9" t="s">
        <v>287</v>
      </c>
      <c r="B9" t="str">
        <f>_xlfn.XLOOKUP(A9,[1]Municipios!$B:$B,[1]Municipios!$C:$C)</f>
        <v>Norte</v>
      </c>
      <c r="C9" t="str">
        <f>_xlfn.XLOOKUP(A9,[1]Municipios!$B:$B,[1]Municipios!$D:$D)</f>
        <v>Norte Pioneiro</v>
      </c>
      <c r="D9">
        <v>2025</v>
      </c>
      <c r="E9" t="s">
        <v>237</v>
      </c>
      <c r="F9">
        <v>1</v>
      </c>
      <c r="G9">
        <v>71.47</v>
      </c>
    </row>
    <row r="10" spans="1:7" x14ac:dyDescent="0.25">
      <c r="A10" t="s">
        <v>498</v>
      </c>
      <c r="B10" t="str">
        <f>_xlfn.XLOOKUP(A10,[1]Municipios!$B:$B,[1]Municipios!$C:$C)</f>
        <v>Leste</v>
      </c>
      <c r="C10" t="str">
        <f>_xlfn.XLOOKUP(A10,[1]Municipios!$B:$B,[1]Municipios!$D:$D)</f>
        <v>Vale Do Ribeira</v>
      </c>
      <c r="D10">
        <v>2025</v>
      </c>
      <c r="E10" t="s">
        <v>231</v>
      </c>
      <c r="F10">
        <v>0.11109999999999999</v>
      </c>
      <c r="G10">
        <v>31.95</v>
      </c>
    </row>
    <row r="11" spans="1:7" x14ac:dyDescent="0.25">
      <c r="A11" t="s">
        <v>498</v>
      </c>
      <c r="B11" t="str">
        <f>_xlfn.XLOOKUP(A11,[1]Municipios!$B:$B,[1]Municipios!$C:$C)</f>
        <v>Leste</v>
      </c>
      <c r="C11" t="str">
        <f>_xlfn.XLOOKUP(A11,[1]Municipios!$B:$B,[1]Municipios!$D:$D)</f>
        <v>Vale Do Ribeira</v>
      </c>
      <c r="D11">
        <v>2025</v>
      </c>
      <c r="E11" t="s">
        <v>232</v>
      </c>
      <c r="F11">
        <v>0.23069999999999999</v>
      </c>
      <c r="G11">
        <v>31.95</v>
      </c>
    </row>
    <row r="12" spans="1:7" x14ac:dyDescent="0.25">
      <c r="A12" t="s">
        <v>498</v>
      </c>
      <c r="B12" t="str">
        <f>_xlfn.XLOOKUP(A12,[1]Municipios!$B:$B,[1]Municipios!$C:$C)</f>
        <v>Leste</v>
      </c>
      <c r="C12" t="str">
        <f>_xlfn.XLOOKUP(A12,[1]Municipios!$B:$B,[1]Municipios!$D:$D)</f>
        <v>Vale Do Ribeira</v>
      </c>
      <c r="D12">
        <v>2025</v>
      </c>
      <c r="E12" t="s">
        <v>233</v>
      </c>
      <c r="F12">
        <v>0.375</v>
      </c>
      <c r="G12">
        <v>31.95</v>
      </c>
    </row>
    <row r="13" spans="1:7" x14ac:dyDescent="0.25">
      <c r="A13" t="s">
        <v>498</v>
      </c>
      <c r="B13" t="str">
        <f>_xlfn.XLOOKUP(A13,[1]Municipios!$B:$B,[1]Municipios!$C:$C)</f>
        <v>Leste</v>
      </c>
      <c r="C13" t="str">
        <f>_xlfn.XLOOKUP(A13,[1]Municipios!$B:$B,[1]Municipios!$D:$D)</f>
        <v>Vale Do Ribeira</v>
      </c>
      <c r="D13">
        <v>2025</v>
      </c>
      <c r="E13" t="s">
        <v>215</v>
      </c>
      <c r="F13">
        <v>0.6</v>
      </c>
      <c r="G13">
        <v>31.95</v>
      </c>
    </row>
    <row r="14" spans="1:7" x14ac:dyDescent="0.25">
      <c r="A14" t="s">
        <v>498</v>
      </c>
      <c r="B14" t="str">
        <f>_xlfn.XLOOKUP(A14,[1]Municipios!$B:$B,[1]Municipios!$C:$C)</f>
        <v>Leste</v>
      </c>
      <c r="C14" t="str">
        <f>_xlfn.XLOOKUP(A14,[1]Municipios!$B:$B,[1]Municipios!$D:$D)</f>
        <v>Vale Do Ribeira</v>
      </c>
      <c r="D14">
        <v>2025</v>
      </c>
      <c r="E14" t="s">
        <v>234</v>
      </c>
      <c r="F14">
        <v>0.22220000000000001</v>
      </c>
      <c r="G14">
        <v>31.95</v>
      </c>
    </row>
    <row r="15" spans="1:7" x14ac:dyDescent="0.25">
      <c r="A15" t="s">
        <v>498</v>
      </c>
      <c r="B15" t="str">
        <f>_xlfn.XLOOKUP(A15,[1]Municipios!$B:$B,[1]Municipios!$C:$C)</f>
        <v>Leste</v>
      </c>
      <c r="C15" t="str">
        <f>_xlfn.XLOOKUP(A15,[1]Municipios!$B:$B,[1]Municipios!$D:$D)</f>
        <v>Vale Do Ribeira</v>
      </c>
      <c r="D15">
        <v>2025</v>
      </c>
      <c r="E15" t="s">
        <v>235</v>
      </c>
      <c r="F15">
        <v>0.57150000000000001</v>
      </c>
      <c r="G15">
        <v>31.95</v>
      </c>
    </row>
    <row r="16" spans="1:7" x14ac:dyDescent="0.25">
      <c r="A16" t="s">
        <v>498</v>
      </c>
      <c r="B16" t="str">
        <f>_xlfn.XLOOKUP(A16,[1]Municipios!$B:$B,[1]Municipios!$C:$C)</f>
        <v>Leste</v>
      </c>
      <c r="C16" t="str">
        <f>_xlfn.XLOOKUP(A16,[1]Municipios!$B:$B,[1]Municipios!$D:$D)</f>
        <v>Vale Do Ribeira</v>
      </c>
      <c r="D16">
        <v>2025</v>
      </c>
      <c r="E16" t="s">
        <v>236</v>
      </c>
      <c r="F16">
        <v>0</v>
      </c>
      <c r="G16">
        <v>31.95</v>
      </c>
    </row>
    <row r="17" spans="1:7" x14ac:dyDescent="0.25">
      <c r="A17" t="s">
        <v>498</v>
      </c>
      <c r="B17" t="str">
        <f>_xlfn.XLOOKUP(A17,[1]Municipios!$B:$B,[1]Municipios!$C:$C)</f>
        <v>Leste</v>
      </c>
      <c r="C17" t="str">
        <f>_xlfn.XLOOKUP(A17,[1]Municipios!$B:$B,[1]Municipios!$D:$D)</f>
        <v>Vale Do Ribeira</v>
      </c>
      <c r="D17">
        <v>2025</v>
      </c>
      <c r="E17" t="s">
        <v>237</v>
      </c>
      <c r="F17">
        <v>0.5</v>
      </c>
      <c r="G17">
        <v>31.95</v>
      </c>
    </row>
    <row r="18" spans="1:7" x14ac:dyDescent="0.25">
      <c r="A18" t="s">
        <v>540</v>
      </c>
      <c r="B18" t="str">
        <f>_xlfn.XLOOKUP(A18,[1]Municipios!$B:$B,[1]Municipios!$C:$C)</f>
        <v>Leste</v>
      </c>
      <c r="C18" t="str">
        <f>_xlfn.XLOOKUP(A18,[1]Municipios!$B:$B,[1]Municipios!$D:$D)</f>
        <v>Gralha Azul</v>
      </c>
      <c r="D18">
        <v>2025</v>
      </c>
      <c r="E18" t="s">
        <v>231</v>
      </c>
      <c r="F18">
        <v>0.11109999999999999</v>
      </c>
      <c r="G18">
        <v>68.58</v>
      </c>
    </row>
    <row r="19" spans="1:7" x14ac:dyDescent="0.25">
      <c r="A19" t="s">
        <v>540</v>
      </c>
      <c r="B19" t="str">
        <f>_xlfn.XLOOKUP(A19,[1]Municipios!$B:$B,[1]Municipios!$C:$C)</f>
        <v>Leste</v>
      </c>
      <c r="C19" t="str">
        <f>_xlfn.XLOOKUP(A19,[1]Municipios!$B:$B,[1]Municipios!$D:$D)</f>
        <v>Gralha Azul</v>
      </c>
      <c r="D19">
        <v>2025</v>
      </c>
      <c r="E19" t="s">
        <v>232</v>
      </c>
      <c r="F19">
        <v>1</v>
      </c>
      <c r="G19">
        <v>68.58</v>
      </c>
    </row>
    <row r="20" spans="1:7" x14ac:dyDescent="0.25">
      <c r="A20" t="s">
        <v>540</v>
      </c>
      <c r="B20" t="str">
        <f>_xlfn.XLOOKUP(A20,[1]Municipios!$B:$B,[1]Municipios!$C:$C)</f>
        <v>Leste</v>
      </c>
      <c r="C20" t="str">
        <f>_xlfn.XLOOKUP(A20,[1]Municipios!$B:$B,[1]Municipios!$D:$D)</f>
        <v>Gralha Azul</v>
      </c>
      <c r="D20">
        <v>2025</v>
      </c>
      <c r="E20" t="s">
        <v>233</v>
      </c>
      <c r="F20">
        <v>0.75</v>
      </c>
      <c r="G20">
        <v>68.58</v>
      </c>
    </row>
    <row r="21" spans="1:7" x14ac:dyDescent="0.25">
      <c r="A21" t="s">
        <v>540</v>
      </c>
      <c r="B21" t="str">
        <f>_xlfn.XLOOKUP(A21,[1]Municipios!$B:$B,[1]Municipios!$C:$C)</f>
        <v>Leste</v>
      </c>
      <c r="C21" t="str">
        <f>_xlfn.XLOOKUP(A21,[1]Municipios!$B:$B,[1]Municipios!$D:$D)</f>
        <v>Gralha Azul</v>
      </c>
      <c r="D21">
        <v>2025</v>
      </c>
      <c r="E21" t="s">
        <v>215</v>
      </c>
      <c r="F21">
        <v>0.70000000000000007</v>
      </c>
      <c r="G21">
        <v>68.58</v>
      </c>
    </row>
    <row r="22" spans="1:7" x14ac:dyDescent="0.25">
      <c r="A22" t="s">
        <v>540</v>
      </c>
      <c r="B22" t="str">
        <f>_xlfn.XLOOKUP(A22,[1]Municipios!$B:$B,[1]Municipios!$C:$C)</f>
        <v>Leste</v>
      </c>
      <c r="C22" t="str">
        <f>_xlfn.XLOOKUP(A22,[1]Municipios!$B:$B,[1]Municipios!$D:$D)</f>
        <v>Gralha Azul</v>
      </c>
      <c r="D22">
        <v>2025</v>
      </c>
      <c r="E22" t="s">
        <v>234</v>
      </c>
      <c r="F22">
        <v>0.44450000000000001</v>
      </c>
      <c r="G22">
        <v>68.58</v>
      </c>
    </row>
    <row r="23" spans="1:7" x14ac:dyDescent="0.25">
      <c r="A23" t="s">
        <v>540</v>
      </c>
      <c r="B23" t="str">
        <f>_xlfn.XLOOKUP(A23,[1]Municipios!$B:$B,[1]Municipios!$C:$C)</f>
        <v>Leste</v>
      </c>
      <c r="C23" t="str">
        <f>_xlfn.XLOOKUP(A23,[1]Municipios!$B:$B,[1]Municipios!$D:$D)</f>
        <v>Gralha Azul</v>
      </c>
      <c r="D23">
        <v>2025</v>
      </c>
      <c r="E23" t="s">
        <v>235</v>
      </c>
      <c r="F23">
        <v>1</v>
      </c>
      <c r="G23">
        <v>68.58</v>
      </c>
    </row>
    <row r="24" spans="1:7" x14ac:dyDescent="0.25">
      <c r="A24" t="s">
        <v>540</v>
      </c>
      <c r="B24" t="str">
        <f>_xlfn.XLOOKUP(A24,[1]Municipios!$B:$B,[1]Municipios!$C:$C)</f>
        <v>Leste</v>
      </c>
      <c r="C24" t="str">
        <f>_xlfn.XLOOKUP(A24,[1]Municipios!$B:$B,[1]Municipios!$D:$D)</f>
        <v>Gralha Azul</v>
      </c>
      <c r="D24">
        <v>2025</v>
      </c>
      <c r="E24" t="s">
        <v>236</v>
      </c>
      <c r="F24">
        <v>0.46159999999999995</v>
      </c>
      <c r="G24">
        <v>68.58</v>
      </c>
    </row>
    <row r="25" spans="1:7" x14ac:dyDescent="0.25">
      <c r="A25" t="s">
        <v>540</v>
      </c>
      <c r="B25" t="str">
        <f>_xlfn.XLOOKUP(A25,[1]Municipios!$B:$B,[1]Municipios!$C:$C)</f>
        <v>Leste</v>
      </c>
      <c r="C25" t="str">
        <f>_xlfn.XLOOKUP(A25,[1]Municipios!$B:$B,[1]Municipios!$D:$D)</f>
        <v>Gralha Azul</v>
      </c>
      <c r="D25">
        <v>2025</v>
      </c>
      <c r="E25" t="s">
        <v>237</v>
      </c>
      <c r="F25">
        <v>1</v>
      </c>
      <c r="G25">
        <v>68.58</v>
      </c>
    </row>
    <row r="26" spans="1:7" x14ac:dyDescent="0.25">
      <c r="A26" t="s">
        <v>311</v>
      </c>
      <c r="B26" t="str">
        <f>_xlfn.XLOOKUP(A26,[1]Municipios!$B:$B,[1]Municipios!$C:$C)</f>
        <v>Leste</v>
      </c>
      <c r="C26" t="str">
        <f>_xlfn.XLOOKUP(A26,[1]Municipios!$B:$B,[1]Municipios!$D:$D)</f>
        <v>RMC</v>
      </c>
      <c r="D26">
        <v>2025</v>
      </c>
      <c r="E26" t="s">
        <v>231</v>
      </c>
      <c r="F26">
        <v>0.66659999999999997</v>
      </c>
      <c r="G26">
        <v>76.59</v>
      </c>
    </row>
    <row r="27" spans="1:7" x14ac:dyDescent="0.25">
      <c r="A27" t="s">
        <v>311</v>
      </c>
      <c r="B27" t="str">
        <f>_xlfn.XLOOKUP(A27,[1]Municipios!$B:$B,[1]Municipios!$C:$C)</f>
        <v>Leste</v>
      </c>
      <c r="C27" t="str">
        <f>_xlfn.XLOOKUP(A27,[1]Municipios!$B:$B,[1]Municipios!$D:$D)</f>
        <v>RMC</v>
      </c>
      <c r="D27">
        <v>2025</v>
      </c>
      <c r="E27" t="s">
        <v>232</v>
      </c>
      <c r="F27">
        <v>0.69240000000000002</v>
      </c>
      <c r="G27">
        <v>76.59</v>
      </c>
    </row>
    <row r="28" spans="1:7" x14ac:dyDescent="0.25">
      <c r="A28" t="s">
        <v>311</v>
      </c>
      <c r="B28" t="str">
        <f>_xlfn.XLOOKUP(A28,[1]Municipios!$B:$B,[1]Municipios!$C:$C)</f>
        <v>Leste</v>
      </c>
      <c r="C28" t="str">
        <f>_xlfn.XLOOKUP(A28,[1]Municipios!$B:$B,[1]Municipios!$D:$D)</f>
        <v>RMC</v>
      </c>
      <c r="D28">
        <v>2025</v>
      </c>
      <c r="E28" t="s">
        <v>233</v>
      </c>
      <c r="F28">
        <v>1</v>
      </c>
      <c r="G28">
        <v>76.59</v>
      </c>
    </row>
    <row r="29" spans="1:7" x14ac:dyDescent="0.25">
      <c r="A29" t="s">
        <v>311</v>
      </c>
      <c r="B29" t="str">
        <f>_xlfn.XLOOKUP(A29,[1]Municipios!$B:$B,[1]Municipios!$C:$C)</f>
        <v>Leste</v>
      </c>
      <c r="C29" t="str">
        <f>_xlfn.XLOOKUP(A29,[1]Municipios!$B:$B,[1]Municipios!$D:$D)</f>
        <v>RMC</v>
      </c>
      <c r="D29">
        <v>2025</v>
      </c>
      <c r="E29" t="s">
        <v>215</v>
      </c>
      <c r="F29">
        <v>0.79999999999999993</v>
      </c>
      <c r="G29">
        <v>76.59</v>
      </c>
    </row>
    <row r="30" spans="1:7" x14ac:dyDescent="0.25">
      <c r="A30" t="s">
        <v>311</v>
      </c>
      <c r="B30" t="str">
        <f>_xlfn.XLOOKUP(A30,[1]Municipios!$B:$B,[1]Municipios!$C:$C)</f>
        <v>Leste</v>
      </c>
      <c r="C30" t="str">
        <f>_xlfn.XLOOKUP(A30,[1]Municipios!$B:$B,[1]Municipios!$D:$D)</f>
        <v>RMC</v>
      </c>
      <c r="D30">
        <v>2025</v>
      </c>
      <c r="E30" t="s">
        <v>234</v>
      </c>
      <c r="F30">
        <v>0.77780000000000005</v>
      </c>
      <c r="G30">
        <v>76.59</v>
      </c>
    </row>
    <row r="31" spans="1:7" x14ac:dyDescent="0.25">
      <c r="A31" t="s">
        <v>311</v>
      </c>
      <c r="B31" t="str">
        <f>_xlfn.XLOOKUP(A31,[1]Municipios!$B:$B,[1]Municipios!$C:$C)</f>
        <v>Leste</v>
      </c>
      <c r="C31" t="str">
        <f>_xlfn.XLOOKUP(A31,[1]Municipios!$B:$B,[1]Municipios!$D:$D)</f>
        <v>RMC</v>
      </c>
      <c r="D31">
        <v>2025</v>
      </c>
      <c r="E31" t="s">
        <v>235</v>
      </c>
      <c r="F31">
        <v>1</v>
      </c>
      <c r="G31">
        <v>76.59</v>
      </c>
    </row>
    <row r="32" spans="1:7" x14ac:dyDescent="0.25">
      <c r="A32" t="s">
        <v>311</v>
      </c>
      <c r="B32" t="str">
        <f>_xlfn.XLOOKUP(A32,[1]Municipios!$B:$B,[1]Municipios!$C:$C)</f>
        <v>Leste</v>
      </c>
      <c r="C32" t="str">
        <f>_xlfn.XLOOKUP(A32,[1]Municipios!$B:$B,[1]Municipios!$D:$D)</f>
        <v>RMC</v>
      </c>
      <c r="D32">
        <v>2025</v>
      </c>
      <c r="E32" t="s">
        <v>236</v>
      </c>
      <c r="F32">
        <v>0.30770000000000003</v>
      </c>
      <c r="G32">
        <v>76.59</v>
      </c>
    </row>
    <row r="33" spans="1:7" x14ac:dyDescent="0.25">
      <c r="A33" t="s">
        <v>311</v>
      </c>
      <c r="B33" t="str">
        <f>_xlfn.XLOOKUP(A33,[1]Municipios!$B:$B,[1]Municipios!$C:$C)</f>
        <v>Leste</v>
      </c>
      <c r="C33" t="str">
        <f>_xlfn.XLOOKUP(A33,[1]Municipios!$B:$B,[1]Municipios!$D:$D)</f>
        <v>RMC</v>
      </c>
      <c r="D33">
        <v>2025</v>
      </c>
      <c r="E33" t="s">
        <v>237</v>
      </c>
      <c r="F33">
        <v>1</v>
      </c>
      <c r="G33">
        <v>76.59</v>
      </c>
    </row>
    <row r="34" spans="1:7" x14ac:dyDescent="0.25">
      <c r="A34" t="s">
        <v>319</v>
      </c>
      <c r="B34" t="str">
        <f>_xlfn.XLOOKUP(A34,[1]Municipios!$B:$B,[1]Municipios!$C:$C)</f>
        <v>Noroeste</v>
      </c>
      <c r="C34" t="str">
        <f>_xlfn.XLOOKUP(A34,[1]Municipios!$B:$B,[1]Municipios!$D:$D)</f>
        <v>Centro Ocidental</v>
      </c>
      <c r="D34">
        <v>2025</v>
      </c>
      <c r="E34" t="s">
        <v>231</v>
      </c>
      <c r="F34">
        <v>0</v>
      </c>
      <c r="G34">
        <v>38.96</v>
      </c>
    </row>
    <row r="35" spans="1:7" x14ac:dyDescent="0.25">
      <c r="A35" t="s">
        <v>319</v>
      </c>
      <c r="B35" t="str">
        <f>_xlfn.XLOOKUP(A35,[1]Municipios!$B:$B,[1]Municipios!$C:$C)</f>
        <v>Noroeste</v>
      </c>
      <c r="C35" t="str">
        <f>_xlfn.XLOOKUP(A35,[1]Municipios!$B:$B,[1]Municipios!$D:$D)</f>
        <v>Centro Ocidental</v>
      </c>
      <c r="D35">
        <v>2025</v>
      </c>
      <c r="E35" t="s">
        <v>232</v>
      </c>
      <c r="F35">
        <v>0.61529999999999996</v>
      </c>
      <c r="G35">
        <v>38.96</v>
      </c>
    </row>
    <row r="36" spans="1:7" x14ac:dyDescent="0.25">
      <c r="A36" t="s">
        <v>319</v>
      </c>
      <c r="B36" t="str">
        <f>_xlfn.XLOOKUP(A36,[1]Municipios!$B:$B,[1]Municipios!$C:$C)</f>
        <v>Noroeste</v>
      </c>
      <c r="C36" t="str">
        <f>_xlfn.XLOOKUP(A36,[1]Municipios!$B:$B,[1]Municipios!$D:$D)</f>
        <v>Centro Ocidental</v>
      </c>
      <c r="D36">
        <v>2025</v>
      </c>
      <c r="E36" t="s">
        <v>233</v>
      </c>
      <c r="F36">
        <v>0.5</v>
      </c>
      <c r="G36">
        <v>38.96</v>
      </c>
    </row>
    <row r="37" spans="1:7" x14ac:dyDescent="0.25">
      <c r="A37" t="s">
        <v>319</v>
      </c>
      <c r="B37" t="str">
        <f>_xlfn.XLOOKUP(A37,[1]Municipios!$B:$B,[1]Municipios!$C:$C)</f>
        <v>Noroeste</v>
      </c>
      <c r="C37" t="str">
        <f>_xlfn.XLOOKUP(A37,[1]Municipios!$B:$B,[1]Municipios!$D:$D)</f>
        <v>Centro Ocidental</v>
      </c>
      <c r="D37">
        <v>2025</v>
      </c>
      <c r="E37" t="s">
        <v>215</v>
      </c>
      <c r="F37">
        <v>0</v>
      </c>
      <c r="G37">
        <v>38.96</v>
      </c>
    </row>
    <row r="38" spans="1:7" x14ac:dyDescent="0.25">
      <c r="A38" t="s">
        <v>319</v>
      </c>
      <c r="B38" t="str">
        <f>_xlfn.XLOOKUP(A38,[1]Municipios!$B:$B,[1]Municipios!$C:$C)</f>
        <v>Noroeste</v>
      </c>
      <c r="C38" t="str">
        <f>_xlfn.XLOOKUP(A38,[1]Municipios!$B:$B,[1]Municipios!$D:$D)</f>
        <v>Centro Ocidental</v>
      </c>
      <c r="D38">
        <v>2025</v>
      </c>
      <c r="E38" t="s">
        <v>234</v>
      </c>
      <c r="F38">
        <v>0.66659999999999997</v>
      </c>
      <c r="G38">
        <v>38.96</v>
      </c>
    </row>
    <row r="39" spans="1:7" x14ac:dyDescent="0.25">
      <c r="A39" t="s">
        <v>319</v>
      </c>
      <c r="B39" t="str">
        <f>_xlfn.XLOOKUP(A39,[1]Municipios!$B:$B,[1]Municipios!$C:$C)</f>
        <v>Noroeste</v>
      </c>
      <c r="C39" t="str">
        <f>_xlfn.XLOOKUP(A39,[1]Municipios!$B:$B,[1]Municipios!$D:$D)</f>
        <v>Centro Ocidental</v>
      </c>
      <c r="D39">
        <v>2025</v>
      </c>
      <c r="E39" t="s">
        <v>235</v>
      </c>
      <c r="F39">
        <v>0.28570000000000001</v>
      </c>
      <c r="G39">
        <v>38.96</v>
      </c>
    </row>
    <row r="40" spans="1:7" x14ac:dyDescent="0.25">
      <c r="A40" t="s">
        <v>319</v>
      </c>
      <c r="B40" t="str">
        <f>_xlfn.XLOOKUP(A40,[1]Municipios!$B:$B,[1]Municipios!$C:$C)</f>
        <v>Noroeste</v>
      </c>
      <c r="C40" t="str">
        <f>_xlfn.XLOOKUP(A40,[1]Municipios!$B:$B,[1]Municipios!$D:$D)</f>
        <v>Centro Ocidental</v>
      </c>
      <c r="D40">
        <v>2025</v>
      </c>
      <c r="E40" t="s">
        <v>236</v>
      </c>
      <c r="F40">
        <v>0</v>
      </c>
      <c r="G40">
        <v>38.96</v>
      </c>
    </row>
    <row r="41" spans="1:7" x14ac:dyDescent="0.25">
      <c r="A41" t="s">
        <v>319</v>
      </c>
      <c r="B41" t="str">
        <f>_xlfn.XLOOKUP(A41,[1]Municipios!$B:$B,[1]Municipios!$C:$C)</f>
        <v>Noroeste</v>
      </c>
      <c r="C41" t="str">
        <f>_xlfn.XLOOKUP(A41,[1]Municipios!$B:$B,[1]Municipios!$D:$D)</f>
        <v>Centro Ocidental</v>
      </c>
      <c r="D41">
        <v>2025</v>
      </c>
      <c r="E41" t="s">
        <v>237</v>
      </c>
      <c r="F41">
        <v>1</v>
      </c>
      <c r="G41">
        <v>38.96</v>
      </c>
    </row>
    <row r="42" spans="1:7" x14ac:dyDescent="0.25">
      <c r="A42" t="s">
        <v>301</v>
      </c>
      <c r="B42" t="str">
        <f>_xlfn.XLOOKUP(A42,[1]Municipios!$B:$B,[1]Municipios!$C:$C)</f>
        <v>Noroeste</v>
      </c>
      <c r="C42" t="str">
        <f>_xlfn.XLOOKUP(A42,[1]Municipios!$B:$B,[1]Municipios!$D:$D)</f>
        <v>Arenito-Caiuá</v>
      </c>
      <c r="D42">
        <v>2025</v>
      </c>
      <c r="E42" t="s">
        <v>231</v>
      </c>
      <c r="F42">
        <v>0.55559999999999998</v>
      </c>
      <c r="G42">
        <v>64.650000000000006</v>
      </c>
    </row>
    <row r="43" spans="1:7" x14ac:dyDescent="0.25">
      <c r="A43" t="s">
        <v>301</v>
      </c>
      <c r="B43" t="str">
        <f>_xlfn.XLOOKUP(A43,[1]Municipios!$B:$B,[1]Municipios!$C:$C)</f>
        <v>Noroeste</v>
      </c>
      <c r="C43" t="str">
        <f>_xlfn.XLOOKUP(A43,[1]Municipios!$B:$B,[1]Municipios!$D:$D)</f>
        <v>Arenito-Caiuá</v>
      </c>
      <c r="D43">
        <v>2025</v>
      </c>
      <c r="E43" t="s">
        <v>232</v>
      </c>
      <c r="F43">
        <v>0.84619999999999995</v>
      </c>
      <c r="G43">
        <v>64.650000000000006</v>
      </c>
    </row>
    <row r="44" spans="1:7" x14ac:dyDescent="0.25">
      <c r="A44" t="s">
        <v>301</v>
      </c>
      <c r="B44" t="str">
        <f>_xlfn.XLOOKUP(A44,[1]Municipios!$B:$B,[1]Municipios!$C:$C)</f>
        <v>Noroeste</v>
      </c>
      <c r="C44" t="str">
        <f>_xlfn.XLOOKUP(A44,[1]Municipios!$B:$B,[1]Municipios!$D:$D)</f>
        <v>Arenito-Caiuá</v>
      </c>
      <c r="D44">
        <v>2025</v>
      </c>
      <c r="E44" t="s">
        <v>233</v>
      </c>
      <c r="F44">
        <v>0.625</v>
      </c>
      <c r="G44">
        <v>64.650000000000006</v>
      </c>
    </row>
    <row r="45" spans="1:7" x14ac:dyDescent="0.25">
      <c r="A45" t="s">
        <v>301</v>
      </c>
      <c r="B45" t="str">
        <f>_xlfn.XLOOKUP(A45,[1]Municipios!$B:$B,[1]Municipios!$C:$C)</f>
        <v>Noroeste</v>
      </c>
      <c r="C45" t="str">
        <f>_xlfn.XLOOKUP(A45,[1]Municipios!$B:$B,[1]Municipios!$D:$D)</f>
        <v>Arenito-Caiuá</v>
      </c>
      <c r="D45">
        <v>2025</v>
      </c>
      <c r="E45" t="s">
        <v>215</v>
      </c>
      <c r="F45">
        <v>0.70000000000000007</v>
      </c>
      <c r="G45">
        <v>64.650000000000006</v>
      </c>
    </row>
    <row r="46" spans="1:7" x14ac:dyDescent="0.25">
      <c r="A46" t="s">
        <v>301</v>
      </c>
      <c r="B46" t="str">
        <f>_xlfn.XLOOKUP(A46,[1]Municipios!$B:$B,[1]Municipios!$C:$C)</f>
        <v>Noroeste</v>
      </c>
      <c r="C46" t="str">
        <f>_xlfn.XLOOKUP(A46,[1]Municipios!$B:$B,[1]Municipios!$D:$D)</f>
        <v>Arenito-Caiuá</v>
      </c>
      <c r="D46">
        <v>2025</v>
      </c>
      <c r="E46" t="s">
        <v>234</v>
      </c>
      <c r="F46">
        <v>1</v>
      </c>
      <c r="G46">
        <v>64.650000000000006</v>
      </c>
    </row>
    <row r="47" spans="1:7" x14ac:dyDescent="0.25">
      <c r="A47" t="s">
        <v>301</v>
      </c>
      <c r="B47" t="str">
        <f>_xlfn.XLOOKUP(A47,[1]Municipios!$B:$B,[1]Municipios!$C:$C)</f>
        <v>Noroeste</v>
      </c>
      <c r="C47" t="str">
        <f>_xlfn.XLOOKUP(A47,[1]Municipios!$B:$B,[1]Municipios!$D:$D)</f>
        <v>Arenito-Caiuá</v>
      </c>
      <c r="D47">
        <v>2025</v>
      </c>
      <c r="E47" t="s">
        <v>235</v>
      </c>
      <c r="F47">
        <v>0.57140000000000002</v>
      </c>
      <c r="G47">
        <v>64.650000000000006</v>
      </c>
    </row>
    <row r="48" spans="1:7" x14ac:dyDescent="0.25">
      <c r="A48" t="s">
        <v>301</v>
      </c>
      <c r="B48" t="str">
        <f>_xlfn.XLOOKUP(A48,[1]Municipios!$B:$B,[1]Municipios!$C:$C)</f>
        <v>Noroeste</v>
      </c>
      <c r="C48" t="str">
        <f>_xlfn.XLOOKUP(A48,[1]Municipios!$B:$B,[1]Municipios!$D:$D)</f>
        <v>Arenito-Caiuá</v>
      </c>
      <c r="D48">
        <v>2025</v>
      </c>
      <c r="E48" t="s">
        <v>236</v>
      </c>
      <c r="F48">
        <v>0.15390000000000001</v>
      </c>
      <c r="G48">
        <v>64.650000000000006</v>
      </c>
    </row>
    <row r="49" spans="1:7" x14ac:dyDescent="0.25">
      <c r="A49" t="s">
        <v>301</v>
      </c>
      <c r="B49" t="str">
        <f>_xlfn.XLOOKUP(A49,[1]Municipios!$B:$B,[1]Municipios!$C:$C)</f>
        <v>Noroeste</v>
      </c>
      <c r="C49" t="str">
        <f>_xlfn.XLOOKUP(A49,[1]Municipios!$B:$B,[1]Municipios!$D:$D)</f>
        <v>Arenito-Caiuá</v>
      </c>
      <c r="D49">
        <v>2025</v>
      </c>
      <c r="E49" t="s">
        <v>237</v>
      </c>
      <c r="F49">
        <v>0.5</v>
      </c>
      <c r="G49">
        <v>64.650000000000006</v>
      </c>
    </row>
    <row r="50" spans="1:7" x14ac:dyDescent="0.25">
      <c r="A50" t="s">
        <v>501</v>
      </c>
      <c r="B50" t="str">
        <f>_xlfn.XLOOKUP(A50,[1]Municipios!$B:$B,[1]Municipios!$C:$C)</f>
        <v>Noroeste</v>
      </c>
      <c r="C50" t="str">
        <f>_xlfn.XLOOKUP(A50,[1]Municipios!$B:$B,[1]Municipios!$D:$D)</f>
        <v>Costa Noroeste</v>
      </c>
      <c r="D50">
        <v>2025</v>
      </c>
      <c r="E50" t="s">
        <v>231</v>
      </c>
      <c r="F50">
        <v>0.55559999999999998</v>
      </c>
      <c r="G50">
        <v>68.47</v>
      </c>
    </row>
    <row r="51" spans="1:7" x14ac:dyDescent="0.25">
      <c r="A51" t="s">
        <v>501</v>
      </c>
      <c r="B51" t="str">
        <f>_xlfn.XLOOKUP(A51,[1]Municipios!$B:$B,[1]Municipios!$C:$C)</f>
        <v>Noroeste</v>
      </c>
      <c r="C51" t="str">
        <f>_xlfn.XLOOKUP(A51,[1]Municipios!$B:$B,[1]Municipios!$D:$D)</f>
        <v>Costa Noroeste</v>
      </c>
      <c r="D51">
        <v>2025</v>
      </c>
      <c r="E51" t="s">
        <v>232</v>
      </c>
      <c r="F51">
        <v>0.76929999999999998</v>
      </c>
      <c r="G51">
        <v>68.47</v>
      </c>
    </row>
    <row r="52" spans="1:7" x14ac:dyDescent="0.25">
      <c r="A52" t="s">
        <v>501</v>
      </c>
      <c r="B52" t="str">
        <f>_xlfn.XLOOKUP(A52,[1]Municipios!$B:$B,[1]Municipios!$C:$C)</f>
        <v>Noroeste</v>
      </c>
      <c r="C52" t="str">
        <f>_xlfn.XLOOKUP(A52,[1]Municipios!$B:$B,[1]Municipios!$D:$D)</f>
        <v>Costa Noroeste</v>
      </c>
      <c r="D52">
        <v>2025</v>
      </c>
      <c r="E52" t="s">
        <v>233</v>
      </c>
      <c r="F52">
        <v>0.875</v>
      </c>
      <c r="G52">
        <v>68.47</v>
      </c>
    </row>
    <row r="53" spans="1:7" x14ac:dyDescent="0.25">
      <c r="A53" t="s">
        <v>501</v>
      </c>
      <c r="B53" t="str">
        <f>_xlfn.XLOOKUP(A53,[1]Municipios!$B:$B,[1]Municipios!$C:$C)</f>
        <v>Noroeste</v>
      </c>
      <c r="C53" t="str">
        <f>_xlfn.XLOOKUP(A53,[1]Municipios!$B:$B,[1]Municipios!$D:$D)</f>
        <v>Costa Noroeste</v>
      </c>
      <c r="D53">
        <v>2025</v>
      </c>
      <c r="E53" t="s">
        <v>215</v>
      </c>
      <c r="F53">
        <v>0.75</v>
      </c>
      <c r="G53">
        <v>68.47</v>
      </c>
    </row>
    <row r="54" spans="1:7" x14ac:dyDescent="0.25">
      <c r="A54" t="s">
        <v>501</v>
      </c>
      <c r="B54" t="str">
        <f>_xlfn.XLOOKUP(A54,[1]Municipios!$B:$B,[1]Municipios!$C:$C)</f>
        <v>Noroeste</v>
      </c>
      <c r="C54" t="str">
        <f>_xlfn.XLOOKUP(A54,[1]Municipios!$B:$B,[1]Municipios!$D:$D)</f>
        <v>Costa Noroeste</v>
      </c>
      <c r="D54">
        <v>2025</v>
      </c>
      <c r="E54" t="s">
        <v>234</v>
      </c>
      <c r="F54">
        <v>0.66659999999999997</v>
      </c>
      <c r="G54">
        <v>68.47</v>
      </c>
    </row>
    <row r="55" spans="1:7" x14ac:dyDescent="0.25">
      <c r="A55" t="s">
        <v>501</v>
      </c>
      <c r="B55" t="str">
        <f>_xlfn.XLOOKUP(A55,[1]Municipios!$B:$B,[1]Municipios!$C:$C)</f>
        <v>Noroeste</v>
      </c>
      <c r="C55" t="str">
        <f>_xlfn.XLOOKUP(A55,[1]Municipios!$B:$B,[1]Municipios!$D:$D)</f>
        <v>Costa Noroeste</v>
      </c>
      <c r="D55">
        <v>2025</v>
      </c>
      <c r="E55" t="s">
        <v>235</v>
      </c>
      <c r="F55">
        <v>0.85720000000000007</v>
      </c>
      <c r="G55">
        <v>68.47</v>
      </c>
    </row>
    <row r="56" spans="1:7" x14ac:dyDescent="0.25">
      <c r="A56" t="s">
        <v>501</v>
      </c>
      <c r="B56" t="str">
        <f>_xlfn.XLOOKUP(A56,[1]Municipios!$B:$B,[1]Municipios!$C:$C)</f>
        <v>Noroeste</v>
      </c>
      <c r="C56" t="str">
        <f>_xlfn.XLOOKUP(A56,[1]Municipios!$B:$B,[1]Municipios!$D:$D)</f>
        <v>Costa Noroeste</v>
      </c>
      <c r="D56">
        <v>2025</v>
      </c>
      <c r="E56" t="s">
        <v>236</v>
      </c>
      <c r="F56">
        <v>7.6999999999999999E-2</v>
      </c>
      <c r="G56">
        <v>68.47</v>
      </c>
    </row>
    <row r="57" spans="1:7" x14ac:dyDescent="0.25">
      <c r="A57" t="s">
        <v>501</v>
      </c>
      <c r="B57" t="str">
        <f>_xlfn.XLOOKUP(A57,[1]Municipios!$B:$B,[1]Municipios!$C:$C)</f>
        <v>Noroeste</v>
      </c>
      <c r="C57" t="str">
        <f>_xlfn.XLOOKUP(A57,[1]Municipios!$B:$B,[1]Municipios!$D:$D)</f>
        <v>Costa Noroeste</v>
      </c>
      <c r="D57">
        <v>2025</v>
      </c>
      <c r="E57" t="s">
        <v>237</v>
      </c>
      <c r="F57">
        <v>1</v>
      </c>
      <c r="G57">
        <v>68.47</v>
      </c>
    </row>
    <row r="58" spans="1:7" x14ac:dyDescent="0.25">
      <c r="A58" t="s">
        <v>302</v>
      </c>
      <c r="B58" t="str">
        <f>_xlfn.XLOOKUP(A58,[1]Municipios!$B:$B,[1]Municipios!$C:$C)</f>
        <v>Noroeste</v>
      </c>
      <c r="C58" t="str">
        <f>_xlfn.XLOOKUP(A58,[1]Municipios!$B:$B,[1]Municipios!$D:$D)</f>
        <v>Arenito-Caiuá</v>
      </c>
      <c r="D58">
        <v>2025</v>
      </c>
      <c r="E58" t="s">
        <v>231</v>
      </c>
      <c r="F58">
        <v>0.88890000000000002</v>
      </c>
      <c r="G58">
        <v>59.91</v>
      </c>
    </row>
    <row r="59" spans="1:7" x14ac:dyDescent="0.25">
      <c r="A59" t="s">
        <v>302</v>
      </c>
      <c r="B59" t="str">
        <f>_xlfn.XLOOKUP(A59,[1]Municipios!$B:$B,[1]Municipios!$C:$C)</f>
        <v>Noroeste</v>
      </c>
      <c r="C59" t="str">
        <f>_xlfn.XLOOKUP(A59,[1]Municipios!$B:$B,[1]Municipios!$D:$D)</f>
        <v>Arenito-Caiuá</v>
      </c>
      <c r="D59">
        <v>2025</v>
      </c>
      <c r="E59" t="s">
        <v>232</v>
      </c>
      <c r="F59">
        <v>0.84609999999999996</v>
      </c>
      <c r="G59">
        <v>59.91</v>
      </c>
    </row>
    <row r="60" spans="1:7" x14ac:dyDescent="0.25">
      <c r="A60" t="s">
        <v>302</v>
      </c>
      <c r="B60" t="str">
        <f>_xlfn.XLOOKUP(A60,[1]Municipios!$B:$B,[1]Municipios!$C:$C)</f>
        <v>Noroeste</v>
      </c>
      <c r="C60" t="str">
        <f>_xlfn.XLOOKUP(A60,[1]Municipios!$B:$B,[1]Municipios!$D:$D)</f>
        <v>Arenito-Caiuá</v>
      </c>
      <c r="D60">
        <v>2025</v>
      </c>
      <c r="E60" t="s">
        <v>233</v>
      </c>
      <c r="F60">
        <v>0.25</v>
      </c>
      <c r="G60">
        <v>59.91</v>
      </c>
    </row>
    <row r="61" spans="1:7" x14ac:dyDescent="0.25">
      <c r="A61" t="s">
        <v>302</v>
      </c>
      <c r="B61" t="str">
        <f>_xlfn.XLOOKUP(A61,[1]Municipios!$B:$B,[1]Municipios!$C:$C)</f>
        <v>Noroeste</v>
      </c>
      <c r="C61" t="str">
        <f>_xlfn.XLOOKUP(A61,[1]Municipios!$B:$B,[1]Municipios!$D:$D)</f>
        <v>Arenito-Caiuá</v>
      </c>
      <c r="D61">
        <v>2025</v>
      </c>
      <c r="E61" t="s">
        <v>215</v>
      </c>
      <c r="F61">
        <v>0.6</v>
      </c>
      <c r="G61">
        <v>59.91</v>
      </c>
    </row>
    <row r="62" spans="1:7" x14ac:dyDescent="0.25">
      <c r="A62" t="s">
        <v>302</v>
      </c>
      <c r="B62" t="str">
        <f>_xlfn.XLOOKUP(A62,[1]Municipios!$B:$B,[1]Municipios!$C:$C)</f>
        <v>Noroeste</v>
      </c>
      <c r="C62" t="str">
        <f>_xlfn.XLOOKUP(A62,[1]Municipios!$B:$B,[1]Municipios!$D:$D)</f>
        <v>Arenito-Caiuá</v>
      </c>
      <c r="D62">
        <v>2025</v>
      </c>
      <c r="E62" t="s">
        <v>234</v>
      </c>
      <c r="F62">
        <v>0.66669999999999996</v>
      </c>
      <c r="G62">
        <v>59.91</v>
      </c>
    </row>
    <row r="63" spans="1:7" x14ac:dyDescent="0.25">
      <c r="A63" t="s">
        <v>302</v>
      </c>
      <c r="B63" t="str">
        <f>_xlfn.XLOOKUP(A63,[1]Municipios!$B:$B,[1]Municipios!$C:$C)</f>
        <v>Noroeste</v>
      </c>
      <c r="C63" t="str">
        <f>_xlfn.XLOOKUP(A63,[1]Municipios!$B:$B,[1]Municipios!$D:$D)</f>
        <v>Arenito-Caiuá</v>
      </c>
      <c r="D63">
        <v>2025</v>
      </c>
      <c r="E63" t="s">
        <v>235</v>
      </c>
      <c r="F63">
        <v>0.57140000000000002</v>
      </c>
      <c r="G63">
        <v>59.91</v>
      </c>
    </row>
    <row r="64" spans="1:7" x14ac:dyDescent="0.25">
      <c r="A64" t="s">
        <v>302</v>
      </c>
      <c r="B64" t="str">
        <f>_xlfn.XLOOKUP(A64,[1]Municipios!$B:$B,[1]Municipios!$C:$C)</f>
        <v>Noroeste</v>
      </c>
      <c r="C64" t="str">
        <f>_xlfn.XLOOKUP(A64,[1]Municipios!$B:$B,[1]Municipios!$D:$D)</f>
        <v>Arenito-Caiuá</v>
      </c>
      <c r="D64">
        <v>2025</v>
      </c>
      <c r="E64" t="s">
        <v>236</v>
      </c>
      <c r="F64">
        <v>0.15390000000000001</v>
      </c>
      <c r="G64">
        <v>59.91</v>
      </c>
    </row>
    <row r="65" spans="1:7" x14ac:dyDescent="0.25">
      <c r="A65" t="s">
        <v>302</v>
      </c>
      <c r="B65" t="str">
        <f>_xlfn.XLOOKUP(A65,[1]Municipios!$B:$B,[1]Municipios!$C:$C)</f>
        <v>Noroeste</v>
      </c>
      <c r="C65" t="str">
        <f>_xlfn.XLOOKUP(A65,[1]Municipios!$B:$B,[1]Municipios!$D:$D)</f>
        <v>Arenito-Caiuá</v>
      </c>
      <c r="D65">
        <v>2025</v>
      </c>
      <c r="E65" t="s">
        <v>237</v>
      </c>
      <c r="F65">
        <v>0.5</v>
      </c>
      <c r="G65">
        <v>59.91</v>
      </c>
    </row>
    <row r="66" spans="1:7" x14ac:dyDescent="0.25">
      <c r="A66" t="s">
        <v>303</v>
      </c>
      <c r="B66" t="str">
        <f>_xlfn.XLOOKUP(A66,[1]Municipios!$B:$B,[1]Municipios!$C:$C)</f>
        <v>Noroeste</v>
      </c>
      <c r="C66" t="str">
        <f>_xlfn.XLOOKUP(A66,[1]Municipios!$B:$B,[1]Municipios!$D:$D)</f>
        <v>Arenito-Caiuá</v>
      </c>
      <c r="D66">
        <v>2025</v>
      </c>
      <c r="E66" t="s">
        <v>231</v>
      </c>
      <c r="F66">
        <v>0.88890000000000002</v>
      </c>
      <c r="G66">
        <v>81.25</v>
      </c>
    </row>
    <row r="67" spans="1:7" x14ac:dyDescent="0.25">
      <c r="A67" t="s">
        <v>303</v>
      </c>
      <c r="B67" t="str">
        <f>_xlfn.XLOOKUP(A67,[1]Municipios!$B:$B,[1]Municipios!$C:$C)</f>
        <v>Noroeste</v>
      </c>
      <c r="C67" t="str">
        <f>_xlfn.XLOOKUP(A67,[1]Municipios!$B:$B,[1]Municipios!$D:$D)</f>
        <v>Arenito-Caiuá</v>
      </c>
      <c r="D67">
        <v>2025</v>
      </c>
      <c r="E67" t="s">
        <v>232</v>
      </c>
      <c r="F67">
        <v>0.92310000000000003</v>
      </c>
      <c r="G67">
        <v>81.25</v>
      </c>
    </row>
    <row r="68" spans="1:7" x14ac:dyDescent="0.25">
      <c r="A68" t="s">
        <v>303</v>
      </c>
      <c r="B68" t="str">
        <f>_xlfn.XLOOKUP(A68,[1]Municipios!$B:$B,[1]Municipios!$C:$C)</f>
        <v>Noroeste</v>
      </c>
      <c r="C68" t="str">
        <f>_xlfn.XLOOKUP(A68,[1]Municipios!$B:$B,[1]Municipios!$D:$D)</f>
        <v>Arenito-Caiuá</v>
      </c>
      <c r="D68">
        <v>2025</v>
      </c>
      <c r="E68" t="s">
        <v>233</v>
      </c>
      <c r="F68">
        <v>0.75</v>
      </c>
      <c r="G68">
        <v>81.25</v>
      </c>
    </row>
    <row r="69" spans="1:7" x14ac:dyDescent="0.25">
      <c r="A69" t="s">
        <v>303</v>
      </c>
      <c r="B69" t="str">
        <f>_xlfn.XLOOKUP(A69,[1]Municipios!$B:$B,[1]Municipios!$C:$C)</f>
        <v>Noroeste</v>
      </c>
      <c r="C69" t="str">
        <f>_xlfn.XLOOKUP(A69,[1]Municipios!$B:$B,[1]Municipios!$D:$D)</f>
        <v>Arenito-Caiuá</v>
      </c>
      <c r="D69">
        <v>2025</v>
      </c>
      <c r="E69" t="s">
        <v>215</v>
      </c>
      <c r="F69">
        <v>1</v>
      </c>
      <c r="G69">
        <v>81.25</v>
      </c>
    </row>
    <row r="70" spans="1:7" x14ac:dyDescent="0.25">
      <c r="A70" t="s">
        <v>303</v>
      </c>
      <c r="B70" t="str">
        <f>_xlfn.XLOOKUP(A70,[1]Municipios!$B:$B,[1]Municipios!$C:$C)</f>
        <v>Noroeste</v>
      </c>
      <c r="C70" t="str">
        <f>_xlfn.XLOOKUP(A70,[1]Municipios!$B:$B,[1]Municipios!$D:$D)</f>
        <v>Arenito-Caiuá</v>
      </c>
      <c r="D70">
        <v>2025</v>
      </c>
      <c r="E70" t="s">
        <v>234</v>
      </c>
      <c r="F70">
        <v>0.55559999999999998</v>
      </c>
      <c r="G70">
        <v>81.25</v>
      </c>
    </row>
    <row r="71" spans="1:7" x14ac:dyDescent="0.25">
      <c r="A71" t="s">
        <v>303</v>
      </c>
      <c r="B71" t="str">
        <f>_xlfn.XLOOKUP(A71,[1]Municipios!$B:$B,[1]Municipios!$C:$C)</f>
        <v>Noroeste</v>
      </c>
      <c r="C71" t="str">
        <f>_xlfn.XLOOKUP(A71,[1]Municipios!$B:$B,[1]Municipios!$D:$D)</f>
        <v>Arenito-Caiuá</v>
      </c>
      <c r="D71">
        <v>2025</v>
      </c>
      <c r="E71" t="s">
        <v>235</v>
      </c>
      <c r="F71">
        <v>1</v>
      </c>
      <c r="G71">
        <v>81.25</v>
      </c>
    </row>
    <row r="72" spans="1:7" x14ac:dyDescent="0.25">
      <c r="A72" t="s">
        <v>303</v>
      </c>
      <c r="B72" t="str">
        <f>_xlfn.XLOOKUP(A72,[1]Municipios!$B:$B,[1]Municipios!$C:$C)</f>
        <v>Noroeste</v>
      </c>
      <c r="C72" t="str">
        <f>_xlfn.XLOOKUP(A72,[1]Municipios!$B:$B,[1]Municipios!$D:$D)</f>
        <v>Arenito-Caiuá</v>
      </c>
      <c r="D72">
        <v>2025</v>
      </c>
      <c r="E72" t="s">
        <v>236</v>
      </c>
      <c r="F72">
        <v>0.3846</v>
      </c>
      <c r="G72">
        <v>81.25</v>
      </c>
    </row>
    <row r="73" spans="1:7" x14ac:dyDescent="0.25">
      <c r="A73" t="s">
        <v>303</v>
      </c>
      <c r="B73" t="str">
        <f>_xlfn.XLOOKUP(A73,[1]Municipios!$B:$B,[1]Municipios!$C:$C)</f>
        <v>Noroeste</v>
      </c>
      <c r="C73" t="str">
        <f>_xlfn.XLOOKUP(A73,[1]Municipios!$B:$B,[1]Municipios!$D:$D)</f>
        <v>Arenito-Caiuá</v>
      </c>
      <c r="D73">
        <v>2025</v>
      </c>
      <c r="E73" t="s">
        <v>237</v>
      </c>
      <c r="F73">
        <v>1</v>
      </c>
      <c r="G73">
        <v>81.25</v>
      </c>
    </row>
    <row r="74" spans="1:7" x14ac:dyDescent="0.25">
      <c r="A74" t="s">
        <v>383</v>
      </c>
      <c r="B74" t="str">
        <f>_xlfn.XLOOKUP(A74,[1]Municipios!$B:$B,[1]Municipios!$C:$C)</f>
        <v>Norte</v>
      </c>
      <c r="C74" t="str">
        <f>_xlfn.XLOOKUP(A74,[1]Municipios!$B:$B,[1]Municipios!$D:$D)</f>
        <v>Vale do Paranapanema</v>
      </c>
      <c r="D74">
        <v>2025</v>
      </c>
      <c r="E74" t="s">
        <v>231</v>
      </c>
      <c r="F74">
        <v>0.88890000000000002</v>
      </c>
      <c r="G74">
        <v>86.87</v>
      </c>
    </row>
    <row r="75" spans="1:7" x14ac:dyDescent="0.25">
      <c r="A75" t="s">
        <v>383</v>
      </c>
      <c r="B75" t="str">
        <f>_xlfn.XLOOKUP(A75,[1]Municipios!$B:$B,[1]Municipios!$C:$C)</f>
        <v>Norte</v>
      </c>
      <c r="C75" t="str">
        <f>_xlfn.XLOOKUP(A75,[1]Municipios!$B:$B,[1]Municipios!$D:$D)</f>
        <v>Vale do Paranapanema</v>
      </c>
      <c r="D75">
        <v>2025</v>
      </c>
      <c r="E75" t="s">
        <v>232</v>
      </c>
      <c r="F75">
        <v>0.92310000000000003</v>
      </c>
      <c r="G75">
        <v>86.87</v>
      </c>
    </row>
    <row r="76" spans="1:7" x14ac:dyDescent="0.25">
      <c r="A76" t="s">
        <v>383</v>
      </c>
      <c r="B76" t="str">
        <f>_xlfn.XLOOKUP(A76,[1]Municipios!$B:$B,[1]Municipios!$C:$C)</f>
        <v>Norte</v>
      </c>
      <c r="C76" t="str">
        <f>_xlfn.XLOOKUP(A76,[1]Municipios!$B:$B,[1]Municipios!$D:$D)</f>
        <v>Vale do Paranapanema</v>
      </c>
      <c r="D76">
        <v>2025</v>
      </c>
      <c r="E76" t="s">
        <v>233</v>
      </c>
      <c r="F76">
        <v>0.75</v>
      </c>
      <c r="G76">
        <v>86.87</v>
      </c>
    </row>
    <row r="77" spans="1:7" x14ac:dyDescent="0.25">
      <c r="A77" t="s">
        <v>383</v>
      </c>
      <c r="B77" t="str">
        <f>_xlfn.XLOOKUP(A77,[1]Municipios!$B:$B,[1]Municipios!$C:$C)</f>
        <v>Norte</v>
      </c>
      <c r="C77" t="str">
        <f>_xlfn.XLOOKUP(A77,[1]Municipios!$B:$B,[1]Municipios!$D:$D)</f>
        <v>Vale do Paranapanema</v>
      </c>
      <c r="D77">
        <v>2025</v>
      </c>
      <c r="E77" t="s">
        <v>215</v>
      </c>
      <c r="F77">
        <v>1</v>
      </c>
      <c r="G77">
        <v>86.87</v>
      </c>
    </row>
    <row r="78" spans="1:7" x14ac:dyDescent="0.25">
      <c r="A78" t="s">
        <v>383</v>
      </c>
      <c r="B78" t="str">
        <f>_xlfn.XLOOKUP(A78,[1]Municipios!$B:$B,[1]Municipios!$C:$C)</f>
        <v>Norte</v>
      </c>
      <c r="C78" t="str">
        <f>_xlfn.XLOOKUP(A78,[1]Municipios!$B:$B,[1]Municipios!$D:$D)</f>
        <v>Vale do Paranapanema</v>
      </c>
      <c r="D78">
        <v>2025</v>
      </c>
      <c r="E78" t="s">
        <v>234</v>
      </c>
      <c r="F78">
        <v>0.77780000000000005</v>
      </c>
      <c r="G78">
        <v>86.87</v>
      </c>
    </row>
    <row r="79" spans="1:7" x14ac:dyDescent="0.25">
      <c r="A79" t="s">
        <v>383</v>
      </c>
      <c r="B79" t="str">
        <f>_xlfn.XLOOKUP(A79,[1]Municipios!$B:$B,[1]Municipios!$C:$C)</f>
        <v>Norte</v>
      </c>
      <c r="C79" t="str">
        <f>_xlfn.XLOOKUP(A79,[1]Municipios!$B:$B,[1]Municipios!$D:$D)</f>
        <v>Vale do Paranapanema</v>
      </c>
      <c r="D79">
        <v>2025</v>
      </c>
      <c r="E79" t="s">
        <v>235</v>
      </c>
      <c r="F79">
        <v>1</v>
      </c>
      <c r="G79">
        <v>86.87</v>
      </c>
    </row>
    <row r="80" spans="1:7" x14ac:dyDescent="0.25">
      <c r="A80" t="s">
        <v>383</v>
      </c>
      <c r="B80" t="str">
        <f>_xlfn.XLOOKUP(A80,[1]Municipios!$B:$B,[1]Municipios!$C:$C)</f>
        <v>Norte</v>
      </c>
      <c r="C80" t="str">
        <f>_xlfn.XLOOKUP(A80,[1]Municipios!$B:$B,[1]Municipios!$D:$D)</f>
        <v>Vale do Paranapanema</v>
      </c>
      <c r="D80">
        <v>2025</v>
      </c>
      <c r="E80" t="s">
        <v>236</v>
      </c>
      <c r="F80">
        <v>0.53859999999999997</v>
      </c>
      <c r="G80">
        <v>86.87</v>
      </c>
    </row>
    <row r="81" spans="1:7" x14ac:dyDescent="0.25">
      <c r="A81" t="s">
        <v>383</v>
      </c>
      <c r="B81" t="str">
        <f>_xlfn.XLOOKUP(A81,[1]Municipios!$B:$B,[1]Municipios!$C:$C)</f>
        <v>Norte</v>
      </c>
      <c r="C81" t="str">
        <f>_xlfn.XLOOKUP(A81,[1]Municipios!$B:$B,[1]Municipios!$D:$D)</f>
        <v>Vale do Paranapanema</v>
      </c>
      <c r="D81">
        <v>2025</v>
      </c>
      <c r="E81" t="s">
        <v>237</v>
      </c>
      <c r="F81">
        <v>1</v>
      </c>
      <c r="G81">
        <v>86.87</v>
      </c>
    </row>
    <row r="82" spans="1:7" x14ac:dyDescent="0.25">
      <c r="A82" t="s">
        <v>543</v>
      </c>
      <c r="B82" t="str">
        <f>_xlfn.XLOOKUP(A82,[1]Municipios!$B:$B,[1]Municipios!$C:$C)</f>
        <v>Noroeste</v>
      </c>
      <c r="C82" t="str">
        <f>_xlfn.XLOOKUP(A82,[1]Municipios!$B:$B,[1]Municipios!$D:$D)</f>
        <v>Costa Noroeste</v>
      </c>
      <c r="D82">
        <v>2025</v>
      </c>
      <c r="E82" t="s">
        <v>231</v>
      </c>
      <c r="F82">
        <v>0</v>
      </c>
      <c r="G82">
        <v>0</v>
      </c>
    </row>
    <row r="83" spans="1:7" x14ac:dyDescent="0.25">
      <c r="A83" t="s">
        <v>543</v>
      </c>
      <c r="B83" t="str">
        <f>_xlfn.XLOOKUP(A83,[1]Municipios!$B:$B,[1]Municipios!$C:$C)</f>
        <v>Noroeste</v>
      </c>
      <c r="C83" t="str">
        <f>_xlfn.XLOOKUP(A83,[1]Municipios!$B:$B,[1]Municipios!$D:$D)</f>
        <v>Costa Noroeste</v>
      </c>
      <c r="D83">
        <v>2025</v>
      </c>
      <c r="E83" t="s">
        <v>232</v>
      </c>
      <c r="F83">
        <v>0.23069999999999999</v>
      </c>
      <c r="G83">
        <v>0</v>
      </c>
    </row>
    <row r="84" spans="1:7" x14ac:dyDescent="0.25">
      <c r="A84" t="s">
        <v>543</v>
      </c>
      <c r="B84" t="str">
        <f>_xlfn.XLOOKUP(A84,[1]Municipios!$B:$B,[1]Municipios!$C:$C)</f>
        <v>Noroeste</v>
      </c>
      <c r="C84" t="str">
        <f>_xlfn.XLOOKUP(A84,[1]Municipios!$B:$B,[1]Municipios!$D:$D)</f>
        <v>Costa Noroeste</v>
      </c>
      <c r="D84">
        <v>2025</v>
      </c>
      <c r="E84" t="s">
        <v>233</v>
      </c>
      <c r="F84">
        <v>0.125</v>
      </c>
      <c r="G84">
        <v>0</v>
      </c>
    </row>
    <row r="85" spans="1:7" x14ac:dyDescent="0.25">
      <c r="A85" t="s">
        <v>543</v>
      </c>
      <c r="B85" t="str">
        <f>_xlfn.XLOOKUP(A85,[1]Municipios!$B:$B,[1]Municipios!$C:$C)</f>
        <v>Noroeste</v>
      </c>
      <c r="C85" t="str">
        <f>_xlfn.XLOOKUP(A85,[1]Municipios!$B:$B,[1]Municipios!$D:$D)</f>
        <v>Costa Noroeste</v>
      </c>
      <c r="D85">
        <v>2025</v>
      </c>
      <c r="E85" t="s">
        <v>215</v>
      </c>
      <c r="F85">
        <v>0</v>
      </c>
      <c r="G85">
        <v>0</v>
      </c>
    </row>
    <row r="86" spans="1:7" x14ac:dyDescent="0.25">
      <c r="A86" t="s">
        <v>543</v>
      </c>
      <c r="B86" t="str">
        <f>_xlfn.XLOOKUP(A86,[1]Municipios!$B:$B,[1]Municipios!$C:$C)</f>
        <v>Noroeste</v>
      </c>
      <c r="C86" t="str">
        <f>_xlfn.XLOOKUP(A86,[1]Municipios!$B:$B,[1]Municipios!$D:$D)</f>
        <v>Costa Noroeste</v>
      </c>
      <c r="D86">
        <v>2025</v>
      </c>
      <c r="E86" t="s">
        <v>234</v>
      </c>
      <c r="F86">
        <v>0</v>
      </c>
      <c r="G86">
        <v>0</v>
      </c>
    </row>
    <row r="87" spans="1:7" x14ac:dyDescent="0.25">
      <c r="A87" t="s">
        <v>543</v>
      </c>
      <c r="B87" t="str">
        <f>_xlfn.XLOOKUP(A87,[1]Municipios!$B:$B,[1]Municipios!$C:$C)</f>
        <v>Noroeste</v>
      </c>
      <c r="C87" t="str">
        <f>_xlfn.XLOOKUP(A87,[1]Municipios!$B:$B,[1]Municipios!$D:$D)</f>
        <v>Costa Noroeste</v>
      </c>
      <c r="D87">
        <v>2025</v>
      </c>
      <c r="E87" t="s">
        <v>235</v>
      </c>
      <c r="F87">
        <v>0</v>
      </c>
      <c r="G87">
        <v>0</v>
      </c>
    </row>
    <row r="88" spans="1:7" x14ac:dyDescent="0.25">
      <c r="A88" t="s">
        <v>543</v>
      </c>
      <c r="B88" t="str">
        <f>_xlfn.XLOOKUP(A88,[1]Municipios!$B:$B,[1]Municipios!$C:$C)</f>
        <v>Noroeste</v>
      </c>
      <c r="C88" t="str">
        <f>_xlfn.XLOOKUP(A88,[1]Municipios!$B:$B,[1]Municipios!$D:$D)</f>
        <v>Costa Noroeste</v>
      </c>
      <c r="D88">
        <v>2025</v>
      </c>
      <c r="E88" t="s">
        <v>236</v>
      </c>
      <c r="F88">
        <v>0</v>
      </c>
      <c r="G88">
        <v>0</v>
      </c>
    </row>
    <row r="89" spans="1:7" x14ac:dyDescent="0.25">
      <c r="A89" t="s">
        <v>543</v>
      </c>
      <c r="B89" t="str">
        <f>_xlfn.XLOOKUP(A89,[1]Municipios!$B:$B,[1]Municipios!$C:$C)</f>
        <v>Noroeste</v>
      </c>
      <c r="C89" t="str">
        <f>_xlfn.XLOOKUP(A89,[1]Municipios!$B:$B,[1]Municipios!$D:$D)</f>
        <v>Costa Noroeste</v>
      </c>
      <c r="D89">
        <v>2025</v>
      </c>
      <c r="E89" t="s">
        <v>237</v>
      </c>
      <c r="F89">
        <v>0</v>
      </c>
      <c r="G89">
        <v>0</v>
      </c>
    </row>
    <row r="90" spans="1:7" x14ac:dyDescent="0.25">
      <c r="A90" t="s">
        <v>337</v>
      </c>
      <c r="B90" t="str">
        <f>_xlfn.XLOOKUP(A90,[1]Municipios!$B:$B,[1]Municipios!$C:$C)</f>
        <v>Sul</v>
      </c>
      <c r="C90" t="str">
        <f>_xlfn.XLOOKUP(A90,[1]Municipios!$B:$B,[1]Municipios!$D:$D)</f>
        <v>Sudoeste La Frontera</v>
      </c>
      <c r="D90">
        <v>2025</v>
      </c>
      <c r="E90" t="s">
        <v>231</v>
      </c>
      <c r="F90">
        <v>0.55559999999999998</v>
      </c>
      <c r="G90">
        <v>80.08</v>
      </c>
    </row>
    <row r="91" spans="1:7" x14ac:dyDescent="0.25">
      <c r="A91" t="s">
        <v>337</v>
      </c>
      <c r="B91" t="str">
        <f>_xlfn.XLOOKUP(A91,[1]Municipios!$B:$B,[1]Municipios!$C:$C)</f>
        <v>Sul</v>
      </c>
      <c r="C91" t="str">
        <f>_xlfn.XLOOKUP(A91,[1]Municipios!$B:$B,[1]Municipios!$D:$D)</f>
        <v>Sudoeste La Frontera</v>
      </c>
      <c r="D91">
        <v>2025</v>
      </c>
      <c r="E91" t="s">
        <v>232</v>
      </c>
      <c r="F91">
        <v>0.84619999999999995</v>
      </c>
      <c r="G91">
        <v>80.08</v>
      </c>
    </row>
    <row r="92" spans="1:7" x14ac:dyDescent="0.25">
      <c r="A92" t="s">
        <v>337</v>
      </c>
      <c r="B92" t="str">
        <f>_xlfn.XLOOKUP(A92,[1]Municipios!$B:$B,[1]Municipios!$C:$C)</f>
        <v>Sul</v>
      </c>
      <c r="C92" t="str">
        <f>_xlfn.XLOOKUP(A92,[1]Municipios!$B:$B,[1]Municipios!$D:$D)</f>
        <v>Sudoeste La Frontera</v>
      </c>
      <c r="D92">
        <v>2025</v>
      </c>
      <c r="E92" t="s">
        <v>233</v>
      </c>
      <c r="F92">
        <v>1</v>
      </c>
      <c r="G92">
        <v>80.08</v>
      </c>
    </row>
    <row r="93" spans="1:7" x14ac:dyDescent="0.25">
      <c r="A93" t="s">
        <v>337</v>
      </c>
      <c r="B93" t="str">
        <f>_xlfn.XLOOKUP(A93,[1]Municipios!$B:$B,[1]Municipios!$C:$C)</f>
        <v>Sul</v>
      </c>
      <c r="C93" t="str">
        <f>_xlfn.XLOOKUP(A93,[1]Municipios!$B:$B,[1]Municipios!$D:$D)</f>
        <v>Sudoeste La Frontera</v>
      </c>
      <c r="D93">
        <v>2025</v>
      </c>
      <c r="E93" t="s">
        <v>215</v>
      </c>
      <c r="F93">
        <v>1</v>
      </c>
      <c r="G93">
        <v>80.08</v>
      </c>
    </row>
    <row r="94" spans="1:7" x14ac:dyDescent="0.25">
      <c r="A94" t="s">
        <v>337</v>
      </c>
      <c r="B94" t="str">
        <f>_xlfn.XLOOKUP(A94,[1]Municipios!$B:$B,[1]Municipios!$C:$C)</f>
        <v>Sul</v>
      </c>
      <c r="C94" t="str">
        <f>_xlfn.XLOOKUP(A94,[1]Municipios!$B:$B,[1]Municipios!$D:$D)</f>
        <v>Sudoeste La Frontera</v>
      </c>
      <c r="D94">
        <v>2025</v>
      </c>
      <c r="E94" t="s">
        <v>234</v>
      </c>
      <c r="F94">
        <v>0.66669999999999996</v>
      </c>
      <c r="G94">
        <v>80.08</v>
      </c>
    </row>
    <row r="95" spans="1:7" x14ac:dyDescent="0.25">
      <c r="A95" t="s">
        <v>337</v>
      </c>
      <c r="B95" t="str">
        <f>_xlfn.XLOOKUP(A95,[1]Municipios!$B:$B,[1]Municipios!$C:$C)</f>
        <v>Sul</v>
      </c>
      <c r="C95" t="str">
        <f>_xlfn.XLOOKUP(A95,[1]Municipios!$B:$B,[1]Municipios!$D:$D)</f>
        <v>Sudoeste La Frontera</v>
      </c>
      <c r="D95">
        <v>2025</v>
      </c>
      <c r="E95" t="s">
        <v>235</v>
      </c>
      <c r="F95">
        <v>1</v>
      </c>
      <c r="G95">
        <v>80.08</v>
      </c>
    </row>
    <row r="96" spans="1:7" x14ac:dyDescent="0.25">
      <c r="A96" t="s">
        <v>337</v>
      </c>
      <c r="B96" t="str">
        <f>_xlfn.XLOOKUP(A96,[1]Municipios!$B:$B,[1]Municipios!$C:$C)</f>
        <v>Sul</v>
      </c>
      <c r="C96" t="str">
        <f>_xlfn.XLOOKUP(A96,[1]Municipios!$B:$B,[1]Municipios!$D:$D)</f>
        <v>Sudoeste La Frontera</v>
      </c>
      <c r="D96">
        <v>2025</v>
      </c>
      <c r="E96" t="s">
        <v>236</v>
      </c>
      <c r="F96">
        <v>0.4617</v>
      </c>
      <c r="G96">
        <v>80.08</v>
      </c>
    </row>
    <row r="97" spans="1:7" x14ac:dyDescent="0.25">
      <c r="A97" t="s">
        <v>337</v>
      </c>
      <c r="B97" t="str">
        <f>_xlfn.XLOOKUP(A97,[1]Municipios!$B:$B,[1]Municipios!$C:$C)</f>
        <v>Sul</v>
      </c>
      <c r="C97" t="str">
        <f>_xlfn.XLOOKUP(A97,[1]Municipios!$B:$B,[1]Municipios!$D:$D)</f>
        <v>Sudoeste La Frontera</v>
      </c>
      <c r="D97">
        <v>2025</v>
      </c>
      <c r="E97" t="s">
        <v>237</v>
      </c>
      <c r="F97">
        <v>1</v>
      </c>
      <c r="G97">
        <v>80.08</v>
      </c>
    </row>
    <row r="98" spans="1:7" x14ac:dyDescent="0.25">
      <c r="A98" t="s">
        <v>415</v>
      </c>
      <c r="B98" t="str">
        <f>_xlfn.XLOOKUP(A98,[1]Municipios!$B:$B,[1]Municipios!$C:$C)</f>
        <v>Oeste</v>
      </c>
      <c r="C98" t="str">
        <f>_xlfn.XLOOKUP(A98,[1]Municipios!$B:$B,[1]Municipios!$D:$D)</f>
        <v>Oeste Integrado</v>
      </c>
      <c r="D98">
        <v>2025</v>
      </c>
      <c r="E98" t="s">
        <v>231</v>
      </c>
      <c r="F98">
        <v>0.55549999999999988</v>
      </c>
      <c r="G98">
        <v>53.34</v>
      </c>
    </row>
    <row r="99" spans="1:7" x14ac:dyDescent="0.25">
      <c r="A99" t="s">
        <v>415</v>
      </c>
      <c r="B99" t="str">
        <f>_xlfn.XLOOKUP(A99,[1]Municipios!$B:$B,[1]Municipios!$C:$C)</f>
        <v>Oeste</v>
      </c>
      <c r="C99" t="str">
        <f>_xlfn.XLOOKUP(A99,[1]Municipios!$B:$B,[1]Municipios!$D:$D)</f>
        <v>Oeste Integrado</v>
      </c>
      <c r="D99">
        <v>2025</v>
      </c>
      <c r="E99" t="s">
        <v>232</v>
      </c>
      <c r="F99">
        <v>0.30760000000000004</v>
      </c>
      <c r="G99">
        <v>53.34</v>
      </c>
    </row>
    <row r="100" spans="1:7" x14ac:dyDescent="0.25">
      <c r="A100" t="s">
        <v>415</v>
      </c>
      <c r="B100" t="str">
        <f>_xlfn.XLOOKUP(A100,[1]Municipios!$B:$B,[1]Municipios!$C:$C)</f>
        <v>Oeste</v>
      </c>
      <c r="C100" t="str">
        <f>_xlfn.XLOOKUP(A100,[1]Municipios!$B:$B,[1]Municipios!$D:$D)</f>
        <v>Oeste Integrado</v>
      </c>
      <c r="D100">
        <v>2025</v>
      </c>
      <c r="E100" t="s">
        <v>233</v>
      </c>
      <c r="F100">
        <v>0.75</v>
      </c>
      <c r="G100">
        <v>53.34</v>
      </c>
    </row>
    <row r="101" spans="1:7" x14ac:dyDescent="0.25">
      <c r="A101" t="s">
        <v>415</v>
      </c>
      <c r="B101" t="str">
        <f>_xlfn.XLOOKUP(A101,[1]Municipios!$B:$B,[1]Municipios!$C:$C)</f>
        <v>Oeste</v>
      </c>
      <c r="C101" t="str">
        <f>_xlfn.XLOOKUP(A101,[1]Municipios!$B:$B,[1]Municipios!$D:$D)</f>
        <v>Oeste Integrado</v>
      </c>
      <c r="D101">
        <v>2025</v>
      </c>
      <c r="E101" t="s">
        <v>215</v>
      </c>
      <c r="F101">
        <v>0.9</v>
      </c>
      <c r="G101">
        <v>53.34</v>
      </c>
    </row>
    <row r="102" spans="1:7" x14ac:dyDescent="0.25">
      <c r="A102" t="s">
        <v>415</v>
      </c>
      <c r="B102" t="str">
        <f>_xlfn.XLOOKUP(A102,[1]Municipios!$B:$B,[1]Municipios!$C:$C)</f>
        <v>Oeste</v>
      </c>
      <c r="C102" t="str">
        <f>_xlfn.XLOOKUP(A102,[1]Municipios!$B:$B,[1]Municipios!$D:$D)</f>
        <v>Oeste Integrado</v>
      </c>
      <c r="D102">
        <v>2025</v>
      </c>
      <c r="E102" t="s">
        <v>234</v>
      </c>
      <c r="F102">
        <v>0.55549999999999999</v>
      </c>
      <c r="G102">
        <v>53.34</v>
      </c>
    </row>
    <row r="103" spans="1:7" x14ac:dyDescent="0.25">
      <c r="A103" t="s">
        <v>415</v>
      </c>
      <c r="B103" t="str">
        <f>_xlfn.XLOOKUP(A103,[1]Municipios!$B:$B,[1]Municipios!$C:$C)</f>
        <v>Oeste</v>
      </c>
      <c r="C103" t="str">
        <f>_xlfn.XLOOKUP(A103,[1]Municipios!$B:$B,[1]Municipios!$D:$D)</f>
        <v>Oeste Integrado</v>
      </c>
      <c r="D103">
        <v>2025</v>
      </c>
      <c r="E103" t="s">
        <v>235</v>
      </c>
      <c r="F103">
        <v>0.57140000000000002</v>
      </c>
      <c r="G103">
        <v>53.34</v>
      </c>
    </row>
    <row r="104" spans="1:7" x14ac:dyDescent="0.25">
      <c r="A104" t="s">
        <v>415</v>
      </c>
      <c r="B104" t="str">
        <f>_xlfn.XLOOKUP(A104,[1]Municipios!$B:$B,[1]Municipios!$C:$C)</f>
        <v>Oeste</v>
      </c>
      <c r="C104" t="str">
        <f>_xlfn.XLOOKUP(A104,[1]Municipios!$B:$B,[1]Municipios!$D:$D)</f>
        <v>Oeste Integrado</v>
      </c>
      <c r="D104">
        <v>2025</v>
      </c>
      <c r="E104" t="s">
        <v>236</v>
      </c>
      <c r="F104">
        <v>0.30770000000000003</v>
      </c>
      <c r="G104">
        <v>53.34</v>
      </c>
    </row>
    <row r="105" spans="1:7" x14ac:dyDescent="0.25">
      <c r="A105" t="s">
        <v>415</v>
      </c>
      <c r="B105" t="str">
        <f>_xlfn.XLOOKUP(A105,[1]Municipios!$B:$B,[1]Municipios!$C:$C)</f>
        <v>Oeste</v>
      </c>
      <c r="C105" t="str">
        <f>_xlfn.XLOOKUP(A105,[1]Municipios!$B:$B,[1]Municipios!$D:$D)</f>
        <v>Oeste Integrado</v>
      </c>
      <c r="D105">
        <v>2025</v>
      </c>
      <c r="E105" t="s">
        <v>237</v>
      </c>
      <c r="F105">
        <v>0.5</v>
      </c>
      <c r="G105">
        <v>53.34</v>
      </c>
    </row>
    <row r="106" spans="1:7" x14ac:dyDescent="0.25">
      <c r="A106" t="s">
        <v>288</v>
      </c>
      <c r="B106" t="str">
        <f>_xlfn.XLOOKUP(A106,[1]Municipios!$B:$B,[1]Municipios!$C:$C)</f>
        <v>Norte</v>
      </c>
      <c r="C106" t="str">
        <f>_xlfn.XLOOKUP(A106,[1]Municipios!$B:$B,[1]Municipios!$D:$D)</f>
        <v>Norte Pioneiro</v>
      </c>
      <c r="D106">
        <v>2025</v>
      </c>
      <c r="E106" t="s">
        <v>231</v>
      </c>
      <c r="F106">
        <v>1</v>
      </c>
      <c r="G106">
        <v>85.4</v>
      </c>
    </row>
    <row r="107" spans="1:7" x14ac:dyDescent="0.25">
      <c r="A107" t="s">
        <v>288</v>
      </c>
      <c r="B107" t="str">
        <f>_xlfn.XLOOKUP(A107,[1]Municipios!$B:$B,[1]Municipios!$C:$C)</f>
        <v>Norte</v>
      </c>
      <c r="C107" t="str">
        <f>_xlfn.XLOOKUP(A107,[1]Municipios!$B:$B,[1]Municipios!$D:$D)</f>
        <v>Norte Pioneiro</v>
      </c>
      <c r="D107">
        <v>2025</v>
      </c>
      <c r="E107" t="s">
        <v>232</v>
      </c>
      <c r="F107">
        <v>0.76929999999999998</v>
      </c>
      <c r="G107">
        <v>85.4</v>
      </c>
    </row>
    <row r="108" spans="1:7" x14ac:dyDescent="0.25">
      <c r="A108" t="s">
        <v>288</v>
      </c>
      <c r="B108" t="str">
        <f>_xlfn.XLOOKUP(A108,[1]Municipios!$B:$B,[1]Municipios!$C:$C)</f>
        <v>Norte</v>
      </c>
      <c r="C108" t="str">
        <f>_xlfn.XLOOKUP(A108,[1]Municipios!$B:$B,[1]Municipios!$D:$D)</f>
        <v>Norte Pioneiro</v>
      </c>
      <c r="D108">
        <v>2025</v>
      </c>
      <c r="E108" t="s">
        <v>233</v>
      </c>
      <c r="F108">
        <v>0.875</v>
      </c>
      <c r="G108">
        <v>85.4</v>
      </c>
    </row>
    <row r="109" spans="1:7" x14ac:dyDescent="0.25">
      <c r="A109" t="s">
        <v>288</v>
      </c>
      <c r="B109" t="str">
        <f>_xlfn.XLOOKUP(A109,[1]Municipios!$B:$B,[1]Municipios!$C:$C)</f>
        <v>Norte</v>
      </c>
      <c r="C109" t="str">
        <f>_xlfn.XLOOKUP(A109,[1]Municipios!$B:$B,[1]Municipios!$D:$D)</f>
        <v>Norte Pioneiro</v>
      </c>
      <c r="D109">
        <v>2025</v>
      </c>
      <c r="E109" t="s">
        <v>215</v>
      </c>
      <c r="F109">
        <v>1</v>
      </c>
      <c r="G109">
        <v>85.4</v>
      </c>
    </row>
    <row r="110" spans="1:7" x14ac:dyDescent="0.25">
      <c r="A110" t="s">
        <v>288</v>
      </c>
      <c r="B110" t="str">
        <f>_xlfn.XLOOKUP(A110,[1]Municipios!$B:$B,[1]Municipios!$C:$C)</f>
        <v>Norte</v>
      </c>
      <c r="C110" t="str">
        <f>_xlfn.XLOOKUP(A110,[1]Municipios!$B:$B,[1]Municipios!$D:$D)</f>
        <v>Norte Pioneiro</v>
      </c>
      <c r="D110">
        <v>2025</v>
      </c>
      <c r="E110" t="s">
        <v>234</v>
      </c>
      <c r="F110">
        <v>0.66659999999999997</v>
      </c>
      <c r="G110">
        <v>85.4</v>
      </c>
    </row>
    <row r="111" spans="1:7" x14ac:dyDescent="0.25">
      <c r="A111" t="s">
        <v>288</v>
      </c>
      <c r="B111" t="str">
        <f>_xlfn.XLOOKUP(A111,[1]Municipios!$B:$B,[1]Municipios!$C:$C)</f>
        <v>Norte</v>
      </c>
      <c r="C111" t="str">
        <f>_xlfn.XLOOKUP(A111,[1]Municipios!$B:$B,[1]Municipios!$D:$D)</f>
        <v>Norte Pioneiro</v>
      </c>
      <c r="D111">
        <v>2025</v>
      </c>
      <c r="E111" t="s">
        <v>235</v>
      </c>
      <c r="F111">
        <v>1</v>
      </c>
      <c r="G111">
        <v>85.4</v>
      </c>
    </row>
    <row r="112" spans="1:7" x14ac:dyDescent="0.25">
      <c r="A112" t="s">
        <v>288</v>
      </c>
      <c r="B112" t="str">
        <f>_xlfn.XLOOKUP(A112,[1]Municipios!$B:$B,[1]Municipios!$C:$C)</f>
        <v>Norte</v>
      </c>
      <c r="C112" t="str">
        <f>_xlfn.XLOOKUP(A112,[1]Municipios!$B:$B,[1]Municipios!$D:$D)</f>
        <v>Norte Pioneiro</v>
      </c>
      <c r="D112">
        <v>2025</v>
      </c>
      <c r="E112" t="s">
        <v>236</v>
      </c>
      <c r="F112">
        <v>0.61549999999999994</v>
      </c>
      <c r="G112">
        <v>85.4</v>
      </c>
    </row>
    <row r="113" spans="1:7" x14ac:dyDescent="0.25">
      <c r="A113" t="s">
        <v>288</v>
      </c>
      <c r="B113" t="str">
        <f>_xlfn.XLOOKUP(A113,[1]Municipios!$B:$B,[1]Municipios!$C:$C)</f>
        <v>Norte</v>
      </c>
      <c r="C113" t="str">
        <f>_xlfn.XLOOKUP(A113,[1]Municipios!$B:$B,[1]Municipios!$D:$D)</f>
        <v>Norte Pioneiro</v>
      </c>
      <c r="D113">
        <v>2025</v>
      </c>
      <c r="E113" t="s">
        <v>237</v>
      </c>
      <c r="F113">
        <v>1</v>
      </c>
      <c r="G113">
        <v>85.4</v>
      </c>
    </row>
    <row r="114" spans="1:7" x14ac:dyDescent="0.25">
      <c r="A114" t="s">
        <v>363</v>
      </c>
      <c r="B114" t="str">
        <f>_xlfn.XLOOKUP(A114,[1]Municipios!$B:$B,[1]Municipios!$C:$C)</f>
        <v>Noroeste</v>
      </c>
      <c r="C114" t="str">
        <f>_xlfn.XLOOKUP(A114,[1]Municipios!$B:$B,[1]Municipios!$D:$D)</f>
        <v>Terra Roxa</v>
      </c>
      <c r="D114">
        <v>2025</v>
      </c>
      <c r="E114" t="s">
        <v>231</v>
      </c>
      <c r="F114">
        <v>0.66669999999999996</v>
      </c>
      <c r="G114">
        <v>37.020000000000003</v>
      </c>
    </row>
    <row r="115" spans="1:7" x14ac:dyDescent="0.25">
      <c r="A115" t="s">
        <v>363</v>
      </c>
      <c r="B115" t="str">
        <f>_xlfn.XLOOKUP(A115,[1]Municipios!$B:$B,[1]Municipios!$C:$C)</f>
        <v>Noroeste</v>
      </c>
      <c r="C115" t="str">
        <f>_xlfn.XLOOKUP(A115,[1]Municipios!$B:$B,[1]Municipios!$D:$D)</f>
        <v>Terra Roxa</v>
      </c>
      <c r="D115">
        <v>2025</v>
      </c>
      <c r="E115" t="s">
        <v>232</v>
      </c>
      <c r="F115">
        <v>0.53849999999999998</v>
      </c>
      <c r="G115">
        <v>37.020000000000003</v>
      </c>
    </row>
    <row r="116" spans="1:7" x14ac:dyDescent="0.25">
      <c r="A116" t="s">
        <v>363</v>
      </c>
      <c r="B116" t="str">
        <f>_xlfn.XLOOKUP(A116,[1]Municipios!$B:$B,[1]Municipios!$C:$C)</f>
        <v>Noroeste</v>
      </c>
      <c r="C116" t="str">
        <f>_xlfn.XLOOKUP(A116,[1]Municipios!$B:$B,[1]Municipios!$D:$D)</f>
        <v>Terra Roxa</v>
      </c>
      <c r="D116">
        <v>2025</v>
      </c>
      <c r="E116" t="s">
        <v>233</v>
      </c>
      <c r="F116">
        <v>0.375</v>
      </c>
      <c r="G116">
        <v>37.020000000000003</v>
      </c>
    </row>
    <row r="117" spans="1:7" x14ac:dyDescent="0.25">
      <c r="A117" t="s">
        <v>363</v>
      </c>
      <c r="B117" t="str">
        <f>_xlfn.XLOOKUP(A117,[1]Municipios!$B:$B,[1]Municipios!$C:$C)</f>
        <v>Noroeste</v>
      </c>
      <c r="C117" t="str">
        <f>_xlfn.XLOOKUP(A117,[1]Municipios!$B:$B,[1]Municipios!$D:$D)</f>
        <v>Terra Roxa</v>
      </c>
      <c r="D117">
        <v>2025</v>
      </c>
      <c r="E117" t="s">
        <v>215</v>
      </c>
      <c r="F117">
        <v>0.39999999999999997</v>
      </c>
      <c r="G117">
        <v>37.020000000000003</v>
      </c>
    </row>
    <row r="118" spans="1:7" x14ac:dyDescent="0.25">
      <c r="A118" t="s">
        <v>363</v>
      </c>
      <c r="B118" t="str">
        <f>_xlfn.XLOOKUP(A118,[1]Municipios!$B:$B,[1]Municipios!$C:$C)</f>
        <v>Noroeste</v>
      </c>
      <c r="C118" t="str">
        <f>_xlfn.XLOOKUP(A118,[1]Municipios!$B:$B,[1]Municipios!$D:$D)</f>
        <v>Terra Roxa</v>
      </c>
      <c r="D118">
        <v>2025</v>
      </c>
      <c r="E118" t="s">
        <v>234</v>
      </c>
      <c r="F118">
        <v>0.55549999999999999</v>
      </c>
      <c r="G118">
        <v>37.020000000000003</v>
      </c>
    </row>
    <row r="119" spans="1:7" x14ac:dyDescent="0.25">
      <c r="A119" t="s">
        <v>363</v>
      </c>
      <c r="B119" t="str">
        <f>_xlfn.XLOOKUP(A119,[1]Municipios!$B:$B,[1]Municipios!$C:$C)</f>
        <v>Noroeste</v>
      </c>
      <c r="C119" t="str">
        <f>_xlfn.XLOOKUP(A119,[1]Municipios!$B:$B,[1]Municipios!$D:$D)</f>
        <v>Terra Roxa</v>
      </c>
      <c r="D119">
        <v>2025</v>
      </c>
      <c r="E119" t="s">
        <v>235</v>
      </c>
      <c r="F119">
        <v>0.28570000000000001</v>
      </c>
      <c r="G119">
        <v>37.020000000000003</v>
      </c>
    </row>
    <row r="120" spans="1:7" x14ac:dyDescent="0.25">
      <c r="A120" t="s">
        <v>363</v>
      </c>
      <c r="B120" t="str">
        <f>_xlfn.XLOOKUP(A120,[1]Municipios!$B:$B,[1]Municipios!$C:$C)</f>
        <v>Noroeste</v>
      </c>
      <c r="C120" t="str">
        <f>_xlfn.XLOOKUP(A120,[1]Municipios!$B:$B,[1]Municipios!$D:$D)</f>
        <v>Terra Roxa</v>
      </c>
      <c r="D120">
        <v>2025</v>
      </c>
      <c r="E120" t="s">
        <v>236</v>
      </c>
      <c r="F120">
        <v>0</v>
      </c>
      <c r="G120">
        <v>37.020000000000003</v>
      </c>
    </row>
    <row r="121" spans="1:7" x14ac:dyDescent="0.25">
      <c r="A121" t="s">
        <v>363</v>
      </c>
      <c r="B121" t="str">
        <f>_xlfn.XLOOKUP(A121,[1]Municipios!$B:$B,[1]Municipios!$C:$C)</f>
        <v>Noroeste</v>
      </c>
      <c r="C121" t="str">
        <f>_xlfn.XLOOKUP(A121,[1]Municipios!$B:$B,[1]Municipios!$D:$D)</f>
        <v>Terra Roxa</v>
      </c>
      <c r="D121">
        <v>2025</v>
      </c>
      <c r="E121" t="s">
        <v>237</v>
      </c>
      <c r="F121">
        <v>0</v>
      </c>
      <c r="G121">
        <v>37.020000000000003</v>
      </c>
    </row>
    <row r="122" spans="1:7" x14ac:dyDescent="0.25">
      <c r="A122" t="s">
        <v>318</v>
      </c>
      <c r="B122" t="str">
        <f>_xlfn.XLOOKUP(A122,[1]Municipios!$B:$B,[1]Municipios!$C:$C)</f>
        <v>Leste</v>
      </c>
      <c r="C122" t="str">
        <f>_xlfn.XLOOKUP(A122,[1]Municipios!$B:$B,[1]Municipios!$D:$D)</f>
        <v>Litoral</v>
      </c>
      <c r="D122">
        <v>2025</v>
      </c>
      <c r="E122" t="s">
        <v>231</v>
      </c>
      <c r="F122">
        <v>0.77779999999999994</v>
      </c>
      <c r="G122">
        <v>54.52</v>
      </c>
    </row>
    <row r="123" spans="1:7" x14ac:dyDescent="0.25">
      <c r="A123" t="s">
        <v>318</v>
      </c>
      <c r="B123" t="str">
        <f>_xlfn.XLOOKUP(A123,[1]Municipios!$B:$B,[1]Municipios!$C:$C)</f>
        <v>Leste</v>
      </c>
      <c r="C123" t="str">
        <f>_xlfn.XLOOKUP(A123,[1]Municipios!$B:$B,[1]Municipios!$D:$D)</f>
        <v>Litoral</v>
      </c>
      <c r="D123">
        <v>2025</v>
      </c>
      <c r="E123" t="s">
        <v>232</v>
      </c>
      <c r="F123">
        <v>0.76929999999999998</v>
      </c>
      <c r="G123">
        <v>54.52</v>
      </c>
    </row>
    <row r="124" spans="1:7" x14ac:dyDescent="0.25">
      <c r="A124" t="s">
        <v>318</v>
      </c>
      <c r="B124" t="str">
        <f>_xlfn.XLOOKUP(A124,[1]Municipios!$B:$B,[1]Municipios!$C:$C)</f>
        <v>Leste</v>
      </c>
      <c r="C124" t="str">
        <f>_xlfn.XLOOKUP(A124,[1]Municipios!$B:$B,[1]Municipios!$D:$D)</f>
        <v>Litoral</v>
      </c>
      <c r="D124">
        <v>2025</v>
      </c>
      <c r="E124" t="s">
        <v>233</v>
      </c>
      <c r="F124">
        <v>0.625</v>
      </c>
      <c r="G124">
        <v>54.52</v>
      </c>
    </row>
    <row r="125" spans="1:7" x14ac:dyDescent="0.25">
      <c r="A125" t="s">
        <v>318</v>
      </c>
      <c r="B125" t="str">
        <f>_xlfn.XLOOKUP(A125,[1]Municipios!$B:$B,[1]Municipios!$C:$C)</f>
        <v>Leste</v>
      </c>
      <c r="C125" t="str">
        <f>_xlfn.XLOOKUP(A125,[1]Municipios!$B:$B,[1]Municipios!$D:$D)</f>
        <v>Litoral</v>
      </c>
      <c r="D125">
        <v>2025</v>
      </c>
      <c r="E125" t="s">
        <v>215</v>
      </c>
      <c r="F125">
        <v>0.6</v>
      </c>
      <c r="G125">
        <v>54.52</v>
      </c>
    </row>
    <row r="126" spans="1:7" x14ac:dyDescent="0.25">
      <c r="A126" t="s">
        <v>318</v>
      </c>
      <c r="B126" t="str">
        <f>_xlfn.XLOOKUP(A126,[1]Municipios!$B:$B,[1]Municipios!$C:$C)</f>
        <v>Leste</v>
      </c>
      <c r="C126" t="str">
        <f>_xlfn.XLOOKUP(A126,[1]Municipios!$B:$B,[1]Municipios!$D:$D)</f>
        <v>Litoral</v>
      </c>
      <c r="D126">
        <v>2025</v>
      </c>
      <c r="E126" t="s">
        <v>234</v>
      </c>
      <c r="F126">
        <v>0.44440000000000002</v>
      </c>
      <c r="G126">
        <v>54.52</v>
      </c>
    </row>
    <row r="127" spans="1:7" x14ac:dyDescent="0.25">
      <c r="A127" t="s">
        <v>318</v>
      </c>
      <c r="B127" t="str">
        <f>_xlfn.XLOOKUP(A127,[1]Municipios!$B:$B,[1]Municipios!$C:$C)</f>
        <v>Leste</v>
      </c>
      <c r="C127" t="str">
        <f>_xlfn.XLOOKUP(A127,[1]Municipios!$B:$B,[1]Municipios!$D:$D)</f>
        <v>Litoral</v>
      </c>
      <c r="D127">
        <v>2025</v>
      </c>
      <c r="E127" t="s">
        <v>235</v>
      </c>
      <c r="F127">
        <v>0.57150000000000001</v>
      </c>
      <c r="G127">
        <v>54.52</v>
      </c>
    </row>
    <row r="128" spans="1:7" x14ac:dyDescent="0.25">
      <c r="A128" t="s">
        <v>318</v>
      </c>
      <c r="B128" t="str">
        <f>_xlfn.XLOOKUP(A128,[1]Municipios!$B:$B,[1]Municipios!$C:$C)</f>
        <v>Leste</v>
      </c>
      <c r="C128" t="str">
        <f>_xlfn.XLOOKUP(A128,[1]Municipios!$B:$B,[1]Municipios!$D:$D)</f>
        <v>Litoral</v>
      </c>
      <c r="D128">
        <v>2025</v>
      </c>
      <c r="E128" t="s">
        <v>236</v>
      </c>
      <c r="F128">
        <v>7.6999999999999999E-2</v>
      </c>
      <c r="G128">
        <v>54.52</v>
      </c>
    </row>
    <row r="129" spans="1:7" x14ac:dyDescent="0.25">
      <c r="A129" t="s">
        <v>318</v>
      </c>
      <c r="B129" t="str">
        <f>_xlfn.XLOOKUP(A129,[1]Municipios!$B:$B,[1]Municipios!$C:$C)</f>
        <v>Leste</v>
      </c>
      <c r="C129" t="str">
        <f>_xlfn.XLOOKUP(A129,[1]Municipios!$B:$B,[1]Municipios!$D:$D)</f>
        <v>Litoral</v>
      </c>
      <c r="D129">
        <v>2025</v>
      </c>
      <c r="E129" t="s">
        <v>237</v>
      </c>
      <c r="F129">
        <v>0.5</v>
      </c>
      <c r="G129">
        <v>54.52</v>
      </c>
    </row>
    <row r="130" spans="1:7" x14ac:dyDescent="0.25">
      <c r="A130" t="s">
        <v>406</v>
      </c>
      <c r="B130" t="str">
        <f>_xlfn.XLOOKUP(A130,[1]Municipios!$B:$B,[1]Municipios!$C:$C)</f>
        <v>Sul</v>
      </c>
      <c r="C130" t="str">
        <f>_xlfn.XLOOKUP(A130,[1]Municipios!$B:$B,[1]Municipios!$D:$D)</f>
        <v>Sul do Paraná</v>
      </c>
      <c r="D130">
        <v>2025</v>
      </c>
      <c r="E130" t="s">
        <v>231</v>
      </c>
      <c r="F130">
        <v>0.11109999999999999</v>
      </c>
      <c r="G130">
        <v>22.21</v>
      </c>
    </row>
    <row r="131" spans="1:7" x14ac:dyDescent="0.25">
      <c r="A131" t="s">
        <v>406</v>
      </c>
      <c r="B131" t="str">
        <f>_xlfn.XLOOKUP(A131,[1]Municipios!$B:$B,[1]Municipios!$C:$C)</f>
        <v>Sul</v>
      </c>
      <c r="C131" t="str">
        <f>_xlfn.XLOOKUP(A131,[1]Municipios!$B:$B,[1]Municipios!$D:$D)</f>
        <v>Sul do Paraná</v>
      </c>
      <c r="D131">
        <v>2025</v>
      </c>
      <c r="E131" t="s">
        <v>232</v>
      </c>
      <c r="F131">
        <v>0.84609999999999996</v>
      </c>
      <c r="G131">
        <v>22.21</v>
      </c>
    </row>
    <row r="132" spans="1:7" x14ac:dyDescent="0.25">
      <c r="A132" t="s">
        <v>406</v>
      </c>
      <c r="B132" t="str">
        <f>_xlfn.XLOOKUP(A132,[1]Municipios!$B:$B,[1]Municipios!$C:$C)</f>
        <v>Sul</v>
      </c>
      <c r="C132" t="str">
        <f>_xlfn.XLOOKUP(A132,[1]Municipios!$B:$B,[1]Municipios!$D:$D)</f>
        <v>Sul do Paraná</v>
      </c>
      <c r="D132">
        <v>2025</v>
      </c>
      <c r="E132" t="s">
        <v>233</v>
      </c>
      <c r="F132">
        <v>0.25</v>
      </c>
      <c r="G132">
        <v>22.21</v>
      </c>
    </row>
    <row r="133" spans="1:7" x14ac:dyDescent="0.25">
      <c r="A133" t="s">
        <v>406</v>
      </c>
      <c r="B133" t="str">
        <f>_xlfn.XLOOKUP(A133,[1]Municipios!$B:$B,[1]Municipios!$C:$C)</f>
        <v>Sul</v>
      </c>
      <c r="C133" t="str">
        <f>_xlfn.XLOOKUP(A133,[1]Municipios!$B:$B,[1]Municipios!$D:$D)</f>
        <v>Sul do Paraná</v>
      </c>
      <c r="D133">
        <v>2025</v>
      </c>
      <c r="E133" t="s">
        <v>215</v>
      </c>
      <c r="F133">
        <v>0.35000000000000003</v>
      </c>
      <c r="G133">
        <v>22.21</v>
      </c>
    </row>
    <row r="134" spans="1:7" x14ac:dyDescent="0.25">
      <c r="A134" t="s">
        <v>406</v>
      </c>
      <c r="B134" t="str">
        <f>_xlfn.XLOOKUP(A134,[1]Municipios!$B:$B,[1]Municipios!$C:$C)</f>
        <v>Sul</v>
      </c>
      <c r="C134" t="str">
        <f>_xlfn.XLOOKUP(A134,[1]Municipios!$B:$B,[1]Municipios!$D:$D)</f>
        <v>Sul do Paraná</v>
      </c>
      <c r="D134">
        <v>2025</v>
      </c>
      <c r="E134" t="s">
        <v>234</v>
      </c>
      <c r="F134">
        <v>0.1111</v>
      </c>
      <c r="G134">
        <v>22.21</v>
      </c>
    </row>
    <row r="135" spans="1:7" x14ac:dyDescent="0.25">
      <c r="A135" t="s">
        <v>406</v>
      </c>
      <c r="B135" t="str">
        <f>_xlfn.XLOOKUP(A135,[1]Municipios!$B:$B,[1]Municipios!$C:$C)</f>
        <v>Sul</v>
      </c>
      <c r="C135" t="str">
        <f>_xlfn.XLOOKUP(A135,[1]Municipios!$B:$B,[1]Municipios!$D:$D)</f>
        <v>Sul do Paraná</v>
      </c>
      <c r="D135">
        <v>2025</v>
      </c>
      <c r="E135" t="s">
        <v>235</v>
      </c>
      <c r="F135">
        <v>0</v>
      </c>
      <c r="G135">
        <v>22.21</v>
      </c>
    </row>
    <row r="136" spans="1:7" x14ac:dyDescent="0.25">
      <c r="A136" t="s">
        <v>406</v>
      </c>
      <c r="B136" t="str">
        <f>_xlfn.XLOOKUP(A136,[1]Municipios!$B:$B,[1]Municipios!$C:$C)</f>
        <v>Sul</v>
      </c>
      <c r="C136" t="str">
        <f>_xlfn.XLOOKUP(A136,[1]Municipios!$B:$B,[1]Municipios!$D:$D)</f>
        <v>Sul do Paraná</v>
      </c>
      <c r="D136">
        <v>2025</v>
      </c>
      <c r="E136" t="s">
        <v>236</v>
      </c>
      <c r="F136">
        <v>0</v>
      </c>
      <c r="G136">
        <v>22.21</v>
      </c>
    </row>
    <row r="137" spans="1:7" x14ac:dyDescent="0.25">
      <c r="A137" t="s">
        <v>406</v>
      </c>
      <c r="B137" t="str">
        <f>_xlfn.XLOOKUP(A137,[1]Municipios!$B:$B,[1]Municipios!$C:$C)</f>
        <v>Sul</v>
      </c>
      <c r="C137" t="str">
        <f>_xlfn.XLOOKUP(A137,[1]Municipios!$B:$B,[1]Municipios!$D:$D)</f>
        <v>Sul do Paraná</v>
      </c>
      <c r="D137">
        <v>2025</v>
      </c>
      <c r="E137" t="s">
        <v>237</v>
      </c>
      <c r="F137">
        <v>0</v>
      </c>
      <c r="G137">
        <v>22.21</v>
      </c>
    </row>
    <row r="138" spans="1:7" x14ac:dyDescent="0.25">
      <c r="A138" t="s">
        <v>369</v>
      </c>
      <c r="B138" t="str">
        <f>_xlfn.XLOOKUP(A138,[1]Municipios!$B:$B,[1]Municipios!$C:$C)</f>
        <v>Norte</v>
      </c>
      <c r="C138" t="str">
        <f>_xlfn.XLOOKUP(A138,[1]Municipios!$B:$B,[1]Municipios!$D:$D)</f>
        <v>Vale Do Ivaí</v>
      </c>
      <c r="D138">
        <v>2025</v>
      </c>
      <c r="E138" t="s">
        <v>231</v>
      </c>
      <c r="F138">
        <v>0.88890000000000002</v>
      </c>
      <c r="G138">
        <v>93.07</v>
      </c>
    </row>
    <row r="139" spans="1:7" x14ac:dyDescent="0.25">
      <c r="A139" t="s">
        <v>369</v>
      </c>
      <c r="B139" t="str">
        <f>_xlfn.XLOOKUP(A139,[1]Municipios!$B:$B,[1]Municipios!$C:$C)</f>
        <v>Norte</v>
      </c>
      <c r="C139" t="str">
        <f>_xlfn.XLOOKUP(A139,[1]Municipios!$B:$B,[1]Municipios!$D:$D)</f>
        <v>Vale Do Ivaí</v>
      </c>
      <c r="D139">
        <v>2025</v>
      </c>
      <c r="E139" t="s">
        <v>232</v>
      </c>
      <c r="F139">
        <v>0.84619999999999995</v>
      </c>
      <c r="G139">
        <v>93.07</v>
      </c>
    </row>
    <row r="140" spans="1:7" x14ac:dyDescent="0.25">
      <c r="A140" t="s">
        <v>369</v>
      </c>
      <c r="B140" t="str">
        <f>_xlfn.XLOOKUP(A140,[1]Municipios!$B:$B,[1]Municipios!$C:$C)</f>
        <v>Norte</v>
      </c>
      <c r="C140" t="str">
        <f>_xlfn.XLOOKUP(A140,[1]Municipios!$B:$B,[1]Municipios!$D:$D)</f>
        <v>Vale Do Ivaí</v>
      </c>
      <c r="D140">
        <v>2025</v>
      </c>
      <c r="E140" t="s">
        <v>233</v>
      </c>
      <c r="F140">
        <v>0.75</v>
      </c>
      <c r="G140">
        <v>93.07</v>
      </c>
    </row>
    <row r="141" spans="1:7" x14ac:dyDescent="0.25">
      <c r="A141" t="s">
        <v>369</v>
      </c>
      <c r="B141" t="str">
        <f>_xlfn.XLOOKUP(A141,[1]Municipios!$B:$B,[1]Municipios!$C:$C)</f>
        <v>Norte</v>
      </c>
      <c r="C141" t="str">
        <f>_xlfn.XLOOKUP(A141,[1]Municipios!$B:$B,[1]Municipios!$D:$D)</f>
        <v>Vale Do Ivaí</v>
      </c>
      <c r="D141">
        <v>2025</v>
      </c>
      <c r="E141" t="s">
        <v>215</v>
      </c>
      <c r="F141">
        <v>1</v>
      </c>
      <c r="G141">
        <v>93.07</v>
      </c>
    </row>
    <row r="142" spans="1:7" x14ac:dyDescent="0.25">
      <c r="A142" t="s">
        <v>369</v>
      </c>
      <c r="B142" t="str">
        <f>_xlfn.XLOOKUP(A142,[1]Municipios!$B:$B,[1]Municipios!$C:$C)</f>
        <v>Norte</v>
      </c>
      <c r="C142" t="str">
        <f>_xlfn.XLOOKUP(A142,[1]Municipios!$B:$B,[1]Municipios!$D:$D)</f>
        <v>Vale Do Ivaí</v>
      </c>
      <c r="D142">
        <v>2025</v>
      </c>
      <c r="E142" t="s">
        <v>234</v>
      </c>
      <c r="F142">
        <v>0.88890000000000002</v>
      </c>
      <c r="G142">
        <v>93.07</v>
      </c>
    </row>
    <row r="143" spans="1:7" x14ac:dyDescent="0.25">
      <c r="A143" t="s">
        <v>369</v>
      </c>
      <c r="B143" t="str">
        <f>_xlfn.XLOOKUP(A143,[1]Municipios!$B:$B,[1]Municipios!$C:$C)</f>
        <v>Norte</v>
      </c>
      <c r="C143" t="str">
        <f>_xlfn.XLOOKUP(A143,[1]Municipios!$B:$B,[1]Municipios!$D:$D)</f>
        <v>Vale Do Ivaí</v>
      </c>
      <c r="D143">
        <v>2025</v>
      </c>
      <c r="E143" t="s">
        <v>235</v>
      </c>
      <c r="F143">
        <v>1</v>
      </c>
      <c r="G143">
        <v>93.07</v>
      </c>
    </row>
    <row r="144" spans="1:7" x14ac:dyDescent="0.25">
      <c r="A144" t="s">
        <v>369</v>
      </c>
      <c r="B144" t="str">
        <f>_xlfn.XLOOKUP(A144,[1]Municipios!$B:$B,[1]Municipios!$C:$C)</f>
        <v>Norte</v>
      </c>
      <c r="C144" t="str">
        <f>_xlfn.XLOOKUP(A144,[1]Municipios!$B:$B,[1]Municipios!$D:$D)</f>
        <v>Vale Do Ivaí</v>
      </c>
      <c r="D144">
        <v>2025</v>
      </c>
      <c r="E144" t="s">
        <v>236</v>
      </c>
      <c r="F144">
        <v>1</v>
      </c>
      <c r="G144">
        <v>93.07</v>
      </c>
    </row>
    <row r="145" spans="1:7" x14ac:dyDescent="0.25">
      <c r="A145" t="s">
        <v>369</v>
      </c>
      <c r="B145" t="str">
        <f>_xlfn.XLOOKUP(A145,[1]Municipios!$B:$B,[1]Municipios!$C:$C)</f>
        <v>Norte</v>
      </c>
      <c r="C145" t="str">
        <f>_xlfn.XLOOKUP(A145,[1]Municipios!$B:$B,[1]Municipios!$D:$D)</f>
        <v>Vale Do Ivaí</v>
      </c>
      <c r="D145">
        <v>2025</v>
      </c>
      <c r="E145" t="s">
        <v>237</v>
      </c>
      <c r="F145">
        <v>1</v>
      </c>
      <c r="G145">
        <v>93.07</v>
      </c>
    </row>
    <row r="146" spans="1:7" x14ac:dyDescent="0.25">
      <c r="A146" t="s">
        <v>244</v>
      </c>
      <c r="B146" t="str">
        <f>_xlfn.XLOOKUP(A146,[1]Municipios!$B:$B,[1]Municipios!$C:$C)</f>
        <v>Norte</v>
      </c>
      <c r="C146" t="str">
        <f>_xlfn.XLOOKUP(A146,[1]Municipios!$B:$B,[1]Municipios!$D:$D)</f>
        <v>Norte Do Paraná</v>
      </c>
      <c r="D146">
        <v>2025</v>
      </c>
      <c r="E146" t="s">
        <v>231</v>
      </c>
      <c r="F146">
        <v>1</v>
      </c>
      <c r="G146">
        <v>93.79</v>
      </c>
    </row>
    <row r="147" spans="1:7" x14ac:dyDescent="0.25">
      <c r="A147" t="s">
        <v>244</v>
      </c>
      <c r="B147" t="str">
        <f>_xlfn.XLOOKUP(A147,[1]Municipios!$B:$B,[1]Municipios!$C:$C)</f>
        <v>Norte</v>
      </c>
      <c r="C147" t="str">
        <f>_xlfn.XLOOKUP(A147,[1]Municipios!$B:$B,[1]Municipios!$D:$D)</f>
        <v>Norte Do Paraná</v>
      </c>
      <c r="D147">
        <v>2025</v>
      </c>
      <c r="E147" t="s">
        <v>232</v>
      </c>
      <c r="F147">
        <v>0.92310000000000003</v>
      </c>
      <c r="G147">
        <v>93.79</v>
      </c>
    </row>
    <row r="148" spans="1:7" x14ac:dyDescent="0.25">
      <c r="A148" t="s">
        <v>244</v>
      </c>
      <c r="B148" t="str">
        <f>_xlfn.XLOOKUP(A148,[1]Municipios!$B:$B,[1]Municipios!$C:$C)</f>
        <v>Norte</v>
      </c>
      <c r="C148" t="str">
        <f>_xlfn.XLOOKUP(A148,[1]Municipios!$B:$B,[1]Municipios!$D:$D)</f>
        <v>Norte Do Paraná</v>
      </c>
      <c r="D148">
        <v>2025</v>
      </c>
      <c r="E148" t="s">
        <v>233</v>
      </c>
      <c r="F148">
        <v>1</v>
      </c>
      <c r="G148">
        <v>93.79</v>
      </c>
    </row>
    <row r="149" spans="1:7" x14ac:dyDescent="0.25">
      <c r="A149" t="s">
        <v>244</v>
      </c>
      <c r="B149" t="str">
        <f>_xlfn.XLOOKUP(A149,[1]Municipios!$B:$B,[1]Municipios!$C:$C)</f>
        <v>Norte</v>
      </c>
      <c r="C149" t="str">
        <f>_xlfn.XLOOKUP(A149,[1]Municipios!$B:$B,[1]Municipios!$D:$D)</f>
        <v>Norte Do Paraná</v>
      </c>
      <c r="D149">
        <v>2025</v>
      </c>
      <c r="E149" t="s">
        <v>215</v>
      </c>
      <c r="F149">
        <v>0.9</v>
      </c>
      <c r="G149">
        <v>93.79</v>
      </c>
    </row>
    <row r="150" spans="1:7" x14ac:dyDescent="0.25">
      <c r="A150" t="s">
        <v>244</v>
      </c>
      <c r="B150" t="str">
        <f>_xlfn.XLOOKUP(A150,[1]Municipios!$B:$B,[1]Municipios!$C:$C)</f>
        <v>Norte</v>
      </c>
      <c r="C150" t="str">
        <f>_xlfn.XLOOKUP(A150,[1]Municipios!$B:$B,[1]Municipios!$D:$D)</f>
        <v>Norte Do Paraná</v>
      </c>
      <c r="D150">
        <v>2025</v>
      </c>
      <c r="E150" t="s">
        <v>234</v>
      </c>
      <c r="F150">
        <v>0.77780000000000005</v>
      </c>
      <c r="G150">
        <v>93.79</v>
      </c>
    </row>
    <row r="151" spans="1:7" x14ac:dyDescent="0.25">
      <c r="A151" t="s">
        <v>244</v>
      </c>
      <c r="B151" t="str">
        <f>_xlfn.XLOOKUP(A151,[1]Municipios!$B:$B,[1]Municipios!$C:$C)</f>
        <v>Norte</v>
      </c>
      <c r="C151" t="str">
        <f>_xlfn.XLOOKUP(A151,[1]Municipios!$B:$B,[1]Municipios!$D:$D)</f>
        <v>Norte Do Paraná</v>
      </c>
      <c r="D151">
        <v>2025</v>
      </c>
      <c r="E151" t="s">
        <v>235</v>
      </c>
      <c r="F151">
        <v>1</v>
      </c>
      <c r="G151">
        <v>93.79</v>
      </c>
    </row>
    <row r="152" spans="1:7" x14ac:dyDescent="0.25">
      <c r="A152" t="s">
        <v>244</v>
      </c>
      <c r="B152" t="str">
        <f>_xlfn.XLOOKUP(A152,[1]Municipios!$B:$B,[1]Municipios!$C:$C)</f>
        <v>Norte</v>
      </c>
      <c r="C152" t="str">
        <f>_xlfn.XLOOKUP(A152,[1]Municipios!$B:$B,[1]Municipios!$D:$D)</f>
        <v>Norte Do Paraná</v>
      </c>
      <c r="D152">
        <v>2025</v>
      </c>
      <c r="E152" t="s">
        <v>236</v>
      </c>
      <c r="F152">
        <v>1</v>
      </c>
      <c r="G152">
        <v>93.79</v>
      </c>
    </row>
    <row r="153" spans="1:7" x14ac:dyDescent="0.25">
      <c r="A153" t="s">
        <v>244</v>
      </c>
      <c r="B153" t="str">
        <f>_xlfn.XLOOKUP(A153,[1]Municipios!$B:$B,[1]Municipios!$C:$C)</f>
        <v>Norte</v>
      </c>
      <c r="C153" t="str">
        <f>_xlfn.XLOOKUP(A153,[1]Municipios!$B:$B,[1]Municipios!$D:$D)</f>
        <v>Norte Do Paraná</v>
      </c>
      <c r="D153">
        <v>2025</v>
      </c>
      <c r="E153" t="s">
        <v>237</v>
      </c>
      <c r="F153">
        <v>1</v>
      </c>
      <c r="G153">
        <v>93.79</v>
      </c>
    </row>
    <row r="154" spans="1:7" x14ac:dyDescent="0.25">
      <c r="A154" t="s">
        <v>405</v>
      </c>
      <c r="B154" t="str">
        <f>_xlfn.XLOOKUP(A154,[1]Municipios!$B:$B,[1]Municipios!$C:$C)</f>
        <v>Centro</v>
      </c>
      <c r="C154" t="str">
        <f>_xlfn.XLOOKUP(A154,[1]Municipios!$B:$B,[1]Municipios!$D:$D)</f>
        <v>Vale Do Tibagi</v>
      </c>
      <c r="D154">
        <v>2025</v>
      </c>
      <c r="E154" t="s">
        <v>231</v>
      </c>
      <c r="F154">
        <v>0.77779999999999994</v>
      </c>
      <c r="G154">
        <v>84.88</v>
      </c>
    </row>
    <row r="155" spans="1:7" x14ac:dyDescent="0.25">
      <c r="A155" t="s">
        <v>405</v>
      </c>
      <c r="B155" t="str">
        <f>_xlfn.XLOOKUP(A155,[1]Municipios!$B:$B,[1]Municipios!$C:$C)</f>
        <v>Centro</v>
      </c>
      <c r="C155" t="str">
        <f>_xlfn.XLOOKUP(A155,[1]Municipios!$B:$B,[1]Municipios!$D:$D)</f>
        <v>Vale Do Tibagi</v>
      </c>
      <c r="D155">
        <v>2025</v>
      </c>
      <c r="E155" t="s">
        <v>232</v>
      </c>
      <c r="F155">
        <v>1</v>
      </c>
      <c r="G155">
        <v>84.88</v>
      </c>
    </row>
    <row r="156" spans="1:7" x14ac:dyDescent="0.25">
      <c r="A156" t="s">
        <v>405</v>
      </c>
      <c r="B156" t="str">
        <f>_xlfn.XLOOKUP(A156,[1]Municipios!$B:$B,[1]Municipios!$C:$C)</f>
        <v>Centro</v>
      </c>
      <c r="C156" t="str">
        <f>_xlfn.XLOOKUP(A156,[1]Municipios!$B:$B,[1]Municipios!$D:$D)</f>
        <v>Vale Do Tibagi</v>
      </c>
      <c r="D156">
        <v>2025</v>
      </c>
      <c r="E156" t="s">
        <v>233</v>
      </c>
      <c r="F156">
        <v>0.75</v>
      </c>
      <c r="G156">
        <v>84.88</v>
      </c>
    </row>
    <row r="157" spans="1:7" x14ac:dyDescent="0.25">
      <c r="A157" t="s">
        <v>405</v>
      </c>
      <c r="B157" t="str">
        <f>_xlfn.XLOOKUP(A157,[1]Municipios!$B:$B,[1]Municipios!$C:$C)</f>
        <v>Centro</v>
      </c>
      <c r="C157" t="str">
        <f>_xlfn.XLOOKUP(A157,[1]Municipios!$B:$B,[1]Municipios!$D:$D)</f>
        <v>Vale Do Tibagi</v>
      </c>
      <c r="D157">
        <v>2025</v>
      </c>
      <c r="E157" t="s">
        <v>215</v>
      </c>
      <c r="F157">
        <v>1</v>
      </c>
      <c r="G157">
        <v>84.88</v>
      </c>
    </row>
    <row r="158" spans="1:7" x14ac:dyDescent="0.25">
      <c r="A158" t="s">
        <v>405</v>
      </c>
      <c r="B158" t="str">
        <f>_xlfn.XLOOKUP(A158,[1]Municipios!$B:$B,[1]Municipios!$C:$C)</f>
        <v>Centro</v>
      </c>
      <c r="C158" t="str">
        <f>_xlfn.XLOOKUP(A158,[1]Municipios!$B:$B,[1]Municipios!$D:$D)</f>
        <v>Vale Do Tibagi</v>
      </c>
      <c r="D158">
        <v>2025</v>
      </c>
      <c r="E158" t="s">
        <v>234</v>
      </c>
      <c r="F158">
        <v>0.66669999999999996</v>
      </c>
      <c r="G158">
        <v>84.88</v>
      </c>
    </row>
    <row r="159" spans="1:7" x14ac:dyDescent="0.25">
      <c r="A159" t="s">
        <v>405</v>
      </c>
      <c r="B159" t="str">
        <f>_xlfn.XLOOKUP(A159,[1]Municipios!$B:$B,[1]Municipios!$C:$C)</f>
        <v>Centro</v>
      </c>
      <c r="C159" t="str">
        <f>_xlfn.XLOOKUP(A159,[1]Municipios!$B:$B,[1]Municipios!$D:$D)</f>
        <v>Vale Do Tibagi</v>
      </c>
      <c r="D159">
        <v>2025</v>
      </c>
      <c r="E159" t="s">
        <v>235</v>
      </c>
      <c r="F159">
        <v>1</v>
      </c>
      <c r="G159">
        <v>84.88</v>
      </c>
    </row>
    <row r="160" spans="1:7" x14ac:dyDescent="0.25">
      <c r="A160" t="s">
        <v>405</v>
      </c>
      <c r="B160" t="str">
        <f>_xlfn.XLOOKUP(A160,[1]Municipios!$B:$B,[1]Municipios!$C:$C)</f>
        <v>Centro</v>
      </c>
      <c r="C160" t="str">
        <f>_xlfn.XLOOKUP(A160,[1]Municipios!$B:$B,[1]Municipios!$D:$D)</f>
        <v>Vale Do Tibagi</v>
      </c>
      <c r="D160">
        <v>2025</v>
      </c>
      <c r="E160" t="s">
        <v>236</v>
      </c>
      <c r="F160">
        <v>0.53849999999999987</v>
      </c>
      <c r="G160">
        <v>84.88</v>
      </c>
    </row>
    <row r="161" spans="1:7" x14ac:dyDescent="0.25">
      <c r="A161" t="s">
        <v>405</v>
      </c>
      <c r="B161" t="str">
        <f>_xlfn.XLOOKUP(A161,[1]Municipios!$B:$B,[1]Municipios!$C:$C)</f>
        <v>Centro</v>
      </c>
      <c r="C161" t="str">
        <f>_xlfn.XLOOKUP(A161,[1]Municipios!$B:$B,[1]Municipios!$D:$D)</f>
        <v>Vale Do Tibagi</v>
      </c>
      <c r="D161">
        <v>2025</v>
      </c>
      <c r="E161" t="s">
        <v>237</v>
      </c>
      <c r="F161">
        <v>1</v>
      </c>
      <c r="G161">
        <v>84.88</v>
      </c>
    </row>
    <row r="162" spans="1:7" x14ac:dyDescent="0.25">
      <c r="A162" t="s">
        <v>370</v>
      </c>
      <c r="B162" t="str">
        <f>_xlfn.XLOOKUP(A162,[1]Municipios!$B:$B,[1]Municipios!$C:$C)</f>
        <v>Norte</v>
      </c>
      <c r="C162" t="str">
        <f>_xlfn.XLOOKUP(A162,[1]Municipios!$B:$B,[1]Municipios!$D:$D)</f>
        <v>Vale Do Ivaí</v>
      </c>
      <c r="D162">
        <v>2025</v>
      </c>
      <c r="E162" t="s">
        <v>231</v>
      </c>
      <c r="F162">
        <v>0.66669999999999996</v>
      </c>
      <c r="G162">
        <v>47.12</v>
      </c>
    </row>
    <row r="163" spans="1:7" x14ac:dyDescent="0.25">
      <c r="A163" t="s">
        <v>370</v>
      </c>
      <c r="B163" t="str">
        <f>_xlfn.XLOOKUP(A163,[1]Municipios!$B:$B,[1]Municipios!$C:$C)</f>
        <v>Norte</v>
      </c>
      <c r="C163" t="str">
        <f>_xlfn.XLOOKUP(A163,[1]Municipios!$B:$B,[1]Municipios!$D:$D)</f>
        <v>Vale Do Ivaí</v>
      </c>
      <c r="D163">
        <v>2025</v>
      </c>
      <c r="E163" t="s">
        <v>232</v>
      </c>
      <c r="F163">
        <v>0.92310000000000003</v>
      </c>
      <c r="G163">
        <v>47.12</v>
      </c>
    </row>
    <row r="164" spans="1:7" x14ac:dyDescent="0.25">
      <c r="A164" t="s">
        <v>370</v>
      </c>
      <c r="B164" t="str">
        <f>_xlfn.XLOOKUP(A164,[1]Municipios!$B:$B,[1]Municipios!$C:$C)</f>
        <v>Norte</v>
      </c>
      <c r="C164" t="str">
        <f>_xlfn.XLOOKUP(A164,[1]Municipios!$B:$B,[1]Municipios!$D:$D)</f>
        <v>Vale Do Ivaí</v>
      </c>
      <c r="D164">
        <v>2025</v>
      </c>
      <c r="E164" t="s">
        <v>233</v>
      </c>
      <c r="F164">
        <v>0.5</v>
      </c>
      <c r="G164">
        <v>47.12</v>
      </c>
    </row>
    <row r="165" spans="1:7" x14ac:dyDescent="0.25">
      <c r="A165" t="s">
        <v>370</v>
      </c>
      <c r="B165" t="str">
        <f>_xlfn.XLOOKUP(A165,[1]Municipios!$B:$B,[1]Municipios!$C:$C)</f>
        <v>Norte</v>
      </c>
      <c r="C165" t="str">
        <f>_xlfn.XLOOKUP(A165,[1]Municipios!$B:$B,[1]Municipios!$D:$D)</f>
        <v>Vale Do Ivaí</v>
      </c>
      <c r="D165">
        <v>2025</v>
      </c>
      <c r="E165" t="s">
        <v>215</v>
      </c>
      <c r="F165">
        <v>0.6</v>
      </c>
      <c r="G165">
        <v>47.12</v>
      </c>
    </row>
    <row r="166" spans="1:7" x14ac:dyDescent="0.25">
      <c r="A166" t="s">
        <v>370</v>
      </c>
      <c r="B166" t="str">
        <f>_xlfn.XLOOKUP(A166,[1]Municipios!$B:$B,[1]Municipios!$C:$C)</f>
        <v>Norte</v>
      </c>
      <c r="C166" t="str">
        <f>_xlfn.XLOOKUP(A166,[1]Municipios!$B:$B,[1]Municipios!$D:$D)</f>
        <v>Vale Do Ivaí</v>
      </c>
      <c r="D166">
        <v>2025</v>
      </c>
      <c r="E166" t="s">
        <v>234</v>
      </c>
      <c r="F166">
        <v>0.55549999999999999</v>
      </c>
      <c r="G166">
        <v>47.12</v>
      </c>
    </row>
    <row r="167" spans="1:7" x14ac:dyDescent="0.25">
      <c r="A167" t="s">
        <v>370</v>
      </c>
      <c r="B167" t="str">
        <f>_xlfn.XLOOKUP(A167,[1]Municipios!$B:$B,[1]Municipios!$C:$C)</f>
        <v>Norte</v>
      </c>
      <c r="C167" t="str">
        <f>_xlfn.XLOOKUP(A167,[1]Municipios!$B:$B,[1]Municipios!$D:$D)</f>
        <v>Vale Do Ivaí</v>
      </c>
      <c r="D167">
        <v>2025</v>
      </c>
      <c r="E167" t="s">
        <v>235</v>
      </c>
      <c r="F167">
        <v>0.28570000000000001</v>
      </c>
      <c r="G167">
        <v>47.12</v>
      </c>
    </row>
    <row r="168" spans="1:7" x14ac:dyDescent="0.25">
      <c r="A168" t="s">
        <v>370</v>
      </c>
      <c r="B168" t="str">
        <f>_xlfn.XLOOKUP(A168,[1]Municipios!$B:$B,[1]Municipios!$C:$C)</f>
        <v>Norte</v>
      </c>
      <c r="C168" t="str">
        <f>_xlfn.XLOOKUP(A168,[1]Municipios!$B:$B,[1]Municipios!$D:$D)</f>
        <v>Vale Do Ivaí</v>
      </c>
      <c r="D168">
        <v>2025</v>
      </c>
      <c r="E168" t="s">
        <v>236</v>
      </c>
      <c r="F168">
        <v>7.6999999999999999E-2</v>
      </c>
      <c r="G168">
        <v>47.12</v>
      </c>
    </row>
    <row r="169" spans="1:7" x14ac:dyDescent="0.25">
      <c r="A169" t="s">
        <v>370</v>
      </c>
      <c r="B169" t="str">
        <f>_xlfn.XLOOKUP(A169,[1]Municipios!$B:$B,[1]Municipios!$C:$C)</f>
        <v>Norte</v>
      </c>
      <c r="C169" t="str">
        <f>_xlfn.XLOOKUP(A169,[1]Municipios!$B:$B,[1]Municipios!$D:$D)</f>
        <v>Vale Do Ivaí</v>
      </c>
      <c r="D169">
        <v>2025</v>
      </c>
      <c r="E169" t="s">
        <v>237</v>
      </c>
      <c r="F169">
        <v>0</v>
      </c>
      <c r="G169">
        <v>47.12</v>
      </c>
    </row>
    <row r="170" spans="1:7" x14ac:dyDescent="0.25">
      <c r="A170" t="s">
        <v>320</v>
      </c>
      <c r="B170" t="str">
        <f>_xlfn.XLOOKUP(A170,[1]Municipios!$B:$B,[1]Municipios!$C:$C)</f>
        <v>Noroeste</v>
      </c>
      <c r="C170" t="str">
        <f>_xlfn.XLOOKUP(A170,[1]Municipios!$B:$B,[1]Municipios!$D:$D)</f>
        <v>Centro Ocidental</v>
      </c>
      <c r="D170">
        <v>2025</v>
      </c>
      <c r="E170" t="s">
        <v>231</v>
      </c>
      <c r="F170">
        <v>0.66669999999999996</v>
      </c>
      <c r="G170">
        <v>80.66</v>
      </c>
    </row>
    <row r="171" spans="1:7" x14ac:dyDescent="0.25">
      <c r="A171" t="s">
        <v>320</v>
      </c>
      <c r="B171" t="str">
        <f>_xlfn.XLOOKUP(A171,[1]Municipios!$B:$B,[1]Municipios!$C:$C)</f>
        <v>Noroeste</v>
      </c>
      <c r="C171" t="str">
        <f>_xlfn.XLOOKUP(A171,[1]Municipios!$B:$B,[1]Municipios!$D:$D)</f>
        <v>Centro Ocidental</v>
      </c>
      <c r="D171">
        <v>2025</v>
      </c>
      <c r="E171" t="s">
        <v>232</v>
      </c>
      <c r="F171">
        <v>0.92310000000000003</v>
      </c>
      <c r="G171">
        <v>80.66</v>
      </c>
    </row>
    <row r="172" spans="1:7" x14ac:dyDescent="0.25">
      <c r="A172" t="s">
        <v>320</v>
      </c>
      <c r="B172" t="str">
        <f>_xlfn.XLOOKUP(A172,[1]Municipios!$B:$B,[1]Municipios!$C:$C)</f>
        <v>Noroeste</v>
      </c>
      <c r="C172" t="str">
        <f>_xlfn.XLOOKUP(A172,[1]Municipios!$B:$B,[1]Municipios!$D:$D)</f>
        <v>Centro Ocidental</v>
      </c>
      <c r="D172">
        <v>2025</v>
      </c>
      <c r="E172" t="s">
        <v>233</v>
      </c>
      <c r="F172">
        <v>1</v>
      </c>
      <c r="G172">
        <v>80.66</v>
      </c>
    </row>
    <row r="173" spans="1:7" x14ac:dyDescent="0.25">
      <c r="A173" t="s">
        <v>320</v>
      </c>
      <c r="B173" t="str">
        <f>_xlfn.XLOOKUP(A173,[1]Municipios!$B:$B,[1]Municipios!$C:$C)</f>
        <v>Noroeste</v>
      </c>
      <c r="C173" t="str">
        <f>_xlfn.XLOOKUP(A173,[1]Municipios!$B:$B,[1]Municipios!$D:$D)</f>
        <v>Centro Ocidental</v>
      </c>
      <c r="D173">
        <v>2025</v>
      </c>
      <c r="E173" t="s">
        <v>215</v>
      </c>
      <c r="F173">
        <v>0.6</v>
      </c>
      <c r="G173">
        <v>80.66</v>
      </c>
    </row>
    <row r="174" spans="1:7" x14ac:dyDescent="0.25">
      <c r="A174" t="s">
        <v>320</v>
      </c>
      <c r="B174" t="str">
        <f>_xlfn.XLOOKUP(A174,[1]Municipios!$B:$B,[1]Municipios!$C:$C)</f>
        <v>Noroeste</v>
      </c>
      <c r="C174" t="str">
        <f>_xlfn.XLOOKUP(A174,[1]Municipios!$B:$B,[1]Municipios!$D:$D)</f>
        <v>Centro Ocidental</v>
      </c>
      <c r="D174">
        <v>2025</v>
      </c>
      <c r="E174" t="s">
        <v>234</v>
      </c>
      <c r="F174">
        <v>0.77780000000000005</v>
      </c>
      <c r="G174">
        <v>80.66</v>
      </c>
    </row>
    <row r="175" spans="1:7" x14ac:dyDescent="0.25">
      <c r="A175" t="s">
        <v>320</v>
      </c>
      <c r="B175" t="str">
        <f>_xlfn.XLOOKUP(A175,[1]Municipios!$B:$B,[1]Municipios!$C:$C)</f>
        <v>Noroeste</v>
      </c>
      <c r="C175" t="str">
        <f>_xlfn.XLOOKUP(A175,[1]Municipios!$B:$B,[1]Municipios!$D:$D)</f>
        <v>Centro Ocidental</v>
      </c>
      <c r="D175">
        <v>2025</v>
      </c>
      <c r="E175" t="s">
        <v>235</v>
      </c>
      <c r="F175">
        <v>1</v>
      </c>
      <c r="G175">
        <v>80.66</v>
      </c>
    </row>
    <row r="176" spans="1:7" x14ac:dyDescent="0.25">
      <c r="A176" t="s">
        <v>320</v>
      </c>
      <c r="B176" t="str">
        <f>_xlfn.XLOOKUP(A176,[1]Municipios!$B:$B,[1]Municipios!$C:$C)</f>
        <v>Noroeste</v>
      </c>
      <c r="C176" t="str">
        <f>_xlfn.XLOOKUP(A176,[1]Municipios!$B:$B,[1]Municipios!$D:$D)</f>
        <v>Centro Ocidental</v>
      </c>
      <c r="D176">
        <v>2025</v>
      </c>
      <c r="E176" t="s">
        <v>236</v>
      </c>
      <c r="F176">
        <v>0.53859999999999997</v>
      </c>
      <c r="G176">
        <v>80.66</v>
      </c>
    </row>
    <row r="177" spans="1:7" x14ac:dyDescent="0.25">
      <c r="A177" t="s">
        <v>320</v>
      </c>
      <c r="B177" t="str">
        <f>_xlfn.XLOOKUP(A177,[1]Municipios!$B:$B,[1]Municipios!$C:$C)</f>
        <v>Noroeste</v>
      </c>
      <c r="C177" t="str">
        <f>_xlfn.XLOOKUP(A177,[1]Municipios!$B:$B,[1]Municipios!$D:$D)</f>
        <v>Centro Ocidental</v>
      </c>
      <c r="D177">
        <v>2025</v>
      </c>
      <c r="E177" t="s">
        <v>237</v>
      </c>
      <c r="F177">
        <v>1</v>
      </c>
      <c r="G177">
        <v>80.66</v>
      </c>
    </row>
    <row r="178" spans="1:7" x14ac:dyDescent="0.25">
      <c r="A178" t="s">
        <v>312</v>
      </c>
      <c r="B178" t="str">
        <f>_xlfn.XLOOKUP(A178,[1]Municipios!$B:$B,[1]Municipios!$C:$C)</f>
        <v>Leste</v>
      </c>
      <c r="C178" t="str">
        <f>_xlfn.XLOOKUP(A178,[1]Municipios!$B:$B,[1]Municipios!$D:$D)</f>
        <v>RMC</v>
      </c>
      <c r="D178">
        <v>2025</v>
      </c>
      <c r="E178" t="s">
        <v>231</v>
      </c>
      <c r="F178">
        <v>0.66669999999999996</v>
      </c>
      <c r="G178">
        <v>90.55</v>
      </c>
    </row>
    <row r="179" spans="1:7" x14ac:dyDescent="0.25">
      <c r="A179" t="s">
        <v>312</v>
      </c>
      <c r="B179" t="str">
        <f>_xlfn.XLOOKUP(A179,[1]Municipios!$B:$B,[1]Municipios!$C:$C)</f>
        <v>Leste</v>
      </c>
      <c r="C179" t="str">
        <f>_xlfn.XLOOKUP(A179,[1]Municipios!$B:$B,[1]Municipios!$D:$D)</f>
        <v>RMC</v>
      </c>
      <c r="D179">
        <v>2025</v>
      </c>
      <c r="E179" t="s">
        <v>232</v>
      </c>
      <c r="F179">
        <v>1</v>
      </c>
      <c r="G179">
        <v>90.55</v>
      </c>
    </row>
    <row r="180" spans="1:7" x14ac:dyDescent="0.25">
      <c r="A180" t="s">
        <v>312</v>
      </c>
      <c r="B180" t="str">
        <f>_xlfn.XLOOKUP(A180,[1]Municipios!$B:$B,[1]Municipios!$C:$C)</f>
        <v>Leste</v>
      </c>
      <c r="C180" t="str">
        <f>_xlfn.XLOOKUP(A180,[1]Municipios!$B:$B,[1]Municipios!$D:$D)</f>
        <v>RMC</v>
      </c>
      <c r="D180">
        <v>2025</v>
      </c>
      <c r="E180" t="s">
        <v>233</v>
      </c>
      <c r="F180">
        <v>1</v>
      </c>
      <c r="G180">
        <v>90.55</v>
      </c>
    </row>
    <row r="181" spans="1:7" x14ac:dyDescent="0.25">
      <c r="A181" t="s">
        <v>312</v>
      </c>
      <c r="B181" t="str">
        <f>_xlfn.XLOOKUP(A181,[1]Municipios!$B:$B,[1]Municipios!$C:$C)</f>
        <v>Leste</v>
      </c>
      <c r="C181" t="str">
        <f>_xlfn.XLOOKUP(A181,[1]Municipios!$B:$B,[1]Municipios!$D:$D)</f>
        <v>RMC</v>
      </c>
      <c r="D181">
        <v>2025</v>
      </c>
      <c r="E181" t="s">
        <v>215</v>
      </c>
      <c r="F181">
        <v>0.70000000000000007</v>
      </c>
      <c r="G181">
        <v>90.55</v>
      </c>
    </row>
    <row r="182" spans="1:7" x14ac:dyDescent="0.25">
      <c r="A182" t="s">
        <v>312</v>
      </c>
      <c r="B182" t="str">
        <f>_xlfn.XLOOKUP(A182,[1]Municipios!$B:$B,[1]Municipios!$C:$C)</f>
        <v>Leste</v>
      </c>
      <c r="C182" t="str">
        <f>_xlfn.XLOOKUP(A182,[1]Municipios!$B:$B,[1]Municipios!$D:$D)</f>
        <v>RMC</v>
      </c>
      <c r="D182">
        <v>2025</v>
      </c>
      <c r="E182" t="s">
        <v>234</v>
      </c>
      <c r="F182">
        <v>1</v>
      </c>
      <c r="G182">
        <v>90.55</v>
      </c>
    </row>
    <row r="183" spans="1:7" x14ac:dyDescent="0.25">
      <c r="A183" t="s">
        <v>312</v>
      </c>
      <c r="B183" t="str">
        <f>_xlfn.XLOOKUP(A183,[1]Municipios!$B:$B,[1]Municipios!$C:$C)</f>
        <v>Leste</v>
      </c>
      <c r="C183" t="str">
        <f>_xlfn.XLOOKUP(A183,[1]Municipios!$B:$B,[1]Municipios!$D:$D)</f>
        <v>RMC</v>
      </c>
      <c r="D183">
        <v>2025</v>
      </c>
      <c r="E183" t="s">
        <v>235</v>
      </c>
      <c r="F183">
        <v>1</v>
      </c>
      <c r="G183">
        <v>90.55</v>
      </c>
    </row>
    <row r="184" spans="1:7" x14ac:dyDescent="0.25">
      <c r="A184" t="s">
        <v>312</v>
      </c>
      <c r="B184" t="str">
        <f>_xlfn.XLOOKUP(A184,[1]Municipios!$B:$B,[1]Municipios!$C:$C)</f>
        <v>Leste</v>
      </c>
      <c r="C184" t="str">
        <f>_xlfn.XLOOKUP(A184,[1]Municipios!$B:$B,[1]Municipios!$D:$D)</f>
        <v>RMC</v>
      </c>
      <c r="D184">
        <v>2025</v>
      </c>
      <c r="E184" t="s">
        <v>236</v>
      </c>
      <c r="F184">
        <v>0.84620000000000006</v>
      </c>
      <c r="G184">
        <v>90.55</v>
      </c>
    </row>
    <row r="185" spans="1:7" x14ac:dyDescent="0.25">
      <c r="A185" t="s">
        <v>312</v>
      </c>
      <c r="B185" t="str">
        <f>_xlfn.XLOOKUP(A185,[1]Municipios!$B:$B,[1]Municipios!$C:$C)</f>
        <v>Leste</v>
      </c>
      <c r="C185" t="str">
        <f>_xlfn.XLOOKUP(A185,[1]Municipios!$B:$B,[1]Municipios!$D:$D)</f>
        <v>RMC</v>
      </c>
      <c r="D185">
        <v>2025</v>
      </c>
      <c r="E185" t="s">
        <v>237</v>
      </c>
      <c r="F185">
        <v>1</v>
      </c>
      <c r="G185">
        <v>90.55</v>
      </c>
    </row>
    <row r="186" spans="1:7" x14ac:dyDescent="0.25">
      <c r="A186" t="s">
        <v>371</v>
      </c>
      <c r="B186" t="str">
        <f>_xlfn.XLOOKUP(A186,[1]Municipios!$B:$B,[1]Municipios!$C:$C)</f>
        <v>Norte</v>
      </c>
      <c r="C186" t="str">
        <f>_xlfn.XLOOKUP(A186,[1]Municipios!$B:$B,[1]Municipios!$D:$D)</f>
        <v>Vale Do Ivaí</v>
      </c>
      <c r="D186">
        <v>2025</v>
      </c>
      <c r="E186" t="s">
        <v>231</v>
      </c>
      <c r="F186">
        <v>0.22219999999999998</v>
      </c>
      <c r="G186">
        <v>29.72</v>
      </c>
    </row>
    <row r="187" spans="1:7" x14ac:dyDescent="0.25">
      <c r="A187" t="s">
        <v>371</v>
      </c>
      <c r="B187" t="str">
        <f>_xlfn.XLOOKUP(A187,[1]Municipios!$B:$B,[1]Municipios!$C:$C)</f>
        <v>Norte</v>
      </c>
      <c r="C187" t="str">
        <f>_xlfn.XLOOKUP(A187,[1]Municipios!$B:$B,[1]Municipios!$D:$D)</f>
        <v>Vale Do Ivaí</v>
      </c>
      <c r="D187">
        <v>2025</v>
      </c>
      <c r="E187" t="s">
        <v>232</v>
      </c>
      <c r="F187">
        <v>0.69220000000000004</v>
      </c>
      <c r="G187">
        <v>29.72</v>
      </c>
    </row>
    <row r="188" spans="1:7" x14ac:dyDescent="0.25">
      <c r="A188" t="s">
        <v>371</v>
      </c>
      <c r="B188" t="str">
        <f>_xlfn.XLOOKUP(A188,[1]Municipios!$B:$B,[1]Municipios!$C:$C)</f>
        <v>Norte</v>
      </c>
      <c r="C188" t="str">
        <f>_xlfn.XLOOKUP(A188,[1]Municipios!$B:$B,[1]Municipios!$D:$D)</f>
        <v>Vale Do Ivaí</v>
      </c>
      <c r="D188">
        <v>2025</v>
      </c>
      <c r="E188" t="s">
        <v>233</v>
      </c>
      <c r="F188">
        <v>0.5</v>
      </c>
      <c r="G188">
        <v>29.72</v>
      </c>
    </row>
    <row r="189" spans="1:7" x14ac:dyDescent="0.25">
      <c r="A189" t="s">
        <v>371</v>
      </c>
      <c r="B189" t="str">
        <f>_xlfn.XLOOKUP(A189,[1]Municipios!$B:$B,[1]Municipios!$C:$C)</f>
        <v>Norte</v>
      </c>
      <c r="C189" t="str">
        <f>_xlfn.XLOOKUP(A189,[1]Municipios!$B:$B,[1]Municipios!$D:$D)</f>
        <v>Vale Do Ivaí</v>
      </c>
      <c r="D189">
        <v>2025</v>
      </c>
      <c r="E189" t="s">
        <v>215</v>
      </c>
      <c r="F189">
        <v>0</v>
      </c>
      <c r="G189">
        <v>29.72</v>
      </c>
    </row>
    <row r="190" spans="1:7" x14ac:dyDescent="0.25">
      <c r="A190" t="s">
        <v>371</v>
      </c>
      <c r="B190" t="str">
        <f>_xlfn.XLOOKUP(A190,[1]Municipios!$B:$B,[1]Municipios!$C:$C)</f>
        <v>Norte</v>
      </c>
      <c r="C190" t="str">
        <f>_xlfn.XLOOKUP(A190,[1]Municipios!$B:$B,[1]Municipios!$D:$D)</f>
        <v>Vale Do Ivaí</v>
      </c>
      <c r="D190">
        <v>2025</v>
      </c>
      <c r="E190" t="s">
        <v>234</v>
      </c>
      <c r="F190">
        <v>0.66659999999999997</v>
      </c>
      <c r="G190">
        <v>29.72</v>
      </c>
    </row>
    <row r="191" spans="1:7" x14ac:dyDescent="0.25">
      <c r="A191" t="s">
        <v>371</v>
      </c>
      <c r="B191" t="str">
        <f>_xlfn.XLOOKUP(A191,[1]Municipios!$B:$B,[1]Municipios!$C:$C)</f>
        <v>Norte</v>
      </c>
      <c r="C191" t="str">
        <f>_xlfn.XLOOKUP(A191,[1]Municipios!$B:$B,[1]Municipios!$D:$D)</f>
        <v>Vale Do Ivaí</v>
      </c>
      <c r="D191">
        <v>2025</v>
      </c>
      <c r="E191" t="s">
        <v>235</v>
      </c>
      <c r="F191">
        <v>0.14279999999999998</v>
      </c>
      <c r="G191">
        <v>29.72</v>
      </c>
    </row>
    <row r="192" spans="1:7" x14ac:dyDescent="0.25">
      <c r="A192" t="s">
        <v>371</v>
      </c>
      <c r="B192" t="str">
        <f>_xlfn.XLOOKUP(A192,[1]Municipios!$B:$B,[1]Municipios!$C:$C)</f>
        <v>Norte</v>
      </c>
      <c r="C192" t="str">
        <f>_xlfn.XLOOKUP(A192,[1]Municipios!$B:$B,[1]Municipios!$D:$D)</f>
        <v>Vale Do Ivaí</v>
      </c>
      <c r="D192">
        <v>2025</v>
      </c>
      <c r="E192" t="s">
        <v>236</v>
      </c>
      <c r="F192">
        <v>0</v>
      </c>
      <c r="G192">
        <v>29.72</v>
      </c>
    </row>
    <row r="193" spans="1:7" x14ac:dyDescent="0.25">
      <c r="A193" t="s">
        <v>371</v>
      </c>
      <c r="B193" t="str">
        <f>_xlfn.XLOOKUP(A193,[1]Municipios!$B:$B,[1]Municipios!$C:$C)</f>
        <v>Norte</v>
      </c>
      <c r="C193" t="str">
        <f>_xlfn.XLOOKUP(A193,[1]Municipios!$B:$B,[1]Municipios!$D:$D)</f>
        <v>Vale Do Ivaí</v>
      </c>
      <c r="D193">
        <v>2025</v>
      </c>
      <c r="E193" t="s">
        <v>237</v>
      </c>
      <c r="F193">
        <v>0</v>
      </c>
      <c r="G193">
        <v>29.72</v>
      </c>
    </row>
    <row r="194" spans="1:7" x14ac:dyDescent="0.25">
      <c r="A194" t="s">
        <v>503</v>
      </c>
      <c r="B194" t="str">
        <f>_xlfn.XLOOKUP(A194,[1]Municipios!$B:$B,[1]Municipios!$C:$C)</f>
        <v>Norte</v>
      </c>
      <c r="C194" t="str">
        <f>_xlfn.XLOOKUP(A194,[1]Municipios!$B:$B,[1]Municipios!$D:$D)</f>
        <v>Norte Central</v>
      </c>
      <c r="D194">
        <v>2025</v>
      </c>
      <c r="E194" t="s">
        <v>231</v>
      </c>
      <c r="F194">
        <v>0.55559999999999998</v>
      </c>
      <c r="G194">
        <v>83.44</v>
      </c>
    </row>
    <row r="195" spans="1:7" x14ac:dyDescent="0.25">
      <c r="A195" t="s">
        <v>503</v>
      </c>
      <c r="B195" t="str">
        <f>_xlfn.XLOOKUP(A195,[1]Municipios!$B:$B,[1]Municipios!$C:$C)</f>
        <v>Norte</v>
      </c>
      <c r="C195" t="str">
        <f>_xlfn.XLOOKUP(A195,[1]Municipios!$B:$B,[1]Municipios!$D:$D)</f>
        <v>Norte Central</v>
      </c>
      <c r="D195">
        <v>2025</v>
      </c>
      <c r="E195" t="s">
        <v>232</v>
      </c>
      <c r="F195">
        <v>0.84619999999999995</v>
      </c>
      <c r="G195">
        <v>83.44</v>
      </c>
    </row>
    <row r="196" spans="1:7" x14ac:dyDescent="0.25">
      <c r="A196" t="s">
        <v>503</v>
      </c>
      <c r="B196" t="str">
        <f>_xlfn.XLOOKUP(A196,[1]Municipios!$B:$B,[1]Municipios!$C:$C)</f>
        <v>Norte</v>
      </c>
      <c r="C196" t="str">
        <f>_xlfn.XLOOKUP(A196,[1]Municipios!$B:$B,[1]Municipios!$D:$D)</f>
        <v>Norte Central</v>
      </c>
      <c r="D196">
        <v>2025</v>
      </c>
      <c r="E196" t="s">
        <v>233</v>
      </c>
      <c r="F196">
        <v>0.75</v>
      </c>
      <c r="G196">
        <v>83.44</v>
      </c>
    </row>
    <row r="197" spans="1:7" x14ac:dyDescent="0.25">
      <c r="A197" t="s">
        <v>503</v>
      </c>
      <c r="B197" t="str">
        <f>_xlfn.XLOOKUP(A197,[1]Municipios!$B:$B,[1]Municipios!$C:$C)</f>
        <v>Norte</v>
      </c>
      <c r="C197" t="str">
        <f>_xlfn.XLOOKUP(A197,[1]Municipios!$B:$B,[1]Municipios!$D:$D)</f>
        <v>Norte Central</v>
      </c>
      <c r="D197">
        <v>2025</v>
      </c>
      <c r="E197" t="s">
        <v>215</v>
      </c>
      <c r="F197">
        <v>1</v>
      </c>
      <c r="G197">
        <v>83.44</v>
      </c>
    </row>
    <row r="198" spans="1:7" x14ac:dyDescent="0.25">
      <c r="A198" t="s">
        <v>503</v>
      </c>
      <c r="B198" t="str">
        <f>_xlfn.XLOOKUP(A198,[1]Municipios!$B:$B,[1]Municipios!$C:$C)</f>
        <v>Norte</v>
      </c>
      <c r="C198" t="str">
        <f>_xlfn.XLOOKUP(A198,[1]Municipios!$B:$B,[1]Municipios!$D:$D)</f>
        <v>Norte Central</v>
      </c>
      <c r="D198">
        <v>2025</v>
      </c>
      <c r="E198" t="s">
        <v>234</v>
      </c>
      <c r="F198">
        <v>0.66669999999999996</v>
      </c>
      <c r="G198">
        <v>83.44</v>
      </c>
    </row>
    <row r="199" spans="1:7" x14ac:dyDescent="0.25">
      <c r="A199" t="s">
        <v>503</v>
      </c>
      <c r="B199" t="str">
        <f>_xlfn.XLOOKUP(A199,[1]Municipios!$B:$B,[1]Municipios!$C:$C)</f>
        <v>Norte</v>
      </c>
      <c r="C199" t="str">
        <f>_xlfn.XLOOKUP(A199,[1]Municipios!$B:$B,[1]Municipios!$D:$D)</f>
        <v>Norte Central</v>
      </c>
      <c r="D199">
        <v>2025</v>
      </c>
      <c r="E199" t="s">
        <v>235</v>
      </c>
      <c r="F199">
        <v>1</v>
      </c>
      <c r="G199">
        <v>83.44</v>
      </c>
    </row>
    <row r="200" spans="1:7" x14ac:dyDescent="0.25">
      <c r="A200" t="s">
        <v>503</v>
      </c>
      <c r="B200" t="str">
        <f>_xlfn.XLOOKUP(A200,[1]Municipios!$B:$B,[1]Municipios!$C:$C)</f>
        <v>Norte</v>
      </c>
      <c r="C200" t="str">
        <f>_xlfn.XLOOKUP(A200,[1]Municipios!$B:$B,[1]Municipios!$D:$D)</f>
        <v>Norte Central</v>
      </c>
      <c r="D200">
        <v>2025</v>
      </c>
      <c r="E200" t="s">
        <v>236</v>
      </c>
      <c r="F200">
        <v>0.84620000000000006</v>
      </c>
      <c r="G200">
        <v>83.44</v>
      </c>
    </row>
    <row r="201" spans="1:7" x14ac:dyDescent="0.25">
      <c r="A201" t="s">
        <v>503</v>
      </c>
      <c r="B201" t="str">
        <f>_xlfn.XLOOKUP(A201,[1]Municipios!$B:$B,[1]Municipios!$C:$C)</f>
        <v>Norte</v>
      </c>
      <c r="C201" t="str">
        <f>_xlfn.XLOOKUP(A201,[1]Municipios!$B:$B,[1]Municipios!$D:$D)</f>
        <v>Norte Central</v>
      </c>
      <c r="D201">
        <v>2025</v>
      </c>
      <c r="E201" t="s">
        <v>237</v>
      </c>
      <c r="F201">
        <v>1</v>
      </c>
      <c r="G201">
        <v>83.44</v>
      </c>
    </row>
    <row r="202" spans="1:7" x14ac:dyDescent="0.25">
      <c r="A202" t="s">
        <v>416</v>
      </c>
      <c r="B202" t="str">
        <f>_xlfn.XLOOKUP(A202,[1]Municipios!$B:$B,[1]Municipios!$C:$C)</f>
        <v>Oeste</v>
      </c>
      <c r="C202" t="str">
        <f>_xlfn.XLOOKUP(A202,[1]Municipios!$B:$B,[1]Municipios!$D:$D)</f>
        <v>Oeste Integrado</v>
      </c>
      <c r="D202">
        <v>2025</v>
      </c>
      <c r="E202" t="s">
        <v>231</v>
      </c>
      <c r="F202">
        <v>0.77779999999999994</v>
      </c>
      <c r="G202">
        <v>73.55</v>
      </c>
    </row>
    <row r="203" spans="1:7" x14ac:dyDescent="0.25">
      <c r="A203" t="s">
        <v>416</v>
      </c>
      <c r="B203" t="str">
        <f>_xlfn.XLOOKUP(A203,[1]Municipios!$B:$B,[1]Municipios!$C:$C)</f>
        <v>Oeste</v>
      </c>
      <c r="C203" t="str">
        <f>_xlfn.XLOOKUP(A203,[1]Municipios!$B:$B,[1]Municipios!$D:$D)</f>
        <v>Oeste Integrado</v>
      </c>
      <c r="D203">
        <v>2025</v>
      </c>
      <c r="E203" t="s">
        <v>232</v>
      </c>
      <c r="F203">
        <v>0.69240000000000002</v>
      </c>
      <c r="G203">
        <v>73.55</v>
      </c>
    </row>
    <row r="204" spans="1:7" x14ac:dyDescent="0.25">
      <c r="A204" t="s">
        <v>416</v>
      </c>
      <c r="B204" t="str">
        <f>_xlfn.XLOOKUP(A204,[1]Municipios!$B:$B,[1]Municipios!$C:$C)</f>
        <v>Oeste</v>
      </c>
      <c r="C204" t="str">
        <f>_xlfn.XLOOKUP(A204,[1]Municipios!$B:$B,[1]Municipios!$D:$D)</f>
        <v>Oeste Integrado</v>
      </c>
      <c r="D204">
        <v>2025</v>
      </c>
      <c r="E204" t="s">
        <v>233</v>
      </c>
      <c r="F204">
        <v>1</v>
      </c>
      <c r="G204">
        <v>73.55</v>
      </c>
    </row>
    <row r="205" spans="1:7" x14ac:dyDescent="0.25">
      <c r="A205" t="s">
        <v>416</v>
      </c>
      <c r="B205" t="str">
        <f>_xlfn.XLOOKUP(A205,[1]Municipios!$B:$B,[1]Municipios!$C:$C)</f>
        <v>Oeste</v>
      </c>
      <c r="C205" t="str">
        <f>_xlfn.XLOOKUP(A205,[1]Municipios!$B:$B,[1]Municipios!$D:$D)</f>
        <v>Oeste Integrado</v>
      </c>
      <c r="D205">
        <v>2025</v>
      </c>
      <c r="E205" t="s">
        <v>215</v>
      </c>
      <c r="F205">
        <v>0.6</v>
      </c>
      <c r="G205">
        <v>73.55</v>
      </c>
    </row>
    <row r="206" spans="1:7" x14ac:dyDescent="0.25">
      <c r="A206" t="s">
        <v>416</v>
      </c>
      <c r="B206" t="str">
        <f>_xlfn.XLOOKUP(A206,[1]Municipios!$B:$B,[1]Municipios!$C:$C)</f>
        <v>Oeste</v>
      </c>
      <c r="C206" t="str">
        <f>_xlfn.XLOOKUP(A206,[1]Municipios!$B:$B,[1]Municipios!$D:$D)</f>
        <v>Oeste Integrado</v>
      </c>
      <c r="D206">
        <v>2025</v>
      </c>
      <c r="E206" t="s">
        <v>234</v>
      </c>
      <c r="F206">
        <v>0.44440000000000002</v>
      </c>
      <c r="G206">
        <v>73.55</v>
      </c>
    </row>
    <row r="207" spans="1:7" x14ac:dyDescent="0.25">
      <c r="A207" t="s">
        <v>416</v>
      </c>
      <c r="B207" t="str">
        <f>_xlfn.XLOOKUP(A207,[1]Municipios!$B:$B,[1]Municipios!$C:$C)</f>
        <v>Oeste</v>
      </c>
      <c r="C207" t="str">
        <f>_xlfn.XLOOKUP(A207,[1]Municipios!$B:$B,[1]Municipios!$D:$D)</f>
        <v>Oeste Integrado</v>
      </c>
      <c r="D207">
        <v>2025</v>
      </c>
      <c r="E207" t="s">
        <v>235</v>
      </c>
      <c r="F207">
        <v>1</v>
      </c>
      <c r="G207">
        <v>73.55</v>
      </c>
    </row>
    <row r="208" spans="1:7" x14ac:dyDescent="0.25">
      <c r="A208" t="s">
        <v>416</v>
      </c>
      <c r="B208" t="str">
        <f>_xlfn.XLOOKUP(A208,[1]Municipios!$B:$B,[1]Municipios!$C:$C)</f>
        <v>Oeste</v>
      </c>
      <c r="C208" t="str">
        <f>_xlfn.XLOOKUP(A208,[1]Municipios!$B:$B,[1]Municipios!$D:$D)</f>
        <v>Oeste Integrado</v>
      </c>
      <c r="D208">
        <v>2025</v>
      </c>
      <c r="E208" t="s">
        <v>236</v>
      </c>
      <c r="F208">
        <v>0.61549999999999994</v>
      </c>
      <c r="G208">
        <v>73.55</v>
      </c>
    </row>
    <row r="209" spans="1:7" x14ac:dyDescent="0.25">
      <c r="A209" t="s">
        <v>416</v>
      </c>
      <c r="B209" t="str">
        <f>_xlfn.XLOOKUP(A209,[1]Municipios!$B:$B,[1]Municipios!$C:$C)</f>
        <v>Oeste</v>
      </c>
      <c r="C209" t="str">
        <f>_xlfn.XLOOKUP(A209,[1]Municipios!$B:$B,[1]Municipios!$D:$D)</f>
        <v>Oeste Integrado</v>
      </c>
      <c r="D209">
        <v>2025</v>
      </c>
      <c r="E209" t="s">
        <v>237</v>
      </c>
      <c r="F209">
        <v>1</v>
      </c>
      <c r="G209">
        <v>73.55</v>
      </c>
    </row>
    <row r="210" spans="1:7" x14ac:dyDescent="0.25">
      <c r="A210" t="s">
        <v>364</v>
      </c>
      <c r="B210" t="str">
        <f>_xlfn.XLOOKUP(A210,[1]Municipios!$B:$B,[1]Municipios!$C:$C)</f>
        <v>Noroeste</v>
      </c>
      <c r="C210" t="str">
        <f>_xlfn.XLOOKUP(A210,[1]Municipios!$B:$B,[1]Municipios!$D:$D)</f>
        <v>Terra Roxa</v>
      </c>
      <c r="D210">
        <v>2025</v>
      </c>
      <c r="E210" t="s">
        <v>231</v>
      </c>
      <c r="F210">
        <v>0.77779999999999994</v>
      </c>
      <c r="G210">
        <v>78.849999999999994</v>
      </c>
    </row>
    <row r="211" spans="1:7" x14ac:dyDescent="0.25">
      <c r="A211" t="s">
        <v>364</v>
      </c>
      <c r="B211" t="str">
        <f>_xlfn.XLOOKUP(A211,[1]Municipios!$B:$B,[1]Municipios!$C:$C)</f>
        <v>Noroeste</v>
      </c>
      <c r="C211" t="str">
        <f>_xlfn.XLOOKUP(A211,[1]Municipios!$B:$B,[1]Municipios!$D:$D)</f>
        <v>Terra Roxa</v>
      </c>
      <c r="D211">
        <v>2025</v>
      </c>
      <c r="E211" t="s">
        <v>232</v>
      </c>
      <c r="F211">
        <v>0.92310000000000003</v>
      </c>
      <c r="G211">
        <v>78.849999999999994</v>
      </c>
    </row>
    <row r="212" spans="1:7" x14ac:dyDescent="0.25">
      <c r="A212" t="s">
        <v>364</v>
      </c>
      <c r="B212" t="str">
        <f>_xlfn.XLOOKUP(A212,[1]Municipios!$B:$B,[1]Municipios!$C:$C)</f>
        <v>Noroeste</v>
      </c>
      <c r="C212" t="str">
        <f>_xlfn.XLOOKUP(A212,[1]Municipios!$B:$B,[1]Municipios!$D:$D)</f>
        <v>Terra Roxa</v>
      </c>
      <c r="D212">
        <v>2025</v>
      </c>
      <c r="E212" t="s">
        <v>233</v>
      </c>
      <c r="F212">
        <v>1</v>
      </c>
      <c r="G212">
        <v>78.849999999999994</v>
      </c>
    </row>
    <row r="213" spans="1:7" x14ac:dyDescent="0.25">
      <c r="A213" t="s">
        <v>364</v>
      </c>
      <c r="B213" t="str">
        <f>_xlfn.XLOOKUP(A213,[1]Municipios!$B:$B,[1]Municipios!$C:$C)</f>
        <v>Noroeste</v>
      </c>
      <c r="C213" t="str">
        <f>_xlfn.XLOOKUP(A213,[1]Municipios!$B:$B,[1]Municipios!$D:$D)</f>
        <v>Terra Roxa</v>
      </c>
      <c r="D213">
        <v>2025</v>
      </c>
      <c r="E213" t="s">
        <v>215</v>
      </c>
      <c r="F213">
        <v>0.65</v>
      </c>
      <c r="G213">
        <v>78.849999999999994</v>
      </c>
    </row>
    <row r="214" spans="1:7" x14ac:dyDescent="0.25">
      <c r="A214" t="s">
        <v>364</v>
      </c>
      <c r="B214" t="str">
        <f>_xlfn.XLOOKUP(A214,[1]Municipios!$B:$B,[1]Municipios!$C:$C)</f>
        <v>Noroeste</v>
      </c>
      <c r="C214" t="str">
        <f>_xlfn.XLOOKUP(A214,[1]Municipios!$B:$B,[1]Municipios!$D:$D)</f>
        <v>Terra Roxa</v>
      </c>
      <c r="D214">
        <v>2025</v>
      </c>
      <c r="E214" t="s">
        <v>234</v>
      </c>
      <c r="F214">
        <v>0.66669999999999996</v>
      </c>
      <c r="G214">
        <v>78.849999999999994</v>
      </c>
    </row>
    <row r="215" spans="1:7" x14ac:dyDescent="0.25">
      <c r="A215" t="s">
        <v>364</v>
      </c>
      <c r="B215" t="str">
        <f>_xlfn.XLOOKUP(A215,[1]Municipios!$B:$B,[1]Municipios!$C:$C)</f>
        <v>Noroeste</v>
      </c>
      <c r="C215" t="str">
        <f>_xlfn.XLOOKUP(A215,[1]Municipios!$B:$B,[1]Municipios!$D:$D)</f>
        <v>Terra Roxa</v>
      </c>
      <c r="D215">
        <v>2025</v>
      </c>
      <c r="E215" t="s">
        <v>235</v>
      </c>
      <c r="F215">
        <v>1</v>
      </c>
      <c r="G215">
        <v>78.849999999999994</v>
      </c>
    </row>
    <row r="216" spans="1:7" x14ac:dyDescent="0.25">
      <c r="A216" t="s">
        <v>364</v>
      </c>
      <c r="B216" t="str">
        <f>_xlfn.XLOOKUP(A216,[1]Municipios!$B:$B,[1]Municipios!$C:$C)</f>
        <v>Noroeste</v>
      </c>
      <c r="C216" t="str">
        <f>_xlfn.XLOOKUP(A216,[1]Municipios!$B:$B,[1]Municipios!$D:$D)</f>
        <v>Terra Roxa</v>
      </c>
      <c r="D216">
        <v>2025</v>
      </c>
      <c r="E216" t="s">
        <v>236</v>
      </c>
      <c r="F216">
        <v>0.38469999999999999</v>
      </c>
      <c r="G216">
        <v>78.849999999999994</v>
      </c>
    </row>
    <row r="217" spans="1:7" x14ac:dyDescent="0.25">
      <c r="A217" t="s">
        <v>364</v>
      </c>
      <c r="B217" t="str">
        <f>_xlfn.XLOOKUP(A217,[1]Municipios!$B:$B,[1]Municipios!$C:$C)</f>
        <v>Noroeste</v>
      </c>
      <c r="C217" t="str">
        <f>_xlfn.XLOOKUP(A217,[1]Municipios!$B:$B,[1]Municipios!$D:$D)</f>
        <v>Terra Roxa</v>
      </c>
      <c r="D217">
        <v>2025</v>
      </c>
      <c r="E217" t="s">
        <v>237</v>
      </c>
      <c r="F217">
        <v>1</v>
      </c>
      <c r="G217">
        <v>78.849999999999994</v>
      </c>
    </row>
    <row r="218" spans="1:7" x14ac:dyDescent="0.25">
      <c r="A218" t="s">
        <v>365</v>
      </c>
      <c r="B218" t="str">
        <f>_xlfn.XLOOKUP(A218,[1]Municipios!$B:$B,[1]Municipios!$C:$C)</f>
        <v>Noroeste</v>
      </c>
      <c r="C218" t="str">
        <f>_xlfn.XLOOKUP(A218,[1]Municipios!$B:$B,[1]Municipios!$D:$D)</f>
        <v>Terra Roxa</v>
      </c>
      <c r="D218">
        <v>2025</v>
      </c>
      <c r="E218" t="s">
        <v>231</v>
      </c>
      <c r="F218">
        <v>0.55549999999999988</v>
      </c>
      <c r="G218">
        <v>29.94</v>
      </c>
    </row>
    <row r="219" spans="1:7" x14ac:dyDescent="0.25">
      <c r="A219" t="s">
        <v>365</v>
      </c>
      <c r="B219" t="str">
        <f>_xlfn.XLOOKUP(A219,[1]Municipios!$B:$B,[1]Municipios!$C:$C)</f>
        <v>Noroeste</v>
      </c>
      <c r="C219" t="str">
        <f>_xlfn.XLOOKUP(A219,[1]Municipios!$B:$B,[1]Municipios!$D:$D)</f>
        <v>Terra Roxa</v>
      </c>
      <c r="D219">
        <v>2025</v>
      </c>
      <c r="E219" t="s">
        <v>232</v>
      </c>
      <c r="F219">
        <v>0.38450000000000006</v>
      </c>
      <c r="G219">
        <v>29.94</v>
      </c>
    </row>
    <row r="220" spans="1:7" x14ac:dyDescent="0.25">
      <c r="A220" t="s">
        <v>365</v>
      </c>
      <c r="B220" t="str">
        <f>_xlfn.XLOOKUP(A220,[1]Municipios!$B:$B,[1]Municipios!$C:$C)</f>
        <v>Noroeste</v>
      </c>
      <c r="C220" t="str">
        <f>_xlfn.XLOOKUP(A220,[1]Municipios!$B:$B,[1]Municipios!$D:$D)</f>
        <v>Terra Roxa</v>
      </c>
      <c r="D220">
        <v>2025</v>
      </c>
      <c r="E220" t="s">
        <v>233</v>
      </c>
      <c r="F220">
        <v>0.25</v>
      </c>
      <c r="G220">
        <v>29.94</v>
      </c>
    </row>
    <row r="221" spans="1:7" x14ac:dyDescent="0.25">
      <c r="A221" t="s">
        <v>365</v>
      </c>
      <c r="B221" t="str">
        <f>_xlfn.XLOOKUP(A221,[1]Municipios!$B:$B,[1]Municipios!$C:$C)</f>
        <v>Noroeste</v>
      </c>
      <c r="C221" t="str">
        <f>_xlfn.XLOOKUP(A221,[1]Municipios!$B:$B,[1]Municipios!$D:$D)</f>
        <v>Terra Roxa</v>
      </c>
      <c r="D221">
        <v>2025</v>
      </c>
      <c r="E221" t="s">
        <v>215</v>
      </c>
      <c r="F221">
        <v>0.19999999999999998</v>
      </c>
      <c r="G221">
        <v>29.94</v>
      </c>
    </row>
    <row r="222" spans="1:7" x14ac:dyDescent="0.25">
      <c r="A222" t="s">
        <v>365</v>
      </c>
      <c r="B222" t="str">
        <f>_xlfn.XLOOKUP(A222,[1]Municipios!$B:$B,[1]Municipios!$C:$C)</f>
        <v>Noroeste</v>
      </c>
      <c r="C222" t="str">
        <f>_xlfn.XLOOKUP(A222,[1]Municipios!$B:$B,[1]Municipios!$D:$D)</f>
        <v>Terra Roxa</v>
      </c>
      <c r="D222">
        <v>2025</v>
      </c>
      <c r="E222" t="s">
        <v>234</v>
      </c>
      <c r="F222">
        <v>0.66659999999999997</v>
      </c>
      <c r="G222">
        <v>29.94</v>
      </c>
    </row>
    <row r="223" spans="1:7" x14ac:dyDescent="0.25">
      <c r="A223" t="s">
        <v>365</v>
      </c>
      <c r="B223" t="str">
        <f>_xlfn.XLOOKUP(A223,[1]Municipios!$B:$B,[1]Municipios!$C:$C)</f>
        <v>Noroeste</v>
      </c>
      <c r="C223" t="str">
        <f>_xlfn.XLOOKUP(A223,[1]Municipios!$B:$B,[1]Municipios!$D:$D)</f>
        <v>Terra Roxa</v>
      </c>
      <c r="D223">
        <v>2025</v>
      </c>
      <c r="E223" t="s">
        <v>235</v>
      </c>
      <c r="F223">
        <v>0.1429</v>
      </c>
      <c r="G223">
        <v>29.94</v>
      </c>
    </row>
    <row r="224" spans="1:7" x14ac:dyDescent="0.25">
      <c r="A224" t="s">
        <v>365</v>
      </c>
      <c r="B224" t="str">
        <f>_xlfn.XLOOKUP(A224,[1]Municipios!$B:$B,[1]Municipios!$C:$C)</f>
        <v>Noroeste</v>
      </c>
      <c r="C224" t="str">
        <f>_xlfn.XLOOKUP(A224,[1]Municipios!$B:$B,[1]Municipios!$D:$D)</f>
        <v>Terra Roxa</v>
      </c>
      <c r="D224">
        <v>2025</v>
      </c>
      <c r="E224" t="s">
        <v>236</v>
      </c>
      <c r="F224">
        <v>0</v>
      </c>
      <c r="G224">
        <v>29.94</v>
      </c>
    </row>
    <row r="225" spans="1:7" x14ac:dyDescent="0.25">
      <c r="A225" t="s">
        <v>365</v>
      </c>
      <c r="B225" t="str">
        <f>_xlfn.XLOOKUP(A225,[1]Municipios!$B:$B,[1]Municipios!$C:$C)</f>
        <v>Noroeste</v>
      </c>
      <c r="C225" t="str">
        <f>_xlfn.XLOOKUP(A225,[1]Municipios!$B:$B,[1]Municipios!$D:$D)</f>
        <v>Terra Roxa</v>
      </c>
      <c r="D225">
        <v>2025</v>
      </c>
      <c r="E225" t="s">
        <v>237</v>
      </c>
      <c r="F225">
        <v>0</v>
      </c>
      <c r="G225">
        <v>29.94</v>
      </c>
    </row>
    <row r="226" spans="1:7" x14ac:dyDescent="0.25">
      <c r="A226" t="s">
        <v>313</v>
      </c>
      <c r="B226" t="str">
        <f>_xlfn.XLOOKUP(A226,[1]Municipios!$B:$B,[1]Municipios!$C:$C)</f>
        <v>Leste</v>
      </c>
      <c r="C226" t="str">
        <f>_xlfn.XLOOKUP(A226,[1]Municipios!$B:$B,[1]Municipios!$D:$D)</f>
        <v>RMC</v>
      </c>
      <c r="D226">
        <v>2025</v>
      </c>
      <c r="E226" t="s">
        <v>231</v>
      </c>
      <c r="F226">
        <v>0.66669999999999996</v>
      </c>
      <c r="G226">
        <v>45.3</v>
      </c>
    </row>
    <row r="227" spans="1:7" x14ac:dyDescent="0.25">
      <c r="A227" t="s">
        <v>313</v>
      </c>
      <c r="B227" t="str">
        <f>_xlfn.XLOOKUP(A227,[1]Municipios!$B:$B,[1]Municipios!$C:$C)</f>
        <v>Leste</v>
      </c>
      <c r="C227" t="str">
        <f>_xlfn.XLOOKUP(A227,[1]Municipios!$B:$B,[1]Municipios!$D:$D)</f>
        <v>RMC</v>
      </c>
      <c r="D227">
        <v>2025</v>
      </c>
      <c r="E227" t="s">
        <v>232</v>
      </c>
      <c r="F227">
        <v>0.61539999999999995</v>
      </c>
      <c r="G227">
        <v>45.3</v>
      </c>
    </row>
    <row r="228" spans="1:7" x14ac:dyDescent="0.25">
      <c r="A228" t="s">
        <v>313</v>
      </c>
      <c r="B228" t="str">
        <f>_xlfn.XLOOKUP(A228,[1]Municipios!$B:$B,[1]Municipios!$C:$C)</f>
        <v>Leste</v>
      </c>
      <c r="C228" t="str">
        <f>_xlfn.XLOOKUP(A228,[1]Municipios!$B:$B,[1]Municipios!$D:$D)</f>
        <v>RMC</v>
      </c>
      <c r="D228">
        <v>2025</v>
      </c>
      <c r="E228" t="s">
        <v>233</v>
      </c>
      <c r="F228">
        <v>0.5</v>
      </c>
      <c r="G228">
        <v>45.3</v>
      </c>
    </row>
    <row r="229" spans="1:7" x14ac:dyDescent="0.25">
      <c r="A229" t="s">
        <v>313</v>
      </c>
      <c r="B229" t="str">
        <f>_xlfn.XLOOKUP(A229,[1]Municipios!$B:$B,[1]Municipios!$C:$C)</f>
        <v>Leste</v>
      </c>
      <c r="C229" t="str">
        <f>_xlfn.XLOOKUP(A229,[1]Municipios!$B:$B,[1]Municipios!$D:$D)</f>
        <v>RMC</v>
      </c>
      <c r="D229">
        <v>2025</v>
      </c>
      <c r="E229" t="s">
        <v>215</v>
      </c>
      <c r="F229">
        <v>0.39999999999999997</v>
      </c>
      <c r="G229">
        <v>45.3</v>
      </c>
    </row>
    <row r="230" spans="1:7" x14ac:dyDescent="0.25">
      <c r="A230" t="s">
        <v>313</v>
      </c>
      <c r="B230" t="str">
        <f>_xlfn.XLOOKUP(A230,[1]Municipios!$B:$B,[1]Municipios!$C:$C)</f>
        <v>Leste</v>
      </c>
      <c r="C230" t="str">
        <f>_xlfn.XLOOKUP(A230,[1]Municipios!$B:$B,[1]Municipios!$D:$D)</f>
        <v>RMC</v>
      </c>
      <c r="D230">
        <v>2025</v>
      </c>
      <c r="E230" t="s">
        <v>234</v>
      </c>
      <c r="F230">
        <v>0.55549999999999999</v>
      </c>
      <c r="G230">
        <v>45.3</v>
      </c>
    </row>
    <row r="231" spans="1:7" x14ac:dyDescent="0.25">
      <c r="A231" t="s">
        <v>313</v>
      </c>
      <c r="B231" t="str">
        <f>_xlfn.XLOOKUP(A231,[1]Municipios!$B:$B,[1]Municipios!$C:$C)</f>
        <v>Leste</v>
      </c>
      <c r="C231" t="str">
        <f>_xlfn.XLOOKUP(A231,[1]Municipios!$B:$B,[1]Municipios!$D:$D)</f>
        <v>RMC</v>
      </c>
      <c r="D231">
        <v>2025</v>
      </c>
      <c r="E231" t="s">
        <v>235</v>
      </c>
      <c r="F231">
        <v>0.28570000000000001</v>
      </c>
      <c r="G231">
        <v>45.3</v>
      </c>
    </row>
    <row r="232" spans="1:7" x14ac:dyDescent="0.25">
      <c r="A232" t="s">
        <v>313</v>
      </c>
      <c r="B232" t="str">
        <f>_xlfn.XLOOKUP(A232,[1]Municipios!$B:$B,[1]Municipios!$C:$C)</f>
        <v>Leste</v>
      </c>
      <c r="C232" t="str">
        <f>_xlfn.XLOOKUP(A232,[1]Municipios!$B:$B,[1]Municipios!$D:$D)</f>
        <v>RMC</v>
      </c>
      <c r="D232">
        <v>2025</v>
      </c>
      <c r="E232" t="s">
        <v>236</v>
      </c>
      <c r="F232">
        <v>7.6999999999999999E-2</v>
      </c>
      <c r="G232">
        <v>45.3</v>
      </c>
    </row>
    <row r="233" spans="1:7" x14ac:dyDescent="0.25">
      <c r="A233" t="s">
        <v>313</v>
      </c>
      <c r="B233" t="str">
        <f>_xlfn.XLOOKUP(A233,[1]Municipios!$B:$B,[1]Municipios!$C:$C)</f>
        <v>Leste</v>
      </c>
      <c r="C233" t="str">
        <f>_xlfn.XLOOKUP(A233,[1]Municipios!$B:$B,[1]Municipios!$D:$D)</f>
        <v>RMC</v>
      </c>
      <c r="D233">
        <v>2025</v>
      </c>
      <c r="E233" t="s">
        <v>237</v>
      </c>
      <c r="F233">
        <v>0.5</v>
      </c>
      <c r="G233">
        <v>45.3</v>
      </c>
    </row>
    <row r="234" spans="1:7" x14ac:dyDescent="0.25">
      <c r="A234" t="s">
        <v>289</v>
      </c>
      <c r="B234" t="str">
        <f>_xlfn.XLOOKUP(A234,[1]Municipios!$B:$B,[1]Municipios!$C:$C)</f>
        <v>Norte</v>
      </c>
      <c r="C234" t="str">
        <f>_xlfn.XLOOKUP(A234,[1]Municipios!$B:$B,[1]Municipios!$D:$D)</f>
        <v>Norte Pioneiro</v>
      </c>
      <c r="D234">
        <v>2025</v>
      </c>
      <c r="E234" t="s">
        <v>231</v>
      </c>
      <c r="F234">
        <v>1</v>
      </c>
      <c r="G234">
        <v>88.79</v>
      </c>
    </row>
    <row r="235" spans="1:7" x14ac:dyDescent="0.25">
      <c r="A235" t="s">
        <v>289</v>
      </c>
      <c r="B235" t="str">
        <f>_xlfn.XLOOKUP(A235,[1]Municipios!$B:$B,[1]Municipios!$C:$C)</f>
        <v>Norte</v>
      </c>
      <c r="C235" t="str">
        <f>_xlfn.XLOOKUP(A235,[1]Municipios!$B:$B,[1]Municipios!$D:$D)</f>
        <v>Norte Pioneiro</v>
      </c>
      <c r="D235">
        <v>2025</v>
      </c>
      <c r="E235" t="s">
        <v>232</v>
      </c>
      <c r="F235">
        <v>0.92310000000000003</v>
      </c>
      <c r="G235">
        <v>88.79</v>
      </c>
    </row>
    <row r="236" spans="1:7" x14ac:dyDescent="0.25">
      <c r="A236" t="s">
        <v>289</v>
      </c>
      <c r="B236" t="str">
        <f>_xlfn.XLOOKUP(A236,[1]Municipios!$B:$B,[1]Municipios!$C:$C)</f>
        <v>Norte</v>
      </c>
      <c r="C236" t="str">
        <f>_xlfn.XLOOKUP(A236,[1]Municipios!$B:$B,[1]Municipios!$D:$D)</f>
        <v>Norte Pioneiro</v>
      </c>
      <c r="D236">
        <v>2025</v>
      </c>
      <c r="E236" t="s">
        <v>233</v>
      </c>
      <c r="F236">
        <v>0.875</v>
      </c>
      <c r="G236">
        <v>88.79</v>
      </c>
    </row>
    <row r="237" spans="1:7" x14ac:dyDescent="0.25">
      <c r="A237" t="s">
        <v>289</v>
      </c>
      <c r="B237" t="str">
        <f>_xlfn.XLOOKUP(A237,[1]Municipios!$B:$B,[1]Municipios!$C:$C)</f>
        <v>Norte</v>
      </c>
      <c r="C237" t="str">
        <f>_xlfn.XLOOKUP(A237,[1]Municipios!$B:$B,[1]Municipios!$D:$D)</f>
        <v>Norte Pioneiro</v>
      </c>
      <c r="D237">
        <v>2025</v>
      </c>
      <c r="E237" t="s">
        <v>215</v>
      </c>
      <c r="F237">
        <v>1</v>
      </c>
      <c r="G237">
        <v>88.79</v>
      </c>
    </row>
    <row r="238" spans="1:7" x14ac:dyDescent="0.25">
      <c r="A238" t="s">
        <v>289</v>
      </c>
      <c r="B238" t="str">
        <f>_xlfn.XLOOKUP(A238,[1]Municipios!$B:$B,[1]Municipios!$C:$C)</f>
        <v>Norte</v>
      </c>
      <c r="C238" t="str">
        <f>_xlfn.XLOOKUP(A238,[1]Municipios!$B:$B,[1]Municipios!$D:$D)</f>
        <v>Norte Pioneiro</v>
      </c>
      <c r="D238">
        <v>2025</v>
      </c>
      <c r="E238" t="s">
        <v>234</v>
      </c>
      <c r="F238">
        <v>0.66659999999999997</v>
      </c>
      <c r="G238">
        <v>88.79</v>
      </c>
    </row>
    <row r="239" spans="1:7" x14ac:dyDescent="0.25">
      <c r="A239" t="s">
        <v>289</v>
      </c>
      <c r="B239" t="str">
        <f>_xlfn.XLOOKUP(A239,[1]Municipios!$B:$B,[1]Municipios!$C:$C)</f>
        <v>Norte</v>
      </c>
      <c r="C239" t="str">
        <f>_xlfn.XLOOKUP(A239,[1]Municipios!$B:$B,[1]Municipios!$D:$D)</f>
        <v>Norte Pioneiro</v>
      </c>
      <c r="D239">
        <v>2025</v>
      </c>
      <c r="E239" t="s">
        <v>235</v>
      </c>
      <c r="F239">
        <v>1</v>
      </c>
      <c r="G239">
        <v>88.79</v>
      </c>
    </row>
    <row r="240" spans="1:7" x14ac:dyDescent="0.25">
      <c r="A240" t="s">
        <v>289</v>
      </c>
      <c r="B240" t="str">
        <f>_xlfn.XLOOKUP(A240,[1]Municipios!$B:$B,[1]Municipios!$C:$C)</f>
        <v>Norte</v>
      </c>
      <c r="C240" t="str">
        <f>_xlfn.XLOOKUP(A240,[1]Municipios!$B:$B,[1]Municipios!$D:$D)</f>
        <v>Norte Pioneiro</v>
      </c>
      <c r="D240">
        <v>2025</v>
      </c>
      <c r="E240" t="s">
        <v>236</v>
      </c>
      <c r="F240">
        <v>0.69240000000000002</v>
      </c>
      <c r="G240">
        <v>88.79</v>
      </c>
    </row>
    <row r="241" spans="1:7" x14ac:dyDescent="0.25">
      <c r="A241" t="s">
        <v>289</v>
      </c>
      <c r="B241" t="str">
        <f>_xlfn.XLOOKUP(A241,[1]Municipios!$B:$B,[1]Municipios!$C:$C)</f>
        <v>Norte</v>
      </c>
      <c r="C241" t="str">
        <f>_xlfn.XLOOKUP(A241,[1]Municipios!$B:$B,[1]Municipios!$D:$D)</f>
        <v>Norte Pioneiro</v>
      </c>
      <c r="D241">
        <v>2025</v>
      </c>
      <c r="E241" t="s">
        <v>237</v>
      </c>
      <c r="F241">
        <v>1</v>
      </c>
      <c r="G241">
        <v>88.79</v>
      </c>
    </row>
    <row r="242" spans="1:7" x14ac:dyDescent="0.25">
      <c r="A242" t="s">
        <v>321</v>
      </c>
      <c r="B242" t="str">
        <f>_xlfn.XLOOKUP(A242,[1]Municipios!$B:$B,[1]Municipios!$C:$C)</f>
        <v>Noroeste</v>
      </c>
      <c r="C242" t="str">
        <f>_xlfn.XLOOKUP(A242,[1]Municipios!$B:$B,[1]Municipios!$D:$D)</f>
        <v>Centro Ocidental</v>
      </c>
      <c r="D242">
        <v>2025</v>
      </c>
      <c r="E242" t="s">
        <v>231</v>
      </c>
      <c r="F242">
        <v>0.88890000000000002</v>
      </c>
      <c r="G242">
        <v>79.8</v>
      </c>
    </row>
    <row r="243" spans="1:7" x14ac:dyDescent="0.25">
      <c r="A243" t="s">
        <v>321</v>
      </c>
      <c r="B243" t="str">
        <f>_xlfn.XLOOKUP(A243,[1]Municipios!$B:$B,[1]Municipios!$C:$C)</f>
        <v>Noroeste</v>
      </c>
      <c r="C243" t="str">
        <f>_xlfn.XLOOKUP(A243,[1]Municipios!$B:$B,[1]Municipios!$D:$D)</f>
        <v>Centro Ocidental</v>
      </c>
      <c r="D243">
        <v>2025</v>
      </c>
      <c r="E243" t="s">
        <v>232</v>
      </c>
      <c r="F243">
        <v>1</v>
      </c>
      <c r="G243">
        <v>79.8</v>
      </c>
    </row>
    <row r="244" spans="1:7" x14ac:dyDescent="0.25">
      <c r="A244" t="s">
        <v>321</v>
      </c>
      <c r="B244" t="str">
        <f>_xlfn.XLOOKUP(A244,[1]Municipios!$B:$B,[1]Municipios!$C:$C)</f>
        <v>Noroeste</v>
      </c>
      <c r="C244" t="str">
        <f>_xlfn.XLOOKUP(A244,[1]Municipios!$B:$B,[1]Municipios!$D:$D)</f>
        <v>Centro Ocidental</v>
      </c>
      <c r="D244">
        <v>2025</v>
      </c>
      <c r="E244" t="s">
        <v>233</v>
      </c>
      <c r="F244">
        <v>1</v>
      </c>
      <c r="G244">
        <v>79.8</v>
      </c>
    </row>
    <row r="245" spans="1:7" x14ac:dyDescent="0.25">
      <c r="A245" t="s">
        <v>321</v>
      </c>
      <c r="B245" t="str">
        <f>_xlfn.XLOOKUP(A245,[1]Municipios!$B:$B,[1]Municipios!$C:$C)</f>
        <v>Noroeste</v>
      </c>
      <c r="C245" t="str">
        <f>_xlfn.XLOOKUP(A245,[1]Municipios!$B:$B,[1]Municipios!$D:$D)</f>
        <v>Centro Ocidental</v>
      </c>
      <c r="D245">
        <v>2025</v>
      </c>
      <c r="E245" t="s">
        <v>215</v>
      </c>
      <c r="F245">
        <v>0.19999999999999998</v>
      </c>
      <c r="G245">
        <v>79.8</v>
      </c>
    </row>
    <row r="246" spans="1:7" x14ac:dyDescent="0.25">
      <c r="A246" t="s">
        <v>321</v>
      </c>
      <c r="B246" t="str">
        <f>_xlfn.XLOOKUP(A246,[1]Municipios!$B:$B,[1]Municipios!$C:$C)</f>
        <v>Noroeste</v>
      </c>
      <c r="C246" t="str">
        <f>_xlfn.XLOOKUP(A246,[1]Municipios!$B:$B,[1]Municipios!$D:$D)</f>
        <v>Centro Ocidental</v>
      </c>
      <c r="D246">
        <v>2025</v>
      </c>
      <c r="E246" t="s">
        <v>234</v>
      </c>
      <c r="F246">
        <v>0.88890000000000002</v>
      </c>
      <c r="G246">
        <v>79.8</v>
      </c>
    </row>
    <row r="247" spans="1:7" x14ac:dyDescent="0.25">
      <c r="A247" t="s">
        <v>321</v>
      </c>
      <c r="B247" t="str">
        <f>_xlfn.XLOOKUP(A247,[1]Municipios!$B:$B,[1]Municipios!$C:$C)</f>
        <v>Noroeste</v>
      </c>
      <c r="C247" t="str">
        <f>_xlfn.XLOOKUP(A247,[1]Municipios!$B:$B,[1]Municipios!$D:$D)</f>
        <v>Centro Ocidental</v>
      </c>
      <c r="D247">
        <v>2025</v>
      </c>
      <c r="E247" t="s">
        <v>235</v>
      </c>
      <c r="F247">
        <v>1</v>
      </c>
      <c r="G247">
        <v>79.8</v>
      </c>
    </row>
    <row r="248" spans="1:7" x14ac:dyDescent="0.25">
      <c r="A248" t="s">
        <v>321</v>
      </c>
      <c r="B248" t="str">
        <f>_xlfn.XLOOKUP(A248,[1]Municipios!$B:$B,[1]Municipios!$C:$C)</f>
        <v>Noroeste</v>
      </c>
      <c r="C248" t="str">
        <f>_xlfn.XLOOKUP(A248,[1]Municipios!$B:$B,[1]Municipios!$D:$D)</f>
        <v>Centro Ocidental</v>
      </c>
      <c r="D248">
        <v>2025</v>
      </c>
      <c r="E248" t="s">
        <v>236</v>
      </c>
      <c r="F248">
        <v>0.38480000000000003</v>
      </c>
      <c r="G248">
        <v>79.8</v>
      </c>
    </row>
    <row r="249" spans="1:7" x14ac:dyDescent="0.25">
      <c r="A249" t="s">
        <v>321</v>
      </c>
      <c r="B249" t="str">
        <f>_xlfn.XLOOKUP(A249,[1]Municipios!$B:$B,[1]Municipios!$C:$C)</f>
        <v>Noroeste</v>
      </c>
      <c r="C249" t="str">
        <f>_xlfn.XLOOKUP(A249,[1]Municipios!$B:$B,[1]Municipios!$D:$D)</f>
        <v>Centro Ocidental</v>
      </c>
      <c r="D249">
        <v>2025</v>
      </c>
      <c r="E249" t="s">
        <v>237</v>
      </c>
      <c r="F249">
        <v>1</v>
      </c>
      <c r="G249">
        <v>79.8</v>
      </c>
    </row>
    <row r="250" spans="1:7" x14ac:dyDescent="0.25">
      <c r="A250" t="s">
        <v>290</v>
      </c>
      <c r="B250" t="str">
        <f>_xlfn.XLOOKUP(A250,[1]Municipios!$B:$B,[1]Municipios!$C:$C)</f>
        <v>Norte</v>
      </c>
      <c r="C250" t="str">
        <f>_xlfn.XLOOKUP(A250,[1]Municipios!$B:$B,[1]Municipios!$D:$D)</f>
        <v>Norte Pioneiro</v>
      </c>
      <c r="D250">
        <v>2025</v>
      </c>
      <c r="E250" t="s">
        <v>231</v>
      </c>
      <c r="F250">
        <v>0.66669999999999996</v>
      </c>
      <c r="G250">
        <v>83.68</v>
      </c>
    </row>
    <row r="251" spans="1:7" x14ac:dyDescent="0.25">
      <c r="A251" t="s">
        <v>290</v>
      </c>
      <c r="B251" t="str">
        <f>_xlfn.XLOOKUP(A251,[1]Municipios!$B:$B,[1]Municipios!$C:$C)</f>
        <v>Norte</v>
      </c>
      <c r="C251" t="str">
        <f>_xlfn.XLOOKUP(A251,[1]Municipios!$B:$B,[1]Municipios!$D:$D)</f>
        <v>Norte Pioneiro</v>
      </c>
      <c r="D251">
        <v>2025</v>
      </c>
      <c r="E251" t="s">
        <v>232</v>
      </c>
      <c r="F251">
        <v>0.92310000000000003</v>
      </c>
      <c r="G251">
        <v>83.68</v>
      </c>
    </row>
    <row r="252" spans="1:7" x14ac:dyDescent="0.25">
      <c r="A252" t="s">
        <v>290</v>
      </c>
      <c r="B252" t="str">
        <f>_xlfn.XLOOKUP(A252,[1]Municipios!$B:$B,[1]Municipios!$C:$C)</f>
        <v>Norte</v>
      </c>
      <c r="C252" t="str">
        <f>_xlfn.XLOOKUP(A252,[1]Municipios!$B:$B,[1]Municipios!$D:$D)</f>
        <v>Norte Pioneiro</v>
      </c>
      <c r="D252">
        <v>2025</v>
      </c>
      <c r="E252" t="s">
        <v>233</v>
      </c>
      <c r="F252">
        <v>0.875</v>
      </c>
      <c r="G252">
        <v>83.68</v>
      </c>
    </row>
    <row r="253" spans="1:7" x14ac:dyDescent="0.25">
      <c r="A253" t="s">
        <v>290</v>
      </c>
      <c r="B253" t="str">
        <f>_xlfn.XLOOKUP(A253,[1]Municipios!$B:$B,[1]Municipios!$C:$C)</f>
        <v>Norte</v>
      </c>
      <c r="C253" t="str">
        <f>_xlfn.XLOOKUP(A253,[1]Municipios!$B:$B,[1]Municipios!$D:$D)</f>
        <v>Norte Pioneiro</v>
      </c>
      <c r="D253">
        <v>2025</v>
      </c>
      <c r="E253" t="s">
        <v>215</v>
      </c>
      <c r="F253">
        <v>0.75</v>
      </c>
      <c r="G253">
        <v>83.68</v>
      </c>
    </row>
    <row r="254" spans="1:7" x14ac:dyDescent="0.25">
      <c r="A254" t="s">
        <v>290</v>
      </c>
      <c r="B254" t="str">
        <f>_xlfn.XLOOKUP(A254,[1]Municipios!$B:$B,[1]Municipios!$C:$C)</f>
        <v>Norte</v>
      </c>
      <c r="C254" t="str">
        <f>_xlfn.XLOOKUP(A254,[1]Municipios!$B:$B,[1]Municipios!$D:$D)</f>
        <v>Norte Pioneiro</v>
      </c>
      <c r="D254">
        <v>2025</v>
      </c>
      <c r="E254" t="s">
        <v>234</v>
      </c>
      <c r="F254">
        <v>0.77780000000000005</v>
      </c>
      <c r="G254">
        <v>83.68</v>
      </c>
    </row>
    <row r="255" spans="1:7" x14ac:dyDescent="0.25">
      <c r="A255" t="s">
        <v>290</v>
      </c>
      <c r="B255" t="str">
        <f>_xlfn.XLOOKUP(A255,[1]Municipios!$B:$B,[1]Municipios!$C:$C)</f>
        <v>Norte</v>
      </c>
      <c r="C255" t="str">
        <f>_xlfn.XLOOKUP(A255,[1]Municipios!$B:$B,[1]Municipios!$D:$D)</f>
        <v>Norte Pioneiro</v>
      </c>
      <c r="D255">
        <v>2025</v>
      </c>
      <c r="E255" t="s">
        <v>235</v>
      </c>
      <c r="F255">
        <v>1</v>
      </c>
      <c r="G255">
        <v>83.68</v>
      </c>
    </row>
    <row r="256" spans="1:7" x14ac:dyDescent="0.25">
      <c r="A256" t="s">
        <v>290</v>
      </c>
      <c r="B256" t="str">
        <f>_xlfn.XLOOKUP(A256,[1]Municipios!$B:$B,[1]Municipios!$C:$C)</f>
        <v>Norte</v>
      </c>
      <c r="C256" t="str">
        <f>_xlfn.XLOOKUP(A256,[1]Municipios!$B:$B,[1]Municipios!$D:$D)</f>
        <v>Norte Pioneiro</v>
      </c>
      <c r="D256">
        <v>2025</v>
      </c>
      <c r="E256" t="s">
        <v>236</v>
      </c>
      <c r="F256">
        <v>0.69240000000000002</v>
      </c>
      <c r="G256">
        <v>83.68</v>
      </c>
    </row>
    <row r="257" spans="1:7" x14ac:dyDescent="0.25">
      <c r="A257" t="s">
        <v>290</v>
      </c>
      <c r="B257" t="str">
        <f>_xlfn.XLOOKUP(A257,[1]Municipios!$B:$B,[1]Municipios!$C:$C)</f>
        <v>Norte</v>
      </c>
      <c r="C257" t="str">
        <f>_xlfn.XLOOKUP(A257,[1]Municipios!$B:$B,[1]Municipios!$D:$D)</f>
        <v>Norte Pioneiro</v>
      </c>
      <c r="D257">
        <v>2025</v>
      </c>
      <c r="E257" t="s">
        <v>237</v>
      </c>
      <c r="F257">
        <v>1</v>
      </c>
      <c r="G257">
        <v>83.68</v>
      </c>
    </row>
    <row r="258" spans="1:7" x14ac:dyDescent="0.25">
      <c r="A258" t="s">
        <v>338</v>
      </c>
      <c r="B258" t="str">
        <f>_xlfn.XLOOKUP(A258,[1]Municipios!$B:$B,[1]Municipios!$C:$C)</f>
        <v>Sul</v>
      </c>
      <c r="C258" t="str">
        <f>_xlfn.XLOOKUP(A258,[1]Municipios!$B:$B,[1]Municipios!$D:$D)</f>
        <v>Sudoeste La Frontera</v>
      </c>
      <c r="D258">
        <v>2025</v>
      </c>
      <c r="E258" t="s">
        <v>231</v>
      </c>
      <c r="F258">
        <v>0.55559999999999998</v>
      </c>
      <c r="G258">
        <v>82.98</v>
      </c>
    </row>
    <row r="259" spans="1:7" x14ac:dyDescent="0.25">
      <c r="A259" t="s">
        <v>338</v>
      </c>
      <c r="B259" t="str">
        <f>_xlfn.XLOOKUP(A259,[1]Municipios!$B:$B,[1]Municipios!$C:$C)</f>
        <v>Sul</v>
      </c>
      <c r="C259" t="str">
        <f>_xlfn.XLOOKUP(A259,[1]Municipios!$B:$B,[1]Municipios!$D:$D)</f>
        <v>Sudoeste La Frontera</v>
      </c>
      <c r="D259">
        <v>2025</v>
      </c>
      <c r="E259" t="s">
        <v>232</v>
      </c>
      <c r="F259">
        <v>0.92310000000000003</v>
      </c>
      <c r="G259">
        <v>82.98</v>
      </c>
    </row>
    <row r="260" spans="1:7" x14ac:dyDescent="0.25">
      <c r="A260" t="s">
        <v>338</v>
      </c>
      <c r="B260" t="str">
        <f>_xlfn.XLOOKUP(A260,[1]Municipios!$B:$B,[1]Municipios!$C:$C)</f>
        <v>Sul</v>
      </c>
      <c r="C260" t="str">
        <f>_xlfn.XLOOKUP(A260,[1]Municipios!$B:$B,[1]Municipios!$D:$D)</f>
        <v>Sudoeste La Frontera</v>
      </c>
      <c r="D260">
        <v>2025</v>
      </c>
      <c r="E260" t="s">
        <v>233</v>
      </c>
      <c r="F260">
        <v>0.875</v>
      </c>
      <c r="G260">
        <v>82.98</v>
      </c>
    </row>
    <row r="261" spans="1:7" x14ac:dyDescent="0.25">
      <c r="A261" t="s">
        <v>338</v>
      </c>
      <c r="B261" t="str">
        <f>_xlfn.XLOOKUP(A261,[1]Municipios!$B:$B,[1]Municipios!$C:$C)</f>
        <v>Sul</v>
      </c>
      <c r="C261" t="str">
        <f>_xlfn.XLOOKUP(A261,[1]Municipios!$B:$B,[1]Municipios!$D:$D)</f>
        <v>Sudoeste La Frontera</v>
      </c>
      <c r="D261">
        <v>2025</v>
      </c>
      <c r="E261" t="s">
        <v>215</v>
      </c>
      <c r="F261">
        <v>0.95000000000000007</v>
      </c>
      <c r="G261">
        <v>82.98</v>
      </c>
    </row>
    <row r="262" spans="1:7" x14ac:dyDescent="0.25">
      <c r="A262" t="s">
        <v>338</v>
      </c>
      <c r="B262" t="str">
        <f>_xlfn.XLOOKUP(A262,[1]Municipios!$B:$B,[1]Municipios!$C:$C)</f>
        <v>Sul</v>
      </c>
      <c r="C262" t="str">
        <f>_xlfn.XLOOKUP(A262,[1]Municipios!$B:$B,[1]Municipios!$D:$D)</f>
        <v>Sudoeste La Frontera</v>
      </c>
      <c r="D262">
        <v>2025</v>
      </c>
      <c r="E262" t="s">
        <v>234</v>
      </c>
      <c r="F262">
        <v>1</v>
      </c>
      <c r="G262">
        <v>82.98</v>
      </c>
    </row>
    <row r="263" spans="1:7" x14ac:dyDescent="0.25">
      <c r="A263" t="s">
        <v>338</v>
      </c>
      <c r="B263" t="str">
        <f>_xlfn.XLOOKUP(A263,[1]Municipios!$B:$B,[1]Municipios!$C:$C)</f>
        <v>Sul</v>
      </c>
      <c r="C263" t="str">
        <f>_xlfn.XLOOKUP(A263,[1]Municipios!$B:$B,[1]Municipios!$D:$D)</f>
        <v>Sudoeste La Frontera</v>
      </c>
      <c r="D263">
        <v>2025</v>
      </c>
      <c r="E263" t="s">
        <v>235</v>
      </c>
      <c r="F263">
        <v>1</v>
      </c>
      <c r="G263">
        <v>82.98</v>
      </c>
    </row>
    <row r="264" spans="1:7" x14ac:dyDescent="0.25">
      <c r="A264" t="s">
        <v>338</v>
      </c>
      <c r="B264" t="str">
        <f>_xlfn.XLOOKUP(A264,[1]Municipios!$B:$B,[1]Municipios!$C:$C)</f>
        <v>Sul</v>
      </c>
      <c r="C264" t="str">
        <f>_xlfn.XLOOKUP(A264,[1]Municipios!$B:$B,[1]Municipios!$D:$D)</f>
        <v>Sudoeste La Frontera</v>
      </c>
      <c r="D264">
        <v>2025</v>
      </c>
      <c r="E264" t="s">
        <v>236</v>
      </c>
      <c r="F264">
        <v>0.23080000000000001</v>
      </c>
      <c r="G264">
        <v>82.98</v>
      </c>
    </row>
    <row r="265" spans="1:7" x14ac:dyDescent="0.25">
      <c r="A265" t="s">
        <v>338</v>
      </c>
      <c r="B265" t="str">
        <f>_xlfn.XLOOKUP(A265,[1]Municipios!$B:$B,[1]Municipios!$C:$C)</f>
        <v>Sul</v>
      </c>
      <c r="C265" t="str">
        <f>_xlfn.XLOOKUP(A265,[1]Municipios!$B:$B,[1]Municipios!$D:$D)</f>
        <v>Sudoeste La Frontera</v>
      </c>
      <c r="D265">
        <v>2025</v>
      </c>
      <c r="E265" t="s">
        <v>237</v>
      </c>
      <c r="F265">
        <v>1</v>
      </c>
      <c r="G265">
        <v>82.98</v>
      </c>
    </row>
    <row r="266" spans="1:7" x14ac:dyDescent="0.25">
      <c r="A266" t="s">
        <v>339</v>
      </c>
      <c r="B266" t="str">
        <f>_xlfn.XLOOKUP(A266,[1]Municipios!$B:$B,[1]Municipios!$C:$C)</f>
        <v>Sul</v>
      </c>
      <c r="C266" t="str">
        <f>_xlfn.XLOOKUP(A266,[1]Municipios!$B:$B,[1]Municipios!$D:$D)</f>
        <v>Sudoeste La Frontera</v>
      </c>
      <c r="D266">
        <v>2025</v>
      </c>
      <c r="E266" t="s">
        <v>231</v>
      </c>
      <c r="F266">
        <v>0</v>
      </c>
      <c r="G266">
        <v>30.03</v>
      </c>
    </row>
    <row r="267" spans="1:7" x14ac:dyDescent="0.25">
      <c r="A267" t="s">
        <v>339</v>
      </c>
      <c r="B267" t="str">
        <f>_xlfn.XLOOKUP(A267,[1]Municipios!$B:$B,[1]Municipios!$C:$C)</f>
        <v>Sul</v>
      </c>
      <c r="C267" t="str">
        <f>_xlfn.XLOOKUP(A267,[1]Municipios!$B:$B,[1]Municipios!$D:$D)</f>
        <v>Sudoeste La Frontera</v>
      </c>
      <c r="D267">
        <v>2025</v>
      </c>
      <c r="E267" t="s">
        <v>232</v>
      </c>
      <c r="F267">
        <v>0.69240000000000002</v>
      </c>
      <c r="G267">
        <v>30.03</v>
      </c>
    </row>
    <row r="268" spans="1:7" x14ac:dyDescent="0.25">
      <c r="A268" t="s">
        <v>339</v>
      </c>
      <c r="B268" t="str">
        <f>_xlfn.XLOOKUP(A268,[1]Municipios!$B:$B,[1]Municipios!$C:$C)</f>
        <v>Sul</v>
      </c>
      <c r="C268" t="str">
        <f>_xlfn.XLOOKUP(A268,[1]Municipios!$B:$B,[1]Municipios!$D:$D)</f>
        <v>Sudoeste La Frontera</v>
      </c>
      <c r="D268">
        <v>2025</v>
      </c>
      <c r="E268" t="s">
        <v>233</v>
      </c>
      <c r="F268">
        <v>0.375</v>
      </c>
      <c r="G268">
        <v>30.03</v>
      </c>
    </row>
    <row r="269" spans="1:7" x14ac:dyDescent="0.25">
      <c r="A269" t="s">
        <v>339</v>
      </c>
      <c r="B269" t="str">
        <f>_xlfn.XLOOKUP(A269,[1]Municipios!$B:$B,[1]Municipios!$C:$C)</f>
        <v>Sul</v>
      </c>
      <c r="C269" t="str">
        <f>_xlfn.XLOOKUP(A269,[1]Municipios!$B:$B,[1]Municipios!$D:$D)</f>
        <v>Sudoeste La Frontera</v>
      </c>
      <c r="D269">
        <v>2025</v>
      </c>
      <c r="E269" t="s">
        <v>215</v>
      </c>
      <c r="F269">
        <v>0.3</v>
      </c>
      <c r="G269">
        <v>30.03</v>
      </c>
    </row>
    <row r="270" spans="1:7" x14ac:dyDescent="0.25">
      <c r="A270" t="s">
        <v>339</v>
      </c>
      <c r="B270" t="str">
        <f>_xlfn.XLOOKUP(A270,[1]Municipios!$B:$B,[1]Municipios!$C:$C)</f>
        <v>Sul</v>
      </c>
      <c r="C270" t="str">
        <f>_xlfn.XLOOKUP(A270,[1]Municipios!$B:$B,[1]Municipios!$D:$D)</f>
        <v>Sudoeste La Frontera</v>
      </c>
      <c r="D270">
        <v>2025</v>
      </c>
      <c r="E270" t="s">
        <v>234</v>
      </c>
      <c r="F270">
        <v>0.66659999999999997</v>
      </c>
      <c r="G270">
        <v>30.03</v>
      </c>
    </row>
    <row r="271" spans="1:7" x14ac:dyDescent="0.25">
      <c r="A271" t="s">
        <v>339</v>
      </c>
      <c r="B271" t="str">
        <f>_xlfn.XLOOKUP(A271,[1]Municipios!$B:$B,[1]Municipios!$C:$C)</f>
        <v>Sul</v>
      </c>
      <c r="C271" t="str">
        <f>_xlfn.XLOOKUP(A271,[1]Municipios!$B:$B,[1]Municipios!$D:$D)</f>
        <v>Sudoeste La Frontera</v>
      </c>
      <c r="D271">
        <v>2025</v>
      </c>
      <c r="E271" t="s">
        <v>235</v>
      </c>
      <c r="F271">
        <v>0.14279999999999998</v>
      </c>
      <c r="G271">
        <v>30.03</v>
      </c>
    </row>
    <row r="272" spans="1:7" x14ac:dyDescent="0.25">
      <c r="A272" t="s">
        <v>339</v>
      </c>
      <c r="B272" t="str">
        <f>_xlfn.XLOOKUP(A272,[1]Municipios!$B:$B,[1]Municipios!$C:$C)</f>
        <v>Sul</v>
      </c>
      <c r="C272" t="str">
        <f>_xlfn.XLOOKUP(A272,[1]Municipios!$B:$B,[1]Municipios!$D:$D)</f>
        <v>Sudoeste La Frontera</v>
      </c>
      <c r="D272">
        <v>2025</v>
      </c>
      <c r="E272" t="s">
        <v>236</v>
      </c>
      <c r="F272">
        <v>0</v>
      </c>
      <c r="G272">
        <v>30.03</v>
      </c>
    </row>
    <row r="273" spans="1:7" x14ac:dyDescent="0.25">
      <c r="A273" t="s">
        <v>339</v>
      </c>
      <c r="B273" t="str">
        <f>_xlfn.XLOOKUP(A273,[1]Municipios!$B:$B,[1]Municipios!$C:$C)</f>
        <v>Sul</v>
      </c>
      <c r="C273" t="str">
        <f>_xlfn.XLOOKUP(A273,[1]Municipios!$B:$B,[1]Municipios!$D:$D)</f>
        <v>Sudoeste La Frontera</v>
      </c>
      <c r="D273">
        <v>2025</v>
      </c>
      <c r="E273" t="s">
        <v>237</v>
      </c>
      <c r="F273">
        <v>0</v>
      </c>
      <c r="G273">
        <v>30.03</v>
      </c>
    </row>
    <row r="274" spans="1:7" x14ac:dyDescent="0.25">
      <c r="A274" t="s">
        <v>245</v>
      </c>
      <c r="B274" t="str">
        <f>_xlfn.XLOOKUP(A274,[1]Municipios!$B:$B,[1]Municipios!$C:$C)</f>
        <v>Norte</v>
      </c>
      <c r="C274" t="str">
        <f>_xlfn.XLOOKUP(A274,[1]Municipios!$B:$B,[1]Municipios!$D:$D)</f>
        <v>Norte Do Paraná</v>
      </c>
      <c r="D274">
        <v>2025</v>
      </c>
      <c r="E274" t="s">
        <v>231</v>
      </c>
      <c r="F274">
        <v>0</v>
      </c>
      <c r="G274">
        <v>40.42</v>
      </c>
    </row>
    <row r="275" spans="1:7" x14ac:dyDescent="0.25">
      <c r="A275" t="s">
        <v>245</v>
      </c>
      <c r="B275" t="str">
        <f>_xlfn.XLOOKUP(A275,[1]Municipios!$B:$B,[1]Municipios!$C:$C)</f>
        <v>Norte</v>
      </c>
      <c r="C275" t="str">
        <f>_xlfn.XLOOKUP(A275,[1]Municipios!$B:$B,[1]Municipios!$D:$D)</f>
        <v>Norte Do Paraná</v>
      </c>
      <c r="D275">
        <v>2025</v>
      </c>
      <c r="E275" t="s">
        <v>232</v>
      </c>
      <c r="F275">
        <v>0.69230000000000003</v>
      </c>
      <c r="G275">
        <v>40.42</v>
      </c>
    </row>
    <row r="276" spans="1:7" x14ac:dyDescent="0.25">
      <c r="A276" t="s">
        <v>245</v>
      </c>
      <c r="B276" t="str">
        <f>_xlfn.XLOOKUP(A276,[1]Municipios!$B:$B,[1]Municipios!$C:$C)</f>
        <v>Norte</v>
      </c>
      <c r="C276" t="str">
        <f>_xlfn.XLOOKUP(A276,[1]Municipios!$B:$B,[1]Municipios!$D:$D)</f>
        <v>Norte Do Paraná</v>
      </c>
      <c r="D276">
        <v>2025</v>
      </c>
      <c r="E276" t="s">
        <v>233</v>
      </c>
      <c r="F276">
        <v>0.5</v>
      </c>
      <c r="G276">
        <v>40.42</v>
      </c>
    </row>
    <row r="277" spans="1:7" x14ac:dyDescent="0.25">
      <c r="A277" t="s">
        <v>245</v>
      </c>
      <c r="B277" t="str">
        <f>_xlfn.XLOOKUP(A277,[1]Municipios!$B:$B,[1]Municipios!$C:$C)</f>
        <v>Norte</v>
      </c>
      <c r="C277" t="str">
        <f>_xlfn.XLOOKUP(A277,[1]Municipios!$B:$B,[1]Municipios!$D:$D)</f>
        <v>Norte Do Paraná</v>
      </c>
      <c r="D277">
        <v>2025</v>
      </c>
      <c r="E277" t="s">
        <v>215</v>
      </c>
      <c r="F277">
        <v>0.39999999999999997</v>
      </c>
      <c r="G277">
        <v>40.42</v>
      </c>
    </row>
    <row r="278" spans="1:7" x14ac:dyDescent="0.25">
      <c r="A278" t="s">
        <v>245</v>
      </c>
      <c r="B278" t="str">
        <f>_xlfn.XLOOKUP(A278,[1]Municipios!$B:$B,[1]Municipios!$C:$C)</f>
        <v>Norte</v>
      </c>
      <c r="C278" t="str">
        <f>_xlfn.XLOOKUP(A278,[1]Municipios!$B:$B,[1]Municipios!$D:$D)</f>
        <v>Norte Do Paraná</v>
      </c>
      <c r="D278">
        <v>2025</v>
      </c>
      <c r="E278" t="s">
        <v>234</v>
      </c>
      <c r="F278">
        <v>0.66659999999999997</v>
      </c>
      <c r="G278">
        <v>40.42</v>
      </c>
    </row>
    <row r="279" spans="1:7" x14ac:dyDescent="0.25">
      <c r="A279" t="s">
        <v>245</v>
      </c>
      <c r="B279" t="str">
        <f>_xlfn.XLOOKUP(A279,[1]Municipios!$B:$B,[1]Municipios!$C:$C)</f>
        <v>Norte</v>
      </c>
      <c r="C279" t="str">
        <f>_xlfn.XLOOKUP(A279,[1]Municipios!$B:$B,[1]Municipios!$D:$D)</f>
        <v>Norte Do Paraná</v>
      </c>
      <c r="D279">
        <v>2025</v>
      </c>
      <c r="E279" t="s">
        <v>235</v>
      </c>
      <c r="F279">
        <v>0.28570000000000001</v>
      </c>
      <c r="G279">
        <v>40.42</v>
      </c>
    </row>
    <row r="280" spans="1:7" x14ac:dyDescent="0.25">
      <c r="A280" t="s">
        <v>245</v>
      </c>
      <c r="B280" t="str">
        <f>_xlfn.XLOOKUP(A280,[1]Municipios!$B:$B,[1]Municipios!$C:$C)</f>
        <v>Norte</v>
      </c>
      <c r="C280" t="str">
        <f>_xlfn.XLOOKUP(A280,[1]Municipios!$B:$B,[1]Municipios!$D:$D)</f>
        <v>Norte Do Paraná</v>
      </c>
      <c r="D280">
        <v>2025</v>
      </c>
      <c r="E280" t="s">
        <v>236</v>
      </c>
      <c r="F280">
        <v>7.690000000000001E-2</v>
      </c>
      <c r="G280">
        <v>40.42</v>
      </c>
    </row>
    <row r="281" spans="1:7" x14ac:dyDescent="0.25">
      <c r="A281" t="s">
        <v>245</v>
      </c>
      <c r="B281" t="str">
        <f>_xlfn.XLOOKUP(A281,[1]Municipios!$B:$B,[1]Municipios!$C:$C)</f>
        <v>Norte</v>
      </c>
      <c r="C281" t="str">
        <f>_xlfn.XLOOKUP(A281,[1]Municipios!$B:$B,[1]Municipios!$D:$D)</f>
        <v>Norte Do Paraná</v>
      </c>
      <c r="D281">
        <v>2025</v>
      </c>
      <c r="E281" t="s">
        <v>237</v>
      </c>
      <c r="F281">
        <v>0.5</v>
      </c>
      <c r="G281">
        <v>40.42</v>
      </c>
    </row>
    <row r="282" spans="1:7" x14ac:dyDescent="0.25">
      <c r="A282" t="s">
        <v>407</v>
      </c>
      <c r="B282" t="str">
        <f>_xlfn.XLOOKUP(A282,[1]Municipios!$B:$B,[1]Municipios!$C:$C)</f>
        <v>Sul</v>
      </c>
      <c r="C282" t="str">
        <f>_xlfn.XLOOKUP(A282,[1]Municipios!$B:$B,[1]Municipios!$D:$D)</f>
        <v>Sul do Paraná</v>
      </c>
      <c r="D282">
        <v>2025</v>
      </c>
      <c r="E282" t="s">
        <v>231</v>
      </c>
      <c r="F282">
        <v>0.88890000000000002</v>
      </c>
      <c r="G282">
        <v>82.59</v>
      </c>
    </row>
    <row r="283" spans="1:7" x14ac:dyDescent="0.25">
      <c r="A283" t="s">
        <v>407</v>
      </c>
      <c r="B283" t="str">
        <f>_xlfn.XLOOKUP(A283,[1]Municipios!$B:$B,[1]Municipios!$C:$C)</f>
        <v>Sul</v>
      </c>
      <c r="C283" t="str">
        <f>_xlfn.XLOOKUP(A283,[1]Municipios!$B:$B,[1]Municipios!$D:$D)</f>
        <v>Sul do Paraná</v>
      </c>
      <c r="D283">
        <v>2025</v>
      </c>
      <c r="E283" t="s">
        <v>232</v>
      </c>
      <c r="F283">
        <v>1</v>
      </c>
      <c r="G283">
        <v>82.59</v>
      </c>
    </row>
    <row r="284" spans="1:7" x14ac:dyDescent="0.25">
      <c r="A284" t="s">
        <v>407</v>
      </c>
      <c r="B284" t="str">
        <f>_xlfn.XLOOKUP(A284,[1]Municipios!$B:$B,[1]Municipios!$C:$C)</f>
        <v>Sul</v>
      </c>
      <c r="C284" t="str">
        <f>_xlfn.XLOOKUP(A284,[1]Municipios!$B:$B,[1]Municipios!$D:$D)</f>
        <v>Sul do Paraná</v>
      </c>
      <c r="D284">
        <v>2025</v>
      </c>
      <c r="E284" t="s">
        <v>233</v>
      </c>
      <c r="F284">
        <v>0.875</v>
      </c>
      <c r="G284">
        <v>82.59</v>
      </c>
    </row>
    <row r="285" spans="1:7" x14ac:dyDescent="0.25">
      <c r="A285" t="s">
        <v>407</v>
      </c>
      <c r="B285" t="str">
        <f>_xlfn.XLOOKUP(A285,[1]Municipios!$B:$B,[1]Municipios!$C:$C)</f>
        <v>Sul</v>
      </c>
      <c r="C285" t="str">
        <f>_xlfn.XLOOKUP(A285,[1]Municipios!$B:$B,[1]Municipios!$D:$D)</f>
        <v>Sul do Paraná</v>
      </c>
      <c r="D285">
        <v>2025</v>
      </c>
      <c r="E285" t="s">
        <v>215</v>
      </c>
      <c r="F285">
        <v>0.79999999999999993</v>
      </c>
      <c r="G285">
        <v>82.59</v>
      </c>
    </row>
    <row r="286" spans="1:7" x14ac:dyDescent="0.25">
      <c r="A286" t="s">
        <v>407</v>
      </c>
      <c r="B286" t="str">
        <f>_xlfn.XLOOKUP(A286,[1]Municipios!$B:$B,[1]Municipios!$C:$C)</f>
        <v>Sul</v>
      </c>
      <c r="C286" t="str">
        <f>_xlfn.XLOOKUP(A286,[1]Municipios!$B:$B,[1]Municipios!$D:$D)</f>
        <v>Sul do Paraná</v>
      </c>
      <c r="D286">
        <v>2025</v>
      </c>
      <c r="E286" t="s">
        <v>234</v>
      </c>
      <c r="F286">
        <v>0.66669999999999996</v>
      </c>
      <c r="G286">
        <v>82.59</v>
      </c>
    </row>
    <row r="287" spans="1:7" x14ac:dyDescent="0.25">
      <c r="A287" t="s">
        <v>407</v>
      </c>
      <c r="B287" t="str">
        <f>_xlfn.XLOOKUP(A287,[1]Municipios!$B:$B,[1]Municipios!$C:$C)</f>
        <v>Sul</v>
      </c>
      <c r="C287" t="str">
        <f>_xlfn.XLOOKUP(A287,[1]Municipios!$B:$B,[1]Municipios!$D:$D)</f>
        <v>Sul do Paraná</v>
      </c>
      <c r="D287">
        <v>2025</v>
      </c>
      <c r="E287" t="s">
        <v>235</v>
      </c>
      <c r="F287">
        <v>1</v>
      </c>
      <c r="G287">
        <v>82.59</v>
      </c>
    </row>
    <row r="288" spans="1:7" x14ac:dyDescent="0.25">
      <c r="A288" t="s">
        <v>407</v>
      </c>
      <c r="B288" t="str">
        <f>_xlfn.XLOOKUP(A288,[1]Municipios!$B:$B,[1]Municipios!$C:$C)</f>
        <v>Sul</v>
      </c>
      <c r="C288" t="str">
        <f>_xlfn.XLOOKUP(A288,[1]Municipios!$B:$B,[1]Municipios!$D:$D)</f>
        <v>Sul do Paraná</v>
      </c>
      <c r="D288">
        <v>2025</v>
      </c>
      <c r="E288" t="s">
        <v>236</v>
      </c>
      <c r="F288">
        <v>0.38469999999999999</v>
      </c>
      <c r="G288">
        <v>82.59</v>
      </c>
    </row>
    <row r="289" spans="1:7" x14ac:dyDescent="0.25">
      <c r="A289" t="s">
        <v>407</v>
      </c>
      <c r="B289" t="str">
        <f>_xlfn.XLOOKUP(A289,[1]Municipios!$B:$B,[1]Municipios!$C:$C)</f>
        <v>Sul</v>
      </c>
      <c r="C289" t="str">
        <f>_xlfn.XLOOKUP(A289,[1]Municipios!$B:$B,[1]Municipios!$D:$D)</f>
        <v>Sul do Paraná</v>
      </c>
      <c r="D289">
        <v>2025</v>
      </c>
      <c r="E289" t="s">
        <v>237</v>
      </c>
      <c r="F289">
        <v>1</v>
      </c>
      <c r="G289">
        <v>82.59</v>
      </c>
    </row>
    <row r="290" spans="1:7" x14ac:dyDescent="0.25">
      <c r="A290" t="s">
        <v>322</v>
      </c>
      <c r="B290" t="str">
        <f>_xlfn.XLOOKUP(A290,[1]Municipios!$B:$B,[1]Municipios!$C:$C)</f>
        <v>Noroeste</v>
      </c>
      <c r="C290" t="str">
        <f>_xlfn.XLOOKUP(A290,[1]Municipios!$B:$B,[1]Municipios!$D:$D)</f>
        <v>Centro Ocidental</v>
      </c>
      <c r="D290">
        <v>2025</v>
      </c>
      <c r="E290" t="s">
        <v>231</v>
      </c>
      <c r="F290">
        <v>0</v>
      </c>
      <c r="G290">
        <v>23.96</v>
      </c>
    </row>
    <row r="291" spans="1:7" x14ac:dyDescent="0.25">
      <c r="A291" t="s">
        <v>322</v>
      </c>
      <c r="B291" t="str">
        <f>_xlfn.XLOOKUP(A291,[1]Municipios!$B:$B,[1]Municipios!$C:$C)</f>
        <v>Noroeste</v>
      </c>
      <c r="C291" t="str">
        <f>_xlfn.XLOOKUP(A291,[1]Municipios!$B:$B,[1]Municipios!$D:$D)</f>
        <v>Centro Ocidental</v>
      </c>
      <c r="D291">
        <v>2025</v>
      </c>
      <c r="E291" t="s">
        <v>232</v>
      </c>
      <c r="F291">
        <v>0.53839999999999999</v>
      </c>
      <c r="G291">
        <v>23.96</v>
      </c>
    </row>
    <row r="292" spans="1:7" x14ac:dyDescent="0.25">
      <c r="A292" t="s">
        <v>322</v>
      </c>
      <c r="B292" t="str">
        <f>_xlfn.XLOOKUP(A292,[1]Municipios!$B:$B,[1]Municipios!$C:$C)</f>
        <v>Noroeste</v>
      </c>
      <c r="C292" t="str">
        <f>_xlfn.XLOOKUP(A292,[1]Municipios!$B:$B,[1]Municipios!$D:$D)</f>
        <v>Centro Ocidental</v>
      </c>
      <c r="D292">
        <v>2025</v>
      </c>
      <c r="E292" t="s">
        <v>233</v>
      </c>
      <c r="F292">
        <v>0.375</v>
      </c>
      <c r="G292">
        <v>23.96</v>
      </c>
    </row>
    <row r="293" spans="1:7" x14ac:dyDescent="0.25">
      <c r="A293" t="s">
        <v>322</v>
      </c>
      <c r="B293" t="str">
        <f>_xlfn.XLOOKUP(A293,[1]Municipios!$B:$B,[1]Municipios!$C:$C)</f>
        <v>Noroeste</v>
      </c>
      <c r="C293" t="str">
        <f>_xlfn.XLOOKUP(A293,[1]Municipios!$B:$B,[1]Municipios!$D:$D)</f>
        <v>Centro Ocidental</v>
      </c>
      <c r="D293">
        <v>2025</v>
      </c>
      <c r="E293" t="s">
        <v>215</v>
      </c>
      <c r="F293">
        <v>0</v>
      </c>
      <c r="G293">
        <v>23.96</v>
      </c>
    </row>
    <row r="294" spans="1:7" x14ac:dyDescent="0.25">
      <c r="A294" t="s">
        <v>322</v>
      </c>
      <c r="B294" t="str">
        <f>_xlfn.XLOOKUP(A294,[1]Municipios!$B:$B,[1]Municipios!$C:$C)</f>
        <v>Noroeste</v>
      </c>
      <c r="C294" t="str">
        <f>_xlfn.XLOOKUP(A294,[1]Municipios!$B:$B,[1]Municipios!$D:$D)</f>
        <v>Centro Ocidental</v>
      </c>
      <c r="D294">
        <v>2025</v>
      </c>
      <c r="E294" t="s">
        <v>234</v>
      </c>
      <c r="F294">
        <v>0.66659999999999997</v>
      </c>
      <c r="G294">
        <v>23.96</v>
      </c>
    </row>
    <row r="295" spans="1:7" x14ac:dyDescent="0.25">
      <c r="A295" t="s">
        <v>322</v>
      </c>
      <c r="B295" t="str">
        <f>_xlfn.XLOOKUP(A295,[1]Municipios!$B:$B,[1]Municipios!$C:$C)</f>
        <v>Noroeste</v>
      </c>
      <c r="C295" t="str">
        <f>_xlfn.XLOOKUP(A295,[1]Municipios!$B:$B,[1]Municipios!$D:$D)</f>
        <v>Centro Ocidental</v>
      </c>
      <c r="D295">
        <v>2025</v>
      </c>
      <c r="E295" t="s">
        <v>235</v>
      </c>
      <c r="F295">
        <v>0.14279999999999998</v>
      </c>
      <c r="G295">
        <v>23.96</v>
      </c>
    </row>
    <row r="296" spans="1:7" x14ac:dyDescent="0.25">
      <c r="A296" t="s">
        <v>322</v>
      </c>
      <c r="B296" t="str">
        <f>_xlfn.XLOOKUP(A296,[1]Municipios!$B:$B,[1]Municipios!$C:$C)</f>
        <v>Noroeste</v>
      </c>
      <c r="C296" t="str">
        <f>_xlfn.XLOOKUP(A296,[1]Municipios!$B:$B,[1]Municipios!$D:$D)</f>
        <v>Centro Ocidental</v>
      </c>
      <c r="D296">
        <v>2025</v>
      </c>
      <c r="E296" t="s">
        <v>236</v>
      </c>
      <c r="F296">
        <v>0</v>
      </c>
      <c r="G296">
        <v>23.96</v>
      </c>
    </row>
    <row r="297" spans="1:7" x14ac:dyDescent="0.25">
      <c r="A297" t="s">
        <v>322</v>
      </c>
      <c r="B297" t="str">
        <f>_xlfn.XLOOKUP(A297,[1]Municipios!$B:$B,[1]Municipios!$C:$C)</f>
        <v>Noroeste</v>
      </c>
      <c r="C297" t="str">
        <f>_xlfn.XLOOKUP(A297,[1]Municipios!$B:$B,[1]Municipios!$D:$D)</f>
        <v>Centro Ocidental</v>
      </c>
      <c r="D297">
        <v>2025</v>
      </c>
      <c r="E297" t="s">
        <v>237</v>
      </c>
      <c r="F297">
        <v>0</v>
      </c>
      <c r="G297">
        <v>23.96</v>
      </c>
    </row>
    <row r="298" spans="1:7" x14ac:dyDescent="0.25">
      <c r="A298" t="s">
        <v>326</v>
      </c>
      <c r="B298" t="str">
        <f>_xlfn.XLOOKUP(A298,[1]Municipios!$B:$B,[1]Municipios!$C:$C)</f>
        <v>Sul</v>
      </c>
      <c r="C298" t="str">
        <f>_xlfn.XLOOKUP(A298,[1]Municipios!$B:$B,[1]Municipios!$D:$D)</f>
        <v>Sudoeste Pioneiro</v>
      </c>
      <c r="D298">
        <v>2025</v>
      </c>
      <c r="E298" t="s">
        <v>231</v>
      </c>
      <c r="F298">
        <v>0.66659999999999997</v>
      </c>
      <c r="G298">
        <v>51.86</v>
      </c>
    </row>
    <row r="299" spans="1:7" x14ac:dyDescent="0.25">
      <c r="A299" t="s">
        <v>326</v>
      </c>
      <c r="B299" t="str">
        <f>_xlfn.XLOOKUP(A299,[1]Municipios!$B:$B,[1]Municipios!$C:$C)</f>
        <v>Sul</v>
      </c>
      <c r="C299" t="str">
        <f>_xlfn.XLOOKUP(A299,[1]Municipios!$B:$B,[1]Municipios!$D:$D)</f>
        <v>Sudoeste Pioneiro</v>
      </c>
      <c r="D299">
        <v>2025</v>
      </c>
      <c r="E299" t="s">
        <v>232</v>
      </c>
      <c r="F299">
        <v>0.76919999999999999</v>
      </c>
      <c r="G299">
        <v>51.86</v>
      </c>
    </row>
    <row r="300" spans="1:7" x14ac:dyDescent="0.25">
      <c r="A300" t="s">
        <v>326</v>
      </c>
      <c r="B300" t="str">
        <f>_xlfn.XLOOKUP(A300,[1]Municipios!$B:$B,[1]Municipios!$C:$C)</f>
        <v>Sul</v>
      </c>
      <c r="C300" t="str">
        <f>_xlfn.XLOOKUP(A300,[1]Municipios!$B:$B,[1]Municipios!$D:$D)</f>
        <v>Sudoeste Pioneiro</v>
      </c>
      <c r="D300">
        <v>2025</v>
      </c>
      <c r="E300" t="s">
        <v>233</v>
      </c>
      <c r="F300">
        <v>0.625</v>
      </c>
      <c r="G300">
        <v>51.86</v>
      </c>
    </row>
    <row r="301" spans="1:7" x14ac:dyDescent="0.25">
      <c r="A301" t="s">
        <v>326</v>
      </c>
      <c r="B301" t="str">
        <f>_xlfn.XLOOKUP(A301,[1]Municipios!$B:$B,[1]Municipios!$C:$C)</f>
        <v>Sul</v>
      </c>
      <c r="C301" t="str">
        <f>_xlfn.XLOOKUP(A301,[1]Municipios!$B:$B,[1]Municipios!$D:$D)</f>
        <v>Sudoeste Pioneiro</v>
      </c>
      <c r="D301">
        <v>2025</v>
      </c>
      <c r="E301" t="s">
        <v>215</v>
      </c>
      <c r="F301">
        <v>0.19999999999999998</v>
      </c>
      <c r="G301">
        <v>51.86</v>
      </c>
    </row>
    <row r="302" spans="1:7" x14ac:dyDescent="0.25">
      <c r="A302" t="s">
        <v>326</v>
      </c>
      <c r="B302" t="str">
        <f>_xlfn.XLOOKUP(A302,[1]Municipios!$B:$B,[1]Municipios!$C:$C)</f>
        <v>Sul</v>
      </c>
      <c r="C302" t="str">
        <f>_xlfn.XLOOKUP(A302,[1]Municipios!$B:$B,[1]Municipios!$D:$D)</f>
        <v>Sudoeste Pioneiro</v>
      </c>
      <c r="D302">
        <v>2025</v>
      </c>
      <c r="E302" t="s">
        <v>234</v>
      </c>
      <c r="F302">
        <v>0.66669999999999996</v>
      </c>
      <c r="G302">
        <v>51.86</v>
      </c>
    </row>
    <row r="303" spans="1:7" x14ac:dyDescent="0.25">
      <c r="A303" t="s">
        <v>326</v>
      </c>
      <c r="B303" t="str">
        <f>_xlfn.XLOOKUP(A303,[1]Municipios!$B:$B,[1]Municipios!$C:$C)</f>
        <v>Sul</v>
      </c>
      <c r="C303" t="str">
        <f>_xlfn.XLOOKUP(A303,[1]Municipios!$B:$B,[1]Municipios!$D:$D)</f>
        <v>Sudoeste Pioneiro</v>
      </c>
      <c r="D303">
        <v>2025</v>
      </c>
      <c r="E303" t="s">
        <v>235</v>
      </c>
      <c r="F303">
        <v>0.42859999999999998</v>
      </c>
      <c r="G303">
        <v>51.86</v>
      </c>
    </row>
    <row r="304" spans="1:7" x14ac:dyDescent="0.25">
      <c r="A304" t="s">
        <v>326</v>
      </c>
      <c r="B304" t="str">
        <f>_xlfn.XLOOKUP(A304,[1]Municipios!$B:$B,[1]Municipios!$C:$C)</f>
        <v>Sul</v>
      </c>
      <c r="C304" t="str">
        <f>_xlfn.XLOOKUP(A304,[1]Municipios!$B:$B,[1]Municipios!$D:$D)</f>
        <v>Sudoeste Pioneiro</v>
      </c>
      <c r="D304">
        <v>2025</v>
      </c>
      <c r="E304" t="s">
        <v>236</v>
      </c>
      <c r="F304">
        <v>0.23080000000000001</v>
      </c>
      <c r="G304">
        <v>51.86</v>
      </c>
    </row>
    <row r="305" spans="1:7" x14ac:dyDescent="0.25">
      <c r="A305" t="s">
        <v>326</v>
      </c>
      <c r="B305" t="str">
        <f>_xlfn.XLOOKUP(A305,[1]Municipios!$B:$B,[1]Municipios!$C:$C)</f>
        <v>Sul</v>
      </c>
      <c r="C305" t="str">
        <f>_xlfn.XLOOKUP(A305,[1]Municipios!$B:$B,[1]Municipios!$D:$D)</f>
        <v>Sudoeste Pioneiro</v>
      </c>
      <c r="D305">
        <v>2025</v>
      </c>
      <c r="E305" t="s">
        <v>237</v>
      </c>
      <c r="F305">
        <v>0.5</v>
      </c>
      <c r="G305">
        <v>51.86</v>
      </c>
    </row>
    <row r="306" spans="1:7" x14ac:dyDescent="0.25">
      <c r="A306" t="s">
        <v>247</v>
      </c>
      <c r="B306" t="str">
        <f>_xlfn.XLOOKUP(A306,[1]Municipios!$B:$B,[1]Municipios!$C:$C)</f>
        <v>Centro</v>
      </c>
      <c r="C306" t="str">
        <f>_xlfn.XLOOKUP(A306,[1]Municipios!$B:$B,[1]Municipios!$D:$D)</f>
        <v>Paraná Centro</v>
      </c>
      <c r="D306">
        <v>2025</v>
      </c>
      <c r="E306" t="s">
        <v>231</v>
      </c>
      <c r="F306">
        <v>0.55549999999999988</v>
      </c>
      <c r="G306">
        <v>67.78</v>
      </c>
    </row>
    <row r="307" spans="1:7" x14ac:dyDescent="0.25">
      <c r="A307" t="s">
        <v>247</v>
      </c>
      <c r="B307" t="str">
        <f>_xlfn.XLOOKUP(A307,[1]Municipios!$B:$B,[1]Municipios!$C:$C)</f>
        <v>Centro</v>
      </c>
      <c r="C307" t="str">
        <f>_xlfn.XLOOKUP(A307,[1]Municipios!$B:$B,[1]Municipios!$D:$D)</f>
        <v>Paraná Centro</v>
      </c>
      <c r="D307">
        <v>2025</v>
      </c>
      <c r="E307" t="s">
        <v>232</v>
      </c>
      <c r="F307">
        <v>0.92300000000000004</v>
      </c>
      <c r="G307">
        <v>67.78</v>
      </c>
    </row>
    <row r="308" spans="1:7" x14ac:dyDescent="0.25">
      <c r="A308" t="s">
        <v>247</v>
      </c>
      <c r="B308" t="str">
        <f>_xlfn.XLOOKUP(A308,[1]Municipios!$B:$B,[1]Municipios!$C:$C)</f>
        <v>Centro</v>
      </c>
      <c r="C308" t="str">
        <f>_xlfn.XLOOKUP(A308,[1]Municipios!$B:$B,[1]Municipios!$D:$D)</f>
        <v>Paraná Centro</v>
      </c>
      <c r="D308">
        <v>2025</v>
      </c>
      <c r="E308" t="s">
        <v>233</v>
      </c>
      <c r="F308">
        <v>0.75</v>
      </c>
      <c r="G308">
        <v>67.78</v>
      </c>
    </row>
    <row r="309" spans="1:7" x14ac:dyDescent="0.25">
      <c r="A309" t="s">
        <v>247</v>
      </c>
      <c r="B309" t="str">
        <f>_xlfn.XLOOKUP(A309,[1]Municipios!$B:$B,[1]Municipios!$C:$C)</f>
        <v>Centro</v>
      </c>
      <c r="C309" t="str">
        <f>_xlfn.XLOOKUP(A309,[1]Municipios!$B:$B,[1]Municipios!$D:$D)</f>
        <v>Paraná Centro</v>
      </c>
      <c r="D309">
        <v>2025</v>
      </c>
      <c r="E309" t="s">
        <v>215</v>
      </c>
      <c r="F309">
        <v>9.9999999999999992E-2</v>
      </c>
      <c r="G309">
        <v>67.78</v>
      </c>
    </row>
    <row r="310" spans="1:7" x14ac:dyDescent="0.25">
      <c r="A310" t="s">
        <v>247</v>
      </c>
      <c r="B310" t="str">
        <f>_xlfn.XLOOKUP(A310,[1]Municipios!$B:$B,[1]Municipios!$C:$C)</f>
        <v>Centro</v>
      </c>
      <c r="C310" t="str">
        <f>_xlfn.XLOOKUP(A310,[1]Municipios!$B:$B,[1]Municipios!$D:$D)</f>
        <v>Paraná Centro</v>
      </c>
      <c r="D310">
        <v>2025</v>
      </c>
      <c r="E310" t="s">
        <v>234</v>
      </c>
      <c r="F310">
        <v>0.77780000000000005</v>
      </c>
      <c r="G310">
        <v>67.78</v>
      </c>
    </row>
    <row r="311" spans="1:7" x14ac:dyDescent="0.25">
      <c r="A311" t="s">
        <v>247</v>
      </c>
      <c r="B311" t="str">
        <f>_xlfn.XLOOKUP(A311,[1]Municipios!$B:$B,[1]Municipios!$C:$C)</f>
        <v>Centro</v>
      </c>
      <c r="C311" t="str">
        <f>_xlfn.XLOOKUP(A311,[1]Municipios!$B:$B,[1]Municipios!$D:$D)</f>
        <v>Paraná Centro</v>
      </c>
      <c r="D311">
        <v>2025</v>
      </c>
      <c r="E311" t="s">
        <v>235</v>
      </c>
      <c r="F311">
        <v>0.71419999999999995</v>
      </c>
      <c r="G311">
        <v>67.78</v>
      </c>
    </row>
    <row r="312" spans="1:7" x14ac:dyDescent="0.25">
      <c r="A312" t="s">
        <v>247</v>
      </c>
      <c r="B312" t="str">
        <f>_xlfn.XLOOKUP(A312,[1]Municipios!$B:$B,[1]Municipios!$C:$C)</f>
        <v>Centro</v>
      </c>
      <c r="C312" t="str">
        <f>_xlfn.XLOOKUP(A312,[1]Municipios!$B:$B,[1]Municipios!$D:$D)</f>
        <v>Paraná Centro</v>
      </c>
      <c r="D312">
        <v>2025</v>
      </c>
      <c r="E312" t="s">
        <v>236</v>
      </c>
      <c r="F312">
        <v>0.53859999999999997</v>
      </c>
      <c r="G312">
        <v>67.78</v>
      </c>
    </row>
    <row r="313" spans="1:7" x14ac:dyDescent="0.25">
      <c r="A313" t="s">
        <v>247</v>
      </c>
      <c r="B313" t="str">
        <f>_xlfn.XLOOKUP(A313,[1]Municipios!$B:$B,[1]Municipios!$C:$C)</f>
        <v>Centro</v>
      </c>
      <c r="C313" t="str">
        <f>_xlfn.XLOOKUP(A313,[1]Municipios!$B:$B,[1]Municipios!$D:$D)</f>
        <v>Paraná Centro</v>
      </c>
      <c r="D313">
        <v>2025</v>
      </c>
      <c r="E313" t="s">
        <v>237</v>
      </c>
      <c r="F313">
        <v>1</v>
      </c>
      <c r="G313">
        <v>67.78</v>
      </c>
    </row>
    <row r="314" spans="1:7" x14ac:dyDescent="0.25">
      <c r="A314" t="s">
        <v>544</v>
      </c>
      <c r="B314" t="str">
        <f>_xlfn.XLOOKUP(A314,[1]Municipios!$B:$B,[1]Municipios!$C:$C)</f>
        <v>Oeste</v>
      </c>
      <c r="C314" t="str">
        <f>_xlfn.XLOOKUP(A314,[1]Municipios!$B:$B,[1]Municipios!$D:$D)</f>
        <v>Oeste Integrado</v>
      </c>
      <c r="D314">
        <v>2025</v>
      </c>
      <c r="E314" t="s">
        <v>231</v>
      </c>
      <c r="F314">
        <v>0</v>
      </c>
      <c r="G314">
        <v>0</v>
      </c>
    </row>
    <row r="315" spans="1:7" x14ac:dyDescent="0.25">
      <c r="A315" t="s">
        <v>544</v>
      </c>
      <c r="B315" t="str">
        <f>_xlfn.XLOOKUP(A315,[1]Municipios!$B:$B,[1]Municipios!$C:$C)</f>
        <v>Oeste</v>
      </c>
      <c r="C315" t="str">
        <f>_xlfn.XLOOKUP(A315,[1]Municipios!$B:$B,[1]Municipios!$D:$D)</f>
        <v>Oeste Integrado</v>
      </c>
      <c r="D315">
        <v>2025</v>
      </c>
      <c r="E315" t="s">
        <v>232</v>
      </c>
      <c r="F315">
        <v>0.30760000000000004</v>
      </c>
      <c r="G315">
        <v>0</v>
      </c>
    </row>
    <row r="316" spans="1:7" x14ac:dyDescent="0.25">
      <c r="A316" t="s">
        <v>544</v>
      </c>
      <c r="B316" t="str">
        <f>_xlfn.XLOOKUP(A316,[1]Municipios!$B:$B,[1]Municipios!$C:$C)</f>
        <v>Oeste</v>
      </c>
      <c r="C316" t="str">
        <f>_xlfn.XLOOKUP(A316,[1]Municipios!$B:$B,[1]Municipios!$D:$D)</f>
        <v>Oeste Integrado</v>
      </c>
      <c r="D316">
        <v>2025</v>
      </c>
      <c r="E316" t="s">
        <v>233</v>
      </c>
      <c r="F316">
        <v>0.125</v>
      </c>
      <c r="G316">
        <v>0</v>
      </c>
    </row>
    <row r="317" spans="1:7" x14ac:dyDescent="0.25">
      <c r="A317" t="s">
        <v>544</v>
      </c>
      <c r="B317" t="str">
        <f>_xlfn.XLOOKUP(A317,[1]Municipios!$B:$B,[1]Municipios!$C:$C)</f>
        <v>Oeste</v>
      </c>
      <c r="C317" t="str">
        <f>_xlfn.XLOOKUP(A317,[1]Municipios!$B:$B,[1]Municipios!$D:$D)</f>
        <v>Oeste Integrado</v>
      </c>
      <c r="D317">
        <v>2025</v>
      </c>
      <c r="E317" t="s">
        <v>215</v>
      </c>
      <c r="F317">
        <v>0</v>
      </c>
      <c r="G317">
        <v>0</v>
      </c>
    </row>
    <row r="318" spans="1:7" x14ac:dyDescent="0.25">
      <c r="A318" t="s">
        <v>544</v>
      </c>
      <c r="B318" t="str">
        <f>_xlfn.XLOOKUP(A318,[1]Municipios!$B:$B,[1]Municipios!$C:$C)</f>
        <v>Oeste</v>
      </c>
      <c r="C318" t="str">
        <f>_xlfn.XLOOKUP(A318,[1]Municipios!$B:$B,[1]Municipios!$D:$D)</f>
        <v>Oeste Integrado</v>
      </c>
      <c r="D318">
        <v>2025</v>
      </c>
      <c r="E318" t="s">
        <v>234</v>
      </c>
      <c r="F318">
        <v>0</v>
      </c>
      <c r="G318">
        <v>0</v>
      </c>
    </row>
    <row r="319" spans="1:7" x14ac:dyDescent="0.25">
      <c r="A319" t="s">
        <v>544</v>
      </c>
      <c r="B319" t="str">
        <f>_xlfn.XLOOKUP(A319,[1]Municipios!$B:$B,[1]Municipios!$C:$C)</f>
        <v>Oeste</v>
      </c>
      <c r="C319" t="str">
        <f>_xlfn.XLOOKUP(A319,[1]Municipios!$B:$B,[1]Municipios!$D:$D)</f>
        <v>Oeste Integrado</v>
      </c>
      <c r="D319">
        <v>2025</v>
      </c>
      <c r="E319" t="s">
        <v>235</v>
      </c>
      <c r="F319">
        <v>0</v>
      </c>
      <c r="G319">
        <v>0</v>
      </c>
    </row>
    <row r="320" spans="1:7" x14ac:dyDescent="0.25">
      <c r="A320" t="s">
        <v>544</v>
      </c>
      <c r="B320" t="str">
        <f>_xlfn.XLOOKUP(A320,[1]Municipios!$B:$B,[1]Municipios!$C:$C)</f>
        <v>Oeste</v>
      </c>
      <c r="C320" t="str">
        <f>_xlfn.XLOOKUP(A320,[1]Municipios!$B:$B,[1]Municipios!$D:$D)</f>
        <v>Oeste Integrado</v>
      </c>
      <c r="D320">
        <v>2025</v>
      </c>
      <c r="E320" t="s">
        <v>236</v>
      </c>
      <c r="F320">
        <v>0</v>
      </c>
      <c r="G320">
        <v>0</v>
      </c>
    </row>
    <row r="321" spans="1:7" x14ac:dyDescent="0.25">
      <c r="A321" t="s">
        <v>544</v>
      </c>
      <c r="B321" t="str">
        <f>_xlfn.XLOOKUP(A321,[1]Municipios!$B:$B,[1]Municipios!$C:$C)</f>
        <v>Oeste</v>
      </c>
      <c r="C321" t="str">
        <f>_xlfn.XLOOKUP(A321,[1]Municipios!$B:$B,[1]Municipios!$D:$D)</f>
        <v>Oeste Integrado</v>
      </c>
      <c r="D321">
        <v>2025</v>
      </c>
      <c r="E321" t="s">
        <v>237</v>
      </c>
      <c r="F321">
        <v>0</v>
      </c>
      <c r="G321">
        <v>0</v>
      </c>
    </row>
    <row r="322" spans="1:7" x14ac:dyDescent="0.25">
      <c r="A322" t="s">
        <v>499</v>
      </c>
      <c r="B322" t="str">
        <f>_xlfn.XLOOKUP(A322,[1]Municipios!$B:$B,[1]Municipios!$C:$C)</f>
        <v>Leste</v>
      </c>
      <c r="C322" t="str">
        <f>_xlfn.XLOOKUP(A322,[1]Municipios!$B:$B,[1]Municipios!$D:$D)</f>
        <v>Vale Do Ribeira</v>
      </c>
      <c r="D322">
        <v>2025</v>
      </c>
      <c r="E322" t="s">
        <v>231</v>
      </c>
      <c r="F322">
        <v>0.44439999999999996</v>
      </c>
      <c r="G322">
        <v>46.91</v>
      </c>
    </row>
    <row r="323" spans="1:7" x14ac:dyDescent="0.25">
      <c r="A323" t="s">
        <v>499</v>
      </c>
      <c r="B323" t="str">
        <f>_xlfn.XLOOKUP(A323,[1]Municipios!$B:$B,[1]Municipios!$C:$C)</f>
        <v>Leste</v>
      </c>
      <c r="C323" t="str">
        <f>_xlfn.XLOOKUP(A323,[1]Municipios!$B:$B,[1]Municipios!$D:$D)</f>
        <v>Vale Do Ribeira</v>
      </c>
      <c r="D323">
        <v>2025</v>
      </c>
      <c r="E323" t="s">
        <v>232</v>
      </c>
      <c r="F323">
        <v>0.61519999999999997</v>
      </c>
      <c r="G323">
        <v>46.91</v>
      </c>
    </row>
    <row r="324" spans="1:7" x14ac:dyDescent="0.25">
      <c r="A324" t="s">
        <v>499</v>
      </c>
      <c r="B324" t="str">
        <f>_xlfn.XLOOKUP(A324,[1]Municipios!$B:$B,[1]Municipios!$C:$C)</f>
        <v>Leste</v>
      </c>
      <c r="C324" t="str">
        <f>_xlfn.XLOOKUP(A324,[1]Municipios!$B:$B,[1]Municipios!$D:$D)</f>
        <v>Vale Do Ribeira</v>
      </c>
      <c r="D324">
        <v>2025</v>
      </c>
      <c r="E324" t="s">
        <v>233</v>
      </c>
      <c r="F324">
        <v>0.375</v>
      </c>
      <c r="G324">
        <v>46.91</v>
      </c>
    </row>
    <row r="325" spans="1:7" x14ac:dyDescent="0.25">
      <c r="A325" t="s">
        <v>499</v>
      </c>
      <c r="B325" t="str">
        <f>_xlfn.XLOOKUP(A325,[1]Municipios!$B:$B,[1]Municipios!$C:$C)</f>
        <v>Leste</v>
      </c>
      <c r="C325" t="str">
        <f>_xlfn.XLOOKUP(A325,[1]Municipios!$B:$B,[1]Municipios!$D:$D)</f>
        <v>Vale Do Ribeira</v>
      </c>
      <c r="D325">
        <v>2025</v>
      </c>
      <c r="E325" t="s">
        <v>215</v>
      </c>
      <c r="F325">
        <v>0.54999999999999993</v>
      </c>
      <c r="G325">
        <v>46.91</v>
      </c>
    </row>
    <row r="326" spans="1:7" x14ac:dyDescent="0.25">
      <c r="A326" t="s">
        <v>499</v>
      </c>
      <c r="B326" t="str">
        <f>_xlfn.XLOOKUP(A326,[1]Municipios!$B:$B,[1]Municipios!$C:$C)</f>
        <v>Leste</v>
      </c>
      <c r="C326" t="str">
        <f>_xlfn.XLOOKUP(A326,[1]Municipios!$B:$B,[1]Municipios!$D:$D)</f>
        <v>Vale Do Ribeira</v>
      </c>
      <c r="D326">
        <v>2025</v>
      </c>
      <c r="E326" t="s">
        <v>234</v>
      </c>
      <c r="F326">
        <v>0.66659999999999997</v>
      </c>
      <c r="G326">
        <v>46.91</v>
      </c>
    </row>
    <row r="327" spans="1:7" x14ac:dyDescent="0.25">
      <c r="A327" t="s">
        <v>499</v>
      </c>
      <c r="B327" t="str">
        <f>_xlfn.XLOOKUP(A327,[1]Municipios!$B:$B,[1]Municipios!$C:$C)</f>
        <v>Leste</v>
      </c>
      <c r="C327" t="str">
        <f>_xlfn.XLOOKUP(A327,[1]Municipios!$B:$B,[1]Municipios!$D:$D)</f>
        <v>Vale Do Ribeira</v>
      </c>
      <c r="D327">
        <v>2025</v>
      </c>
      <c r="E327" t="s">
        <v>235</v>
      </c>
      <c r="F327">
        <v>0.42869999999999997</v>
      </c>
      <c r="G327">
        <v>46.91</v>
      </c>
    </row>
    <row r="328" spans="1:7" x14ac:dyDescent="0.25">
      <c r="A328" t="s">
        <v>499</v>
      </c>
      <c r="B328" t="str">
        <f>_xlfn.XLOOKUP(A328,[1]Municipios!$B:$B,[1]Municipios!$C:$C)</f>
        <v>Leste</v>
      </c>
      <c r="C328" t="str">
        <f>_xlfn.XLOOKUP(A328,[1]Municipios!$B:$B,[1]Municipios!$D:$D)</f>
        <v>Vale Do Ribeira</v>
      </c>
      <c r="D328">
        <v>2025</v>
      </c>
      <c r="E328" t="s">
        <v>236</v>
      </c>
      <c r="F328">
        <v>0</v>
      </c>
      <c r="G328">
        <v>46.91</v>
      </c>
    </row>
    <row r="329" spans="1:7" x14ac:dyDescent="0.25">
      <c r="A329" t="s">
        <v>499</v>
      </c>
      <c r="B329" t="str">
        <f>_xlfn.XLOOKUP(A329,[1]Municipios!$B:$B,[1]Municipios!$C:$C)</f>
        <v>Leste</v>
      </c>
      <c r="C329" t="str">
        <f>_xlfn.XLOOKUP(A329,[1]Municipios!$B:$B,[1]Municipios!$D:$D)</f>
        <v>Vale Do Ribeira</v>
      </c>
      <c r="D329">
        <v>2025</v>
      </c>
      <c r="E329" t="s">
        <v>237</v>
      </c>
      <c r="F329">
        <v>0.5</v>
      </c>
      <c r="G329">
        <v>46.91</v>
      </c>
    </row>
    <row r="330" spans="1:7" x14ac:dyDescent="0.25">
      <c r="A330" t="s">
        <v>340</v>
      </c>
      <c r="B330" t="str">
        <f>_xlfn.XLOOKUP(A330,[1]Municipios!$B:$B,[1]Municipios!$C:$C)</f>
        <v>Sul</v>
      </c>
      <c r="C330" t="str">
        <f>_xlfn.XLOOKUP(A330,[1]Municipios!$B:$B,[1]Municipios!$D:$D)</f>
        <v>Sudoeste La Frontera</v>
      </c>
      <c r="D330">
        <v>2025</v>
      </c>
      <c r="E330" t="s">
        <v>231</v>
      </c>
      <c r="F330">
        <v>0.55559999999999998</v>
      </c>
      <c r="G330">
        <v>79.16</v>
      </c>
    </row>
    <row r="331" spans="1:7" x14ac:dyDescent="0.25">
      <c r="A331" t="s">
        <v>340</v>
      </c>
      <c r="B331" t="str">
        <f>_xlfn.XLOOKUP(A331,[1]Municipios!$B:$B,[1]Municipios!$C:$C)</f>
        <v>Sul</v>
      </c>
      <c r="C331" t="str">
        <f>_xlfn.XLOOKUP(A331,[1]Municipios!$B:$B,[1]Municipios!$D:$D)</f>
        <v>Sudoeste La Frontera</v>
      </c>
      <c r="D331">
        <v>2025</v>
      </c>
      <c r="E331" t="s">
        <v>232</v>
      </c>
      <c r="F331">
        <v>0.84619999999999995</v>
      </c>
      <c r="G331">
        <v>79.16</v>
      </c>
    </row>
    <row r="332" spans="1:7" x14ac:dyDescent="0.25">
      <c r="A332" t="s">
        <v>340</v>
      </c>
      <c r="B332" t="str">
        <f>_xlfn.XLOOKUP(A332,[1]Municipios!$B:$B,[1]Municipios!$C:$C)</f>
        <v>Sul</v>
      </c>
      <c r="C332" t="str">
        <f>_xlfn.XLOOKUP(A332,[1]Municipios!$B:$B,[1]Municipios!$D:$D)</f>
        <v>Sudoeste La Frontera</v>
      </c>
      <c r="D332">
        <v>2025</v>
      </c>
      <c r="E332" t="s">
        <v>233</v>
      </c>
      <c r="F332">
        <v>1</v>
      </c>
      <c r="G332">
        <v>79.16</v>
      </c>
    </row>
    <row r="333" spans="1:7" x14ac:dyDescent="0.25">
      <c r="A333" t="s">
        <v>340</v>
      </c>
      <c r="B333" t="str">
        <f>_xlfn.XLOOKUP(A333,[1]Municipios!$B:$B,[1]Municipios!$C:$C)</f>
        <v>Sul</v>
      </c>
      <c r="C333" t="str">
        <f>_xlfn.XLOOKUP(A333,[1]Municipios!$B:$B,[1]Municipios!$D:$D)</f>
        <v>Sudoeste La Frontera</v>
      </c>
      <c r="D333">
        <v>2025</v>
      </c>
      <c r="E333" t="s">
        <v>215</v>
      </c>
      <c r="F333">
        <v>1</v>
      </c>
      <c r="G333">
        <v>79.16</v>
      </c>
    </row>
    <row r="334" spans="1:7" x14ac:dyDescent="0.25">
      <c r="A334" t="s">
        <v>340</v>
      </c>
      <c r="B334" t="str">
        <f>_xlfn.XLOOKUP(A334,[1]Municipios!$B:$B,[1]Municipios!$C:$C)</f>
        <v>Sul</v>
      </c>
      <c r="C334" t="str">
        <f>_xlfn.XLOOKUP(A334,[1]Municipios!$B:$B,[1]Municipios!$D:$D)</f>
        <v>Sudoeste La Frontera</v>
      </c>
      <c r="D334">
        <v>2025</v>
      </c>
      <c r="E334" t="s">
        <v>234</v>
      </c>
      <c r="F334">
        <v>0.66669999999999996</v>
      </c>
      <c r="G334">
        <v>79.16</v>
      </c>
    </row>
    <row r="335" spans="1:7" x14ac:dyDescent="0.25">
      <c r="A335" t="s">
        <v>340</v>
      </c>
      <c r="B335" t="str">
        <f>_xlfn.XLOOKUP(A335,[1]Municipios!$B:$B,[1]Municipios!$C:$C)</f>
        <v>Sul</v>
      </c>
      <c r="C335" t="str">
        <f>_xlfn.XLOOKUP(A335,[1]Municipios!$B:$B,[1]Municipios!$D:$D)</f>
        <v>Sudoeste La Frontera</v>
      </c>
      <c r="D335">
        <v>2025</v>
      </c>
      <c r="E335" t="s">
        <v>235</v>
      </c>
      <c r="F335">
        <v>1</v>
      </c>
      <c r="G335">
        <v>79.16</v>
      </c>
    </row>
    <row r="336" spans="1:7" x14ac:dyDescent="0.25">
      <c r="A336" t="s">
        <v>340</v>
      </c>
      <c r="B336" t="str">
        <f>_xlfn.XLOOKUP(A336,[1]Municipios!$B:$B,[1]Municipios!$C:$C)</f>
        <v>Sul</v>
      </c>
      <c r="C336" t="str">
        <f>_xlfn.XLOOKUP(A336,[1]Municipios!$B:$B,[1]Municipios!$D:$D)</f>
        <v>Sudoeste La Frontera</v>
      </c>
      <c r="D336">
        <v>2025</v>
      </c>
      <c r="E336" t="s">
        <v>236</v>
      </c>
      <c r="F336">
        <v>0.3846</v>
      </c>
      <c r="G336">
        <v>79.16</v>
      </c>
    </row>
    <row r="337" spans="1:7" x14ac:dyDescent="0.25">
      <c r="A337" t="s">
        <v>340</v>
      </c>
      <c r="B337" t="str">
        <f>_xlfn.XLOOKUP(A337,[1]Municipios!$B:$B,[1]Municipios!$C:$C)</f>
        <v>Sul</v>
      </c>
      <c r="C337" t="str">
        <f>_xlfn.XLOOKUP(A337,[1]Municipios!$B:$B,[1]Municipios!$D:$D)</f>
        <v>Sudoeste La Frontera</v>
      </c>
      <c r="D337">
        <v>2025</v>
      </c>
      <c r="E337" t="s">
        <v>237</v>
      </c>
      <c r="F337">
        <v>1</v>
      </c>
      <c r="G337">
        <v>79.16</v>
      </c>
    </row>
    <row r="338" spans="1:7" x14ac:dyDescent="0.25">
      <c r="A338" t="s">
        <v>372</v>
      </c>
      <c r="B338" t="str">
        <f>_xlfn.XLOOKUP(A338,[1]Municipios!$B:$B,[1]Municipios!$C:$C)</f>
        <v>Norte</v>
      </c>
      <c r="C338" t="str">
        <f>_xlfn.XLOOKUP(A338,[1]Municipios!$B:$B,[1]Municipios!$D:$D)</f>
        <v>Vale Do Ivaí</v>
      </c>
      <c r="D338">
        <v>2025</v>
      </c>
      <c r="E338" t="s">
        <v>231</v>
      </c>
      <c r="F338">
        <v>0.22219999999999998</v>
      </c>
      <c r="G338">
        <v>26.89</v>
      </c>
    </row>
    <row r="339" spans="1:7" x14ac:dyDescent="0.25">
      <c r="A339" t="s">
        <v>372</v>
      </c>
      <c r="B339" t="str">
        <f>_xlfn.XLOOKUP(A339,[1]Municipios!$B:$B,[1]Municipios!$C:$C)</f>
        <v>Norte</v>
      </c>
      <c r="C339" t="str">
        <f>_xlfn.XLOOKUP(A339,[1]Municipios!$B:$B,[1]Municipios!$D:$D)</f>
        <v>Vale Do Ivaí</v>
      </c>
      <c r="D339">
        <v>2025</v>
      </c>
      <c r="E339" t="s">
        <v>232</v>
      </c>
      <c r="F339">
        <v>0.5383</v>
      </c>
      <c r="G339">
        <v>26.89</v>
      </c>
    </row>
    <row r="340" spans="1:7" x14ac:dyDescent="0.25">
      <c r="A340" t="s">
        <v>372</v>
      </c>
      <c r="B340" t="str">
        <f>_xlfn.XLOOKUP(A340,[1]Municipios!$B:$B,[1]Municipios!$C:$C)</f>
        <v>Norte</v>
      </c>
      <c r="C340" t="str">
        <f>_xlfn.XLOOKUP(A340,[1]Municipios!$B:$B,[1]Municipios!$D:$D)</f>
        <v>Vale Do Ivaí</v>
      </c>
      <c r="D340">
        <v>2025</v>
      </c>
      <c r="E340" t="s">
        <v>233</v>
      </c>
      <c r="F340">
        <v>0.25</v>
      </c>
      <c r="G340">
        <v>26.89</v>
      </c>
    </row>
    <row r="341" spans="1:7" x14ac:dyDescent="0.25">
      <c r="A341" t="s">
        <v>372</v>
      </c>
      <c r="B341" t="str">
        <f>_xlfn.XLOOKUP(A341,[1]Municipios!$B:$B,[1]Municipios!$C:$C)</f>
        <v>Norte</v>
      </c>
      <c r="C341" t="str">
        <f>_xlfn.XLOOKUP(A341,[1]Municipios!$B:$B,[1]Municipios!$D:$D)</f>
        <v>Vale Do Ivaí</v>
      </c>
      <c r="D341">
        <v>2025</v>
      </c>
      <c r="E341" t="s">
        <v>215</v>
      </c>
      <c r="F341">
        <v>0</v>
      </c>
      <c r="G341">
        <v>26.89</v>
      </c>
    </row>
    <row r="342" spans="1:7" x14ac:dyDescent="0.25">
      <c r="A342" t="s">
        <v>372</v>
      </c>
      <c r="B342" t="str">
        <f>_xlfn.XLOOKUP(A342,[1]Municipios!$B:$B,[1]Municipios!$C:$C)</f>
        <v>Norte</v>
      </c>
      <c r="C342" t="str">
        <f>_xlfn.XLOOKUP(A342,[1]Municipios!$B:$B,[1]Municipios!$D:$D)</f>
        <v>Vale Do Ivaí</v>
      </c>
      <c r="D342">
        <v>2025</v>
      </c>
      <c r="E342" t="s">
        <v>234</v>
      </c>
      <c r="F342">
        <v>0.55549999999999999</v>
      </c>
      <c r="G342">
        <v>26.89</v>
      </c>
    </row>
    <row r="343" spans="1:7" x14ac:dyDescent="0.25">
      <c r="A343" t="s">
        <v>372</v>
      </c>
      <c r="B343" t="str">
        <f>_xlfn.XLOOKUP(A343,[1]Municipios!$B:$B,[1]Municipios!$C:$C)</f>
        <v>Norte</v>
      </c>
      <c r="C343" t="str">
        <f>_xlfn.XLOOKUP(A343,[1]Municipios!$B:$B,[1]Municipios!$D:$D)</f>
        <v>Vale Do Ivaí</v>
      </c>
      <c r="D343">
        <v>2025</v>
      </c>
      <c r="E343" t="s">
        <v>235</v>
      </c>
      <c r="F343">
        <v>0.1429</v>
      </c>
      <c r="G343">
        <v>26.89</v>
      </c>
    </row>
    <row r="344" spans="1:7" x14ac:dyDescent="0.25">
      <c r="A344" t="s">
        <v>372</v>
      </c>
      <c r="B344" t="str">
        <f>_xlfn.XLOOKUP(A344,[1]Municipios!$B:$B,[1]Municipios!$C:$C)</f>
        <v>Norte</v>
      </c>
      <c r="C344" t="str">
        <f>_xlfn.XLOOKUP(A344,[1]Municipios!$B:$B,[1]Municipios!$D:$D)</f>
        <v>Vale Do Ivaí</v>
      </c>
      <c r="D344">
        <v>2025</v>
      </c>
      <c r="E344" t="s">
        <v>236</v>
      </c>
      <c r="F344">
        <v>0.23080000000000001</v>
      </c>
      <c r="G344">
        <v>26.89</v>
      </c>
    </row>
    <row r="345" spans="1:7" x14ac:dyDescent="0.25">
      <c r="A345" t="s">
        <v>372</v>
      </c>
      <c r="B345" t="str">
        <f>_xlfn.XLOOKUP(A345,[1]Municipios!$B:$B,[1]Municipios!$C:$C)</f>
        <v>Norte</v>
      </c>
      <c r="C345" t="str">
        <f>_xlfn.XLOOKUP(A345,[1]Municipios!$B:$B,[1]Municipios!$D:$D)</f>
        <v>Vale Do Ivaí</v>
      </c>
      <c r="D345">
        <v>2025</v>
      </c>
      <c r="E345" t="s">
        <v>237</v>
      </c>
      <c r="F345">
        <v>0</v>
      </c>
      <c r="G345">
        <v>26.89</v>
      </c>
    </row>
    <row r="346" spans="1:7" x14ac:dyDescent="0.25">
      <c r="A346" t="s">
        <v>327</v>
      </c>
      <c r="B346" t="str">
        <f>_xlfn.XLOOKUP(A346,[1]Municipios!$B:$B,[1]Municipios!$C:$C)</f>
        <v>Sul</v>
      </c>
      <c r="C346" t="str">
        <f>_xlfn.XLOOKUP(A346,[1]Municipios!$B:$B,[1]Municipios!$D:$D)</f>
        <v>Sudoeste Pioneiro</v>
      </c>
      <c r="D346">
        <v>2025</v>
      </c>
      <c r="E346" t="s">
        <v>231</v>
      </c>
      <c r="F346">
        <v>0.55559999999999998</v>
      </c>
      <c r="G346">
        <v>77.989999999999995</v>
      </c>
    </row>
    <row r="347" spans="1:7" x14ac:dyDescent="0.25">
      <c r="A347" t="s">
        <v>327</v>
      </c>
      <c r="B347" t="str">
        <f>_xlfn.XLOOKUP(A347,[1]Municipios!$B:$B,[1]Municipios!$C:$C)</f>
        <v>Sul</v>
      </c>
      <c r="C347" t="str">
        <f>_xlfn.XLOOKUP(A347,[1]Municipios!$B:$B,[1]Municipios!$D:$D)</f>
        <v>Sudoeste Pioneiro</v>
      </c>
      <c r="D347">
        <v>2025</v>
      </c>
      <c r="E347" t="s">
        <v>232</v>
      </c>
      <c r="F347">
        <v>0.84619999999999995</v>
      </c>
      <c r="G347">
        <v>77.989999999999995</v>
      </c>
    </row>
    <row r="348" spans="1:7" x14ac:dyDescent="0.25">
      <c r="A348" t="s">
        <v>327</v>
      </c>
      <c r="B348" t="str">
        <f>_xlfn.XLOOKUP(A348,[1]Municipios!$B:$B,[1]Municipios!$C:$C)</f>
        <v>Sul</v>
      </c>
      <c r="C348" t="str">
        <f>_xlfn.XLOOKUP(A348,[1]Municipios!$B:$B,[1]Municipios!$D:$D)</f>
        <v>Sudoeste Pioneiro</v>
      </c>
      <c r="D348">
        <v>2025</v>
      </c>
      <c r="E348" t="s">
        <v>233</v>
      </c>
      <c r="F348">
        <v>0.75</v>
      </c>
      <c r="G348">
        <v>77.989999999999995</v>
      </c>
    </row>
    <row r="349" spans="1:7" x14ac:dyDescent="0.25">
      <c r="A349" t="s">
        <v>327</v>
      </c>
      <c r="B349" t="str">
        <f>_xlfn.XLOOKUP(A349,[1]Municipios!$B:$B,[1]Municipios!$C:$C)</f>
        <v>Sul</v>
      </c>
      <c r="C349" t="str">
        <f>_xlfn.XLOOKUP(A349,[1]Municipios!$B:$B,[1]Municipios!$D:$D)</f>
        <v>Sudoeste Pioneiro</v>
      </c>
      <c r="D349">
        <v>2025</v>
      </c>
      <c r="E349" t="s">
        <v>215</v>
      </c>
      <c r="F349">
        <v>1</v>
      </c>
      <c r="G349">
        <v>77.989999999999995</v>
      </c>
    </row>
    <row r="350" spans="1:7" x14ac:dyDescent="0.25">
      <c r="A350" t="s">
        <v>327</v>
      </c>
      <c r="B350" t="str">
        <f>_xlfn.XLOOKUP(A350,[1]Municipios!$B:$B,[1]Municipios!$C:$C)</f>
        <v>Sul</v>
      </c>
      <c r="C350" t="str">
        <f>_xlfn.XLOOKUP(A350,[1]Municipios!$B:$B,[1]Municipios!$D:$D)</f>
        <v>Sudoeste Pioneiro</v>
      </c>
      <c r="D350">
        <v>2025</v>
      </c>
      <c r="E350" t="s">
        <v>234</v>
      </c>
      <c r="F350">
        <v>0.88880000000000003</v>
      </c>
      <c r="G350">
        <v>77.989999999999995</v>
      </c>
    </row>
    <row r="351" spans="1:7" x14ac:dyDescent="0.25">
      <c r="A351" t="s">
        <v>327</v>
      </c>
      <c r="B351" t="str">
        <f>_xlfn.XLOOKUP(A351,[1]Municipios!$B:$B,[1]Municipios!$C:$C)</f>
        <v>Sul</v>
      </c>
      <c r="C351" t="str">
        <f>_xlfn.XLOOKUP(A351,[1]Municipios!$B:$B,[1]Municipios!$D:$D)</f>
        <v>Sudoeste Pioneiro</v>
      </c>
      <c r="D351">
        <v>2025</v>
      </c>
      <c r="E351" t="s">
        <v>235</v>
      </c>
      <c r="F351">
        <v>1</v>
      </c>
      <c r="G351">
        <v>77.989999999999995</v>
      </c>
    </row>
    <row r="352" spans="1:7" x14ac:dyDescent="0.25">
      <c r="A352" t="s">
        <v>327</v>
      </c>
      <c r="B352" t="str">
        <f>_xlfn.XLOOKUP(A352,[1]Municipios!$B:$B,[1]Municipios!$C:$C)</f>
        <v>Sul</v>
      </c>
      <c r="C352" t="str">
        <f>_xlfn.XLOOKUP(A352,[1]Municipios!$B:$B,[1]Municipios!$D:$D)</f>
        <v>Sudoeste Pioneiro</v>
      </c>
      <c r="D352">
        <v>2025</v>
      </c>
      <c r="E352" t="s">
        <v>236</v>
      </c>
      <c r="F352">
        <v>7.6999999999999999E-2</v>
      </c>
      <c r="G352">
        <v>77.989999999999995</v>
      </c>
    </row>
    <row r="353" spans="1:7" x14ac:dyDescent="0.25">
      <c r="A353" t="s">
        <v>327</v>
      </c>
      <c r="B353" t="str">
        <f>_xlfn.XLOOKUP(A353,[1]Municipios!$B:$B,[1]Municipios!$C:$C)</f>
        <v>Sul</v>
      </c>
      <c r="C353" t="str">
        <f>_xlfn.XLOOKUP(A353,[1]Municipios!$B:$B,[1]Municipios!$D:$D)</f>
        <v>Sudoeste Pioneiro</v>
      </c>
      <c r="D353">
        <v>2025</v>
      </c>
      <c r="E353" t="s">
        <v>237</v>
      </c>
      <c r="F353">
        <v>1</v>
      </c>
      <c r="G353">
        <v>77.989999999999995</v>
      </c>
    </row>
    <row r="354" spans="1:7" x14ac:dyDescent="0.25">
      <c r="A354" t="s">
        <v>373</v>
      </c>
      <c r="B354" t="str">
        <f>_xlfn.XLOOKUP(A354,[1]Municipios!$B:$B,[1]Municipios!$C:$C)</f>
        <v>Norte</v>
      </c>
      <c r="C354" t="str">
        <f>_xlfn.XLOOKUP(A354,[1]Municipios!$B:$B,[1]Municipios!$D:$D)</f>
        <v>Vale Do Ivaí</v>
      </c>
      <c r="D354">
        <v>2025</v>
      </c>
      <c r="E354" t="s">
        <v>231</v>
      </c>
      <c r="F354">
        <v>0.44449999999999995</v>
      </c>
      <c r="G354">
        <v>54.55</v>
      </c>
    </row>
    <row r="355" spans="1:7" x14ac:dyDescent="0.25">
      <c r="A355" t="s">
        <v>373</v>
      </c>
      <c r="B355" t="str">
        <f>_xlfn.XLOOKUP(A355,[1]Municipios!$B:$B,[1]Municipios!$C:$C)</f>
        <v>Norte</v>
      </c>
      <c r="C355" t="str">
        <f>_xlfn.XLOOKUP(A355,[1]Municipios!$B:$B,[1]Municipios!$D:$D)</f>
        <v>Vale Do Ivaí</v>
      </c>
      <c r="D355">
        <v>2025</v>
      </c>
      <c r="E355" t="s">
        <v>232</v>
      </c>
      <c r="F355">
        <v>0.76929999999999998</v>
      </c>
      <c r="G355">
        <v>54.55</v>
      </c>
    </row>
    <row r="356" spans="1:7" x14ac:dyDescent="0.25">
      <c r="A356" t="s">
        <v>373</v>
      </c>
      <c r="B356" t="str">
        <f>_xlfn.XLOOKUP(A356,[1]Municipios!$B:$B,[1]Municipios!$C:$C)</f>
        <v>Norte</v>
      </c>
      <c r="C356" t="str">
        <f>_xlfn.XLOOKUP(A356,[1]Municipios!$B:$B,[1]Municipios!$D:$D)</f>
        <v>Vale Do Ivaí</v>
      </c>
      <c r="D356">
        <v>2025</v>
      </c>
      <c r="E356" t="s">
        <v>233</v>
      </c>
      <c r="F356">
        <v>0.625</v>
      </c>
      <c r="G356">
        <v>54.55</v>
      </c>
    </row>
    <row r="357" spans="1:7" x14ac:dyDescent="0.25">
      <c r="A357" t="s">
        <v>373</v>
      </c>
      <c r="B357" t="str">
        <f>_xlfn.XLOOKUP(A357,[1]Municipios!$B:$B,[1]Municipios!$C:$C)</f>
        <v>Norte</v>
      </c>
      <c r="C357" t="str">
        <f>_xlfn.XLOOKUP(A357,[1]Municipios!$B:$B,[1]Municipios!$D:$D)</f>
        <v>Vale Do Ivaí</v>
      </c>
      <c r="D357">
        <v>2025</v>
      </c>
      <c r="E357" t="s">
        <v>215</v>
      </c>
      <c r="F357">
        <v>0.79999999999999993</v>
      </c>
      <c r="G357">
        <v>54.55</v>
      </c>
    </row>
    <row r="358" spans="1:7" x14ac:dyDescent="0.25">
      <c r="A358" t="s">
        <v>373</v>
      </c>
      <c r="B358" t="str">
        <f>_xlfn.XLOOKUP(A358,[1]Municipios!$B:$B,[1]Municipios!$C:$C)</f>
        <v>Norte</v>
      </c>
      <c r="C358" t="str">
        <f>_xlfn.XLOOKUP(A358,[1]Municipios!$B:$B,[1]Municipios!$D:$D)</f>
        <v>Vale Do Ivaí</v>
      </c>
      <c r="D358">
        <v>2025</v>
      </c>
      <c r="E358" t="s">
        <v>234</v>
      </c>
      <c r="F358">
        <v>0.66659999999999997</v>
      </c>
      <c r="G358">
        <v>54.55</v>
      </c>
    </row>
    <row r="359" spans="1:7" x14ac:dyDescent="0.25">
      <c r="A359" t="s">
        <v>373</v>
      </c>
      <c r="B359" t="str">
        <f>_xlfn.XLOOKUP(A359,[1]Municipios!$B:$B,[1]Municipios!$C:$C)</f>
        <v>Norte</v>
      </c>
      <c r="C359" t="str">
        <f>_xlfn.XLOOKUP(A359,[1]Municipios!$B:$B,[1]Municipios!$D:$D)</f>
        <v>Vale Do Ivaí</v>
      </c>
      <c r="D359">
        <v>2025</v>
      </c>
      <c r="E359" t="s">
        <v>235</v>
      </c>
      <c r="F359">
        <v>0.42849999999999999</v>
      </c>
      <c r="G359">
        <v>54.55</v>
      </c>
    </row>
    <row r="360" spans="1:7" x14ac:dyDescent="0.25">
      <c r="A360" t="s">
        <v>373</v>
      </c>
      <c r="B360" t="str">
        <f>_xlfn.XLOOKUP(A360,[1]Municipios!$B:$B,[1]Municipios!$C:$C)</f>
        <v>Norte</v>
      </c>
      <c r="C360" t="str">
        <f>_xlfn.XLOOKUP(A360,[1]Municipios!$B:$B,[1]Municipios!$D:$D)</f>
        <v>Vale Do Ivaí</v>
      </c>
      <c r="D360">
        <v>2025</v>
      </c>
      <c r="E360" t="s">
        <v>236</v>
      </c>
      <c r="F360">
        <v>7.6999999999999999E-2</v>
      </c>
      <c r="G360">
        <v>54.55</v>
      </c>
    </row>
    <row r="361" spans="1:7" x14ac:dyDescent="0.25">
      <c r="A361" t="s">
        <v>373</v>
      </c>
      <c r="B361" t="str">
        <f>_xlfn.XLOOKUP(A361,[1]Municipios!$B:$B,[1]Municipios!$C:$C)</f>
        <v>Norte</v>
      </c>
      <c r="C361" t="str">
        <f>_xlfn.XLOOKUP(A361,[1]Municipios!$B:$B,[1]Municipios!$D:$D)</f>
        <v>Vale Do Ivaí</v>
      </c>
      <c r="D361">
        <v>2025</v>
      </c>
      <c r="E361" t="s">
        <v>237</v>
      </c>
      <c r="F361">
        <v>0.5</v>
      </c>
      <c r="G361">
        <v>54.55</v>
      </c>
    </row>
    <row r="362" spans="1:7" x14ac:dyDescent="0.25">
      <c r="A362" t="s">
        <v>417</v>
      </c>
      <c r="B362" t="str">
        <f>_xlfn.XLOOKUP(A362,[1]Municipios!$B:$B,[1]Municipios!$C:$C)</f>
        <v>Oeste</v>
      </c>
      <c r="C362" t="str">
        <f>_xlfn.XLOOKUP(A362,[1]Municipios!$B:$B,[1]Municipios!$D:$D)</f>
        <v>Oeste Integrado</v>
      </c>
      <c r="D362">
        <v>2025</v>
      </c>
      <c r="E362" t="s">
        <v>231</v>
      </c>
      <c r="F362">
        <v>0.44449999999999995</v>
      </c>
      <c r="G362">
        <v>75.709999999999994</v>
      </c>
    </row>
    <row r="363" spans="1:7" x14ac:dyDescent="0.25">
      <c r="A363" t="s">
        <v>417</v>
      </c>
      <c r="B363" t="str">
        <f>_xlfn.XLOOKUP(A363,[1]Municipios!$B:$B,[1]Municipios!$C:$C)</f>
        <v>Oeste</v>
      </c>
      <c r="C363" t="str">
        <f>_xlfn.XLOOKUP(A363,[1]Municipios!$B:$B,[1]Municipios!$D:$D)</f>
        <v>Oeste Integrado</v>
      </c>
      <c r="D363">
        <v>2025</v>
      </c>
      <c r="E363" t="s">
        <v>232</v>
      </c>
      <c r="F363">
        <v>0.76919999999999999</v>
      </c>
      <c r="G363">
        <v>75.709999999999994</v>
      </c>
    </row>
    <row r="364" spans="1:7" x14ac:dyDescent="0.25">
      <c r="A364" t="s">
        <v>417</v>
      </c>
      <c r="B364" t="str">
        <f>_xlfn.XLOOKUP(A364,[1]Municipios!$B:$B,[1]Municipios!$C:$C)</f>
        <v>Oeste</v>
      </c>
      <c r="C364" t="str">
        <f>_xlfn.XLOOKUP(A364,[1]Municipios!$B:$B,[1]Municipios!$D:$D)</f>
        <v>Oeste Integrado</v>
      </c>
      <c r="D364">
        <v>2025</v>
      </c>
      <c r="E364" t="s">
        <v>233</v>
      </c>
      <c r="F364">
        <v>1</v>
      </c>
      <c r="G364">
        <v>75.709999999999994</v>
      </c>
    </row>
    <row r="365" spans="1:7" x14ac:dyDescent="0.25">
      <c r="A365" t="s">
        <v>417</v>
      </c>
      <c r="B365" t="str">
        <f>_xlfn.XLOOKUP(A365,[1]Municipios!$B:$B,[1]Municipios!$C:$C)</f>
        <v>Oeste</v>
      </c>
      <c r="C365" t="str">
        <f>_xlfn.XLOOKUP(A365,[1]Municipios!$B:$B,[1]Municipios!$D:$D)</f>
        <v>Oeste Integrado</v>
      </c>
      <c r="D365">
        <v>2025</v>
      </c>
      <c r="E365" t="s">
        <v>215</v>
      </c>
      <c r="F365">
        <v>1</v>
      </c>
      <c r="G365">
        <v>75.709999999999994</v>
      </c>
    </row>
    <row r="366" spans="1:7" x14ac:dyDescent="0.25">
      <c r="A366" t="s">
        <v>417</v>
      </c>
      <c r="B366" t="str">
        <f>_xlfn.XLOOKUP(A366,[1]Municipios!$B:$B,[1]Municipios!$C:$C)</f>
        <v>Oeste</v>
      </c>
      <c r="C366" t="str">
        <f>_xlfn.XLOOKUP(A366,[1]Municipios!$B:$B,[1]Municipios!$D:$D)</f>
        <v>Oeste Integrado</v>
      </c>
      <c r="D366">
        <v>2025</v>
      </c>
      <c r="E366" t="s">
        <v>234</v>
      </c>
      <c r="F366">
        <v>0.77780000000000005</v>
      </c>
      <c r="G366">
        <v>75.709999999999994</v>
      </c>
    </row>
    <row r="367" spans="1:7" x14ac:dyDescent="0.25">
      <c r="A367" t="s">
        <v>417</v>
      </c>
      <c r="B367" t="str">
        <f>_xlfn.XLOOKUP(A367,[1]Municipios!$B:$B,[1]Municipios!$C:$C)</f>
        <v>Oeste</v>
      </c>
      <c r="C367" t="str">
        <f>_xlfn.XLOOKUP(A367,[1]Municipios!$B:$B,[1]Municipios!$D:$D)</f>
        <v>Oeste Integrado</v>
      </c>
      <c r="D367">
        <v>2025</v>
      </c>
      <c r="E367" t="s">
        <v>235</v>
      </c>
      <c r="F367">
        <v>1</v>
      </c>
      <c r="G367">
        <v>75.709999999999994</v>
      </c>
    </row>
    <row r="368" spans="1:7" x14ac:dyDescent="0.25">
      <c r="A368" t="s">
        <v>417</v>
      </c>
      <c r="B368" t="str">
        <f>_xlfn.XLOOKUP(A368,[1]Municipios!$B:$B,[1]Municipios!$C:$C)</f>
        <v>Oeste</v>
      </c>
      <c r="C368" t="str">
        <f>_xlfn.XLOOKUP(A368,[1]Municipios!$B:$B,[1]Municipios!$D:$D)</f>
        <v>Oeste Integrado</v>
      </c>
      <c r="D368">
        <v>2025</v>
      </c>
      <c r="E368" t="s">
        <v>236</v>
      </c>
      <c r="F368">
        <v>0.154</v>
      </c>
      <c r="G368">
        <v>75.709999999999994</v>
      </c>
    </row>
    <row r="369" spans="1:7" x14ac:dyDescent="0.25">
      <c r="A369" t="s">
        <v>417</v>
      </c>
      <c r="B369" t="str">
        <f>_xlfn.XLOOKUP(A369,[1]Municipios!$B:$B,[1]Municipios!$C:$C)</f>
        <v>Oeste</v>
      </c>
      <c r="C369" t="str">
        <f>_xlfn.XLOOKUP(A369,[1]Municipios!$B:$B,[1]Municipios!$D:$D)</f>
        <v>Oeste Integrado</v>
      </c>
      <c r="D369">
        <v>2025</v>
      </c>
      <c r="E369" t="s">
        <v>237</v>
      </c>
      <c r="F369">
        <v>1</v>
      </c>
      <c r="G369">
        <v>75.709999999999994</v>
      </c>
    </row>
    <row r="370" spans="1:7" x14ac:dyDescent="0.25">
      <c r="A370" t="s">
        <v>418</v>
      </c>
      <c r="B370" t="str">
        <f>_xlfn.XLOOKUP(A370,[1]Municipios!$B:$B,[1]Municipios!$C:$C)</f>
        <v>Oeste</v>
      </c>
      <c r="C370" t="str">
        <f>_xlfn.XLOOKUP(A370,[1]Municipios!$B:$B,[1]Municipios!$D:$D)</f>
        <v>Oeste Integrado</v>
      </c>
      <c r="D370">
        <v>2025</v>
      </c>
      <c r="E370" t="s">
        <v>231</v>
      </c>
      <c r="F370">
        <v>0.55549999999999988</v>
      </c>
      <c r="G370">
        <v>47.1</v>
      </c>
    </row>
    <row r="371" spans="1:7" x14ac:dyDescent="0.25">
      <c r="A371" t="s">
        <v>418</v>
      </c>
      <c r="B371" t="str">
        <f>_xlfn.XLOOKUP(A371,[1]Municipios!$B:$B,[1]Municipios!$C:$C)</f>
        <v>Oeste</v>
      </c>
      <c r="C371" t="str">
        <f>_xlfn.XLOOKUP(A371,[1]Municipios!$B:$B,[1]Municipios!$D:$D)</f>
        <v>Oeste Integrado</v>
      </c>
      <c r="D371">
        <v>2025</v>
      </c>
      <c r="E371" t="s">
        <v>232</v>
      </c>
      <c r="F371">
        <v>0.46150000000000002</v>
      </c>
      <c r="G371">
        <v>47.1</v>
      </c>
    </row>
    <row r="372" spans="1:7" x14ac:dyDescent="0.25">
      <c r="A372" t="s">
        <v>418</v>
      </c>
      <c r="B372" t="str">
        <f>_xlfn.XLOOKUP(A372,[1]Municipios!$B:$B,[1]Municipios!$C:$C)</f>
        <v>Oeste</v>
      </c>
      <c r="C372" t="str">
        <f>_xlfn.XLOOKUP(A372,[1]Municipios!$B:$B,[1]Municipios!$D:$D)</f>
        <v>Oeste Integrado</v>
      </c>
      <c r="D372">
        <v>2025</v>
      </c>
      <c r="E372" t="s">
        <v>233</v>
      </c>
      <c r="F372">
        <v>0.5</v>
      </c>
      <c r="G372">
        <v>47.1</v>
      </c>
    </row>
    <row r="373" spans="1:7" x14ac:dyDescent="0.25">
      <c r="A373" t="s">
        <v>418</v>
      </c>
      <c r="B373" t="str">
        <f>_xlfn.XLOOKUP(A373,[1]Municipios!$B:$B,[1]Municipios!$C:$C)</f>
        <v>Oeste</v>
      </c>
      <c r="C373" t="str">
        <f>_xlfn.XLOOKUP(A373,[1]Municipios!$B:$B,[1]Municipios!$D:$D)</f>
        <v>Oeste Integrado</v>
      </c>
      <c r="D373">
        <v>2025</v>
      </c>
      <c r="E373" t="s">
        <v>215</v>
      </c>
      <c r="F373">
        <v>0.25</v>
      </c>
      <c r="G373">
        <v>47.1</v>
      </c>
    </row>
    <row r="374" spans="1:7" x14ac:dyDescent="0.25">
      <c r="A374" t="s">
        <v>418</v>
      </c>
      <c r="B374" t="str">
        <f>_xlfn.XLOOKUP(A374,[1]Municipios!$B:$B,[1]Municipios!$C:$C)</f>
        <v>Oeste</v>
      </c>
      <c r="C374" t="str">
        <f>_xlfn.XLOOKUP(A374,[1]Municipios!$B:$B,[1]Municipios!$D:$D)</f>
        <v>Oeste Integrado</v>
      </c>
      <c r="D374">
        <v>2025</v>
      </c>
      <c r="E374" t="s">
        <v>234</v>
      </c>
      <c r="F374">
        <v>0.66669999999999996</v>
      </c>
      <c r="G374">
        <v>47.1</v>
      </c>
    </row>
    <row r="375" spans="1:7" x14ac:dyDescent="0.25">
      <c r="A375" t="s">
        <v>418</v>
      </c>
      <c r="B375" t="str">
        <f>_xlfn.XLOOKUP(A375,[1]Municipios!$B:$B,[1]Municipios!$C:$C)</f>
        <v>Oeste</v>
      </c>
      <c r="C375" t="str">
        <f>_xlfn.XLOOKUP(A375,[1]Municipios!$B:$B,[1]Municipios!$D:$D)</f>
        <v>Oeste Integrado</v>
      </c>
      <c r="D375">
        <v>2025</v>
      </c>
      <c r="E375" t="s">
        <v>235</v>
      </c>
      <c r="F375">
        <v>0.71419999999999995</v>
      </c>
      <c r="G375">
        <v>47.1</v>
      </c>
    </row>
    <row r="376" spans="1:7" x14ac:dyDescent="0.25">
      <c r="A376" t="s">
        <v>418</v>
      </c>
      <c r="B376" t="str">
        <f>_xlfn.XLOOKUP(A376,[1]Municipios!$B:$B,[1]Municipios!$C:$C)</f>
        <v>Oeste</v>
      </c>
      <c r="C376" t="str">
        <f>_xlfn.XLOOKUP(A376,[1]Municipios!$B:$B,[1]Municipios!$D:$D)</f>
        <v>Oeste Integrado</v>
      </c>
      <c r="D376">
        <v>2025</v>
      </c>
      <c r="E376" t="s">
        <v>236</v>
      </c>
      <c r="F376">
        <v>0</v>
      </c>
      <c r="G376">
        <v>47.1</v>
      </c>
    </row>
    <row r="377" spans="1:7" x14ac:dyDescent="0.25">
      <c r="A377" t="s">
        <v>418</v>
      </c>
      <c r="B377" t="str">
        <f>_xlfn.XLOOKUP(A377,[1]Municipios!$B:$B,[1]Municipios!$C:$C)</f>
        <v>Oeste</v>
      </c>
      <c r="C377" t="str">
        <f>_xlfn.XLOOKUP(A377,[1]Municipios!$B:$B,[1]Municipios!$D:$D)</f>
        <v>Oeste Integrado</v>
      </c>
      <c r="D377">
        <v>2025</v>
      </c>
      <c r="E377" t="s">
        <v>237</v>
      </c>
      <c r="F377">
        <v>0.5</v>
      </c>
      <c r="G377">
        <v>47.1</v>
      </c>
    </row>
    <row r="378" spans="1:7" x14ac:dyDescent="0.25">
      <c r="A378" t="s">
        <v>384</v>
      </c>
      <c r="B378" t="str">
        <f>_xlfn.XLOOKUP(A378,[1]Municipios!$B:$B,[1]Municipios!$C:$C)</f>
        <v>Norte</v>
      </c>
      <c r="C378" t="str">
        <f>_xlfn.XLOOKUP(A378,[1]Municipios!$B:$B,[1]Municipios!$D:$D)</f>
        <v>Vale do Paranapanema</v>
      </c>
      <c r="D378">
        <v>2025</v>
      </c>
      <c r="E378" t="s">
        <v>231</v>
      </c>
      <c r="F378">
        <v>0.55559999999999998</v>
      </c>
      <c r="G378">
        <v>48.5</v>
      </c>
    </row>
    <row r="379" spans="1:7" x14ac:dyDescent="0.25">
      <c r="A379" t="s">
        <v>384</v>
      </c>
      <c r="B379" t="str">
        <f>_xlfn.XLOOKUP(A379,[1]Municipios!$B:$B,[1]Municipios!$C:$C)</f>
        <v>Norte</v>
      </c>
      <c r="C379" t="str">
        <f>_xlfn.XLOOKUP(A379,[1]Municipios!$B:$B,[1]Municipios!$D:$D)</f>
        <v>Vale do Paranapanema</v>
      </c>
      <c r="D379">
        <v>2025</v>
      </c>
      <c r="E379" t="s">
        <v>232</v>
      </c>
      <c r="F379">
        <v>0.76929999999999998</v>
      </c>
      <c r="G379">
        <v>48.5</v>
      </c>
    </row>
    <row r="380" spans="1:7" x14ac:dyDescent="0.25">
      <c r="A380" t="s">
        <v>384</v>
      </c>
      <c r="B380" t="str">
        <f>_xlfn.XLOOKUP(A380,[1]Municipios!$B:$B,[1]Municipios!$C:$C)</f>
        <v>Norte</v>
      </c>
      <c r="C380" t="str">
        <f>_xlfn.XLOOKUP(A380,[1]Municipios!$B:$B,[1]Municipios!$D:$D)</f>
        <v>Vale do Paranapanema</v>
      </c>
      <c r="D380">
        <v>2025</v>
      </c>
      <c r="E380" t="s">
        <v>233</v>
      </c>
      <c r="F380">
        <v>0.625</v>
      </c>
      <c r="G380">
        <v>48.5</v>
      </c>
    </row>
    <row r="381" spans="1:7" x14ac:dyDescent="0.25">
      <c r="A381" t="s">
        <v>384</v>
      </c>
      <c r="B381" t="str">
        <f>_xlfn.XLOOKUP(A381,[1]Municipios!$B:$B,[1]Municipios!$C:$C)</f>
        <v>Norte</v>
      </c>
      <c r="C381" t="str">
        <f>_xlfn.XLOOKUP(A381,[1]Municipios!$B:$B,[1]Municipios!$D:$D)</f>
        <v>Vale do Paranapanema</v>
      </c>
      <c r="D381">
        <v>2025</v>
      </c>
      <c r="E381" t="s">
        <v>215</v>
      </c>
      <c r="F381">
        <v>0.79999999999999993</v>
      </c>
      <c r="G381">
        <v>48.5</v>
      </c>
    </row>
    <row r="382" spans="1:7" x14ac:dyDescent="0.25">
      <c r="A382" t="s">
        <v>384</v>
      </c>
      <c r="B382" t="str">
        <f>_xlfn.XLOOKUP(A382,[1]Municipios!$B:$B,[1]Municipios!$C:$C)</f>
        <v>Norte</v>
      </c>
      <c r="C382" t="str">
        <f>_xlfn.XLOOKUP(A382,[1]Municipios!$B:$B,[1]Municipios!$D:$D)</f>
        <v>Vale do Paranapanema</v>
      </c>
      <c r="D382">
        <v>2025</v>
      </c>
      <c r="E382" t="s">
        <v>234</v>
      </c>
      <c r="F382">
        <v>0.55549999999999999</v>
      </c>
      <c r="G382">
        <v>48.5</v>
      </c>
    </row>
    <row r="383" spans="1:7" x14ac:dyDescent="0.25">
      <c r="A383" t="s">
        <v>384</v>
      </c>
      <c r="B383" t="str">
        <f>_xlfn.XLOOKUP(A383,[1]Municipios!$B:$B,[1]Municipios!$C:$C)</f>
        <v>Norte</v>
      </c>
      <c r="C383" t="str">
        <f>_xlfn.XLOOKUP(A383,[1]Municipios!$B:$B,[1]Municipios!$D:$D)</f>
        <v>Vale do Paranapanema</v>
      </c>
      <c r="D383">
        <v>2025</v>
      </c>
      <c r="E383" t="s">
        <v>235</v>
      </c>
      <c r="F383">
        <v>0.42869999999999997</v>
      </c>
      <c r="G383">
        <v>48.5</v>
      </c>
    </row>
    <row r="384" spans="1:7" x14ac:dyDescent="0.25">
      <c r="A384" t="s">
        <v>384</v>
      </c>
      <c r="B384" t="str">
        <f>_xlfn.XLOOKUP(A384,[1]Municipios!$B:$B,[1]Municipios!$C:$C)</f>
        <v>Norte</v>
      </c>
      <c r="C384" t="str">
        <f>_xlfn.XLOOKUP(A384,[1]Municipios!$B:$B,[1]Municipios!$D:$D)</f>
        <v>Vale do Paranapanema</v>
      </c>
      <c r="D384">
        <v>2025</v>
      </c>
      <c r="E384" t="s">
        <v>236</v>
      </c>
      <c r="F384">
        <v>7.6999999999999999E-2</v>
      </c>
      <c r="G384">
        <v>48.5</v>
      </c>
    </row>
    <row r="385" spans="1:7" x14ac:dyDescent="0.25">
      <c r="A385" t="s">
        <v>384</v>
      </c>
      <c r="B385" t="str">
        <f>_xlfn.XLOOKUP(A385,[1]Municipios!$B:$B,[1]Municipios!$C:$C)</f>
        <v>Norte</v>
      </c>
      <c r="C385" t="str">
        <f>_xlfn.XLOOKUP(A385,[1]Municipios!$B:$B,[1]Municipios!$D:$D)</f>
        <v>Vale do Paranapanema</v>
      </c>
      <c r="D385">
        <v>2025</v>
      </c>
      <c r="E385" t="s">
        <v>237</v>
      </c>
      <c r="F385">
        <v>0</v>
      </c>
      <c r="G385">
        <v>48.5</v>
      </c>
    </row>
    <row r="386" spans="1:7" x14ac:dyDescent="0.25">
      <c r="A386" t="s">
        <v>419</v>
      </c>
      <c r="B386" t="str">
        <f>_xlfn.XLOOKUP(A386,[1]Municipios!$B:$B,[1]Municipios!$C:$C)</f>
        <v>Oeste</v>
      </c>
      <c r="C386" t="str">
        <f>_xlfn.XLOOKUP(A386,[1]Municipios!$B:$B,[1]Municipios!$D:$D)</f>
        <v>Oeste Integrado</v>
      </c>
      <c r="D386">
        <v>2025</v>
      </c>
      <c r="E386" t="s">
        <v>231</v>
      </c>
      <c r="F386">
        <v>0.77779999999999994</v>
      </c>
      <c r="G386">
        <v>76.23</v>
      </c>
    </row>
    <row r="387" spans="1:7" x14ac:dyDescent="0.25">
      <c r="A387" t="s">
        <v>419</v>
      </c>
      <c r="B387" t="str">
        <f>_xlfn.XLOOKUP(A387,[1]Municipios!$B:$B,[1]Municipios!$C:$C)</f>
        <v>Oeste</v>
      </c>
      <c r="C387" t="str">
        <f>_xlfn.XLOOKUP(A387,[1]Municipios!$B:$B,[1]Municipios!$D:$D)</f>
        <v>Oeste Integrado</v>
      </c>
      <c r="D387">
        <v>2025</v>
      </c>
      <c r="E387" t="s">
        <v>232</v>
      </c>
      <c r="F387">
        <v>0.84609999999999996</v>
      </c>
      <c r="G387">
        <v>76.23</v>
      </c>
    </row>
    <row r="388" spans="1:7" x14ac:dyDescent="0.25">
      <c r="A388" t="s">
        <v>419</v>
      </c>
      <c r="B388" t="str">
        <f>_xlfn.XLOOKUP(A388,[1]Municipios!$B:$B,[1]Municipios!$C:$C)</f>
        <v>Oeste</v>
      </c>
      <c r="C388" t="str">
        <f>_xlfn.XLOOKUP(A388,[1]Municipios!$B:$B,[1]Municipios!$D:$D)</f>
        <v>Oeste Integrado</v>
      </c>
      <c r="D388">
        <v>2025</v>
      </c>
      <c r="E388" t="s">
        <v>233</v>
      </c>
      <c r="F388">
        <v>1</v>
      </c>
      <c r="G388">
        <v>76.23</v>
      </c>
    </row>
    <row r="389" spans="1:7" x14ac:dyDescent="0.25">
      <c r="A389" t="s">
        <v>419</v>
      </c>
      <c r="B389" t="str">
        <f>_xlfn.XLOOKUP(A389,[1]Municipios!$B:$B,[1]Municipios!$C:$C)</f>
        <v>Oeste</v>
      </c>
      <c r="C389" t="str">
        <f>_xlfn.XLOOKUP(A389,[1]Municipios!$B:$B,[1]Municipios!$D:$D)</f>
        <v>Oeste Integrado</v>
      </c>
      <c r="D389">
        <v>2025</v>
      </c>
      <c r="E389" t="s">
        <v>215</v>
      </c>
      <c r="F389">
        <v>0.3</v>
      </c>
      <c r="G389">
        <v>76.23</v>
      </c>
    </row>
    <row r="390" spans="1:7" x14ac:dyDescent="0.25">
      <c r="A390" t="s">
        <v>419</v>
      </c>
      <c r="B390" t="str">
        <f>_xlfn.XLOOKUP(A390,[1]Municipios!$B:$B,[1]Municipios!$C:$C)</f>
        <v>Oeste</v>
      </c>
      <c r="C390" t="str">
        <f>_xlfn.XLOOKUP(A390,[1]Municipios!$B:$B,[1]Municipios!$D:$D)</f>
        <v>Oeste Integrado</v>
      </c>
      <c r="D390">
        <v>2025</v>
      </c>
      <c r="E390" t="s">
        <v>234</v>
      </c>
      <c r="F390">
        <v>0.77780000000000005</v>
      </c>
      <c r="G390">
        <v>76.23</v>
      </c>
    </row>
    <row r="391" spans="1:7" x14ac:dyDescent="0.25">
      <c r="A391" t="s">
        <v>419</v>
      </c>
      <c r="B391" t="str">
        <f>_xlfn.XLOOKUP(A391,[1]Municipios!$B:$B,[1]Municipios!$C:$C)</f>
        <v>Oeste</v>
      </c>
      <c r="C391" t="str">
        <f>_xlfn.XLOOKUP(A391,[1]Municipios!$B:$B,[1]Municipios!$D:$D)</f>
        <v>Oeste Integrado</v>
      </c>
      <c r="D391">
        <v>2025</v>
      </c>
      <c r="E391" t="s">
        <v>235</v>
      </c>
      <c r="F391">
        <v>1</v>
      </c>
      <c r="G391">
        <v>76.23</v>
      </c>
    </row>
    <row r="392" spans="1:7" x14ac:dyDescent="0.25">
      <c r="A392" t="s">
        <v>419</v>
      </c>
      <c r="B392" t="str">
        <f>_xlfn.XLOOKUP(A392,[1]Municipios!$B:$B,[1]Municipios!$C:$C)</f>
        <v>Oeste</v>
      </c>
      <c r="C392" t="str">
        <f>_xlfn.XLOOKUP(A392,[1]Municipios!$B:$B,[1]Municipios!$D:$D)</f>
        <v>Oeste Integrado</v>
      </c>
      <c r="D392">
        <v>2025</v>
      </c>
      <c r="E392" t="s">
        <v>236</v>
      </c>
      <c r="F392">
        <v>0.4617</v>
      </c>
      <c r="G392">
        <v>76.23</v>
      </c>
    </row>
    <row r="393" spans="1:7" x14ac:dyDescent="0.25">
      <c r="A393" t="s">
        <v>419</v>
      </c>
      <c r="B393" t="str">
        <f>_xlfn.XLOOKUP(A393,[1]Municipios!$B:$B,[1]Municipios!$C:$C)</f>
        <v>Oeste</v>
      </c>
      <c r="C393" t="str">
        <f>_xlfn.XLOOKUP(A393,[1]Municipios!$B:$B,[1]Municipios!$D:$D)</f>
        <v>Oeste Integrado</v>
      </c>
      <c r="D393">
        <v>2025</v>
      </c>
      <c r="E393" t="s">
        <v>237</v>
      </c>
      <c r="F393">
        <v>1</v>
      </c>
      <c r="G393">
        <v>76.23</v>
      </c>
    </row>
    <row r="394" spans="1:7" x14ac:dyDescent="0.25">
      <c r="A394" t="s">
        <v>304</v>
      </c>
      <c r="B394" t="str">
        <f>_xlfn.XLOOKUP(A394,[1]Municipios!$B:$B,[1]Municipios!$C:$C)</f>
        <v>Noroeste</v>
      </c>
      <c r="C394" t="str">
        <f>_xlfn.XLOOKUP(A394,[1]Municipios!$B:$B,[1]Municipios!$D:$D)</f>
        <v>Arenito-Caiuá</v>
      </c>
      <c r="D394">
        <v>2025</v>
      </c>
      <c r="E394" t="s">
        <v>231</v>
      </c>
      <c r="F394">
        <v>0.77779999999999994</v>
      </c>
      <c r="G394">
        <v>62.21</v>
      </c>
    </row>
    <row r="395" spans="1:7" x14ac:dyDescent="0.25">
      <c r="A395" t="s">
        <v>304</v>
      </c>
      <c r="B395" t="str">
        <f>_xlfn.XLOOKUP(A395,[1]Municipios!$B:$B,[1]Municipios!$C:$C)</f>
        <v>Noroeste</v>
      </c>
      <c r="C395" t="str">
        <f>_xlfn.XLOOKUP(A395,[1]Municipios!$B:$B,[1]Municipios!$D:$D)</f>
        <v>Arenito-Caiuá</v>
      </c>
      <c r="D395">
        <v>2025</v>
      </c>
      <c r="E395" t="s">
        <v>232</v>
      </c>
      <c r="F395">
        <v>0.76929999999999998</v>
      </c>
      <c r="G395">
        <v>62.21</v>
      </c>
    </row>
    <row r="396" spans="1:7" x14ac:dyDescent="0.25">
      <c r="A396" t="s">
        <v>304</v>
      </c>
      <c r="B396" t="str">
        <f>_xlfn.XLOOKUP(A396,[1]Municipios!$B:$B,[1]Municipios!$C:$C)</f>
        <v>Noroeste</v>
      </c>
      <c r="C396" t="str">
        <f>_xlfn.XLOOKUP(A396,[1]Municipios!$B:$B,[1]Municipios!$D:$D)</f>
        <v>Arenito-Caiuá</v>
      </c>
      <c r="D396">
        <v>2025</v>
      </c>
      <c r="E396" t="s">
        <v>233</v>
      </c>
      <c r="F396">
        <v>0.5</v>
      </c>
      <c r="G396">
        <v>62.21</v>
      </c>
    </row>
    <row r="397" spans="1:7" x14ac:dyDescent="0.25">
      <c r="A397" t="s">
        <v>304</v>
      </c>
      <c r="B397" t="str">
        <f>_xlfn.XLOOKUP(A397,[1]Municipios!$B:$B,[1]Municipios!$C:$C)</f>
        <v>Noroeste</v>
      </c>
      <c r="C397" t="str">
        <f>_xlfn.XLOOKUP(A397,[1]Municipios!$B:$B,[1]Municipios!$D:$D)</f>
        <v>Arenito-Caiuá</v>
      </c>
      <c r="D397">
        <v>2025</v>
      </c>
      <c r="E397" t="s">
        <v>215</v>
      </c>
      <c r="F397">
        <v>0.79999999999999993</v>
      </c>
      <c r="G397">
        <v>62.21</v>
      </c>
    </row>
    <row r="398" spans="1:7" x14ac:dyDescent="0.25">
      <c r="A398" t="s">
        <v>304</v>
      </c>
      <c r="B398" t="str">
        <f>_xlfn.XLOOKUP(A398,[1]Municipios!$B:$B,[1]Municipios!$C:$C)</f>
        <v>Noroeste</v>
      </c>
      <c r="C398" t="str">
        <f>_xlfn.XLOOKUP(A398,[1]Municipios!$B:$B,[1]Municipios!$D:$D)</f>
        <v>Arenito-Caiuá</v>
      </c>
      <c r="D398">
        <v>2025</v>
      </c>
      <c r="E398" t="s">
        <v>234</v>
      </c>
      <c r="F398">
        <v>0.66659999999999997</v>
      </c>
      <c r="G398">
        <v>62.21</v>
      </c>
    </row>
    <row r="399" spans="1:7" x14ac:dyDescent="0.25">
      <c r="A399" t="s">
        <v>304</v>
      </c>
      <c r="B399" t="str">
        <f>_xlfn.XLOOKUP(A399,[1]Municipios!$B:$B,[1]Municipios!$C:$C)</f>
        <v>Noroeste</v>
      </c>
      <c r="C399" t="str">
        <f>_xlfn.XLOOKUP(A399,[1]Municipios!$B:$B,[1]Municipios!$D:$D)</f>
        <v>Arenito-Caiuá</v>
      </c>
      <c r="D399">
        <v>2025</v>
      </c>
      <c r="E399" t="s">
        <v>235</v>
      </c>
      <c r="F399">
        <v>0.71429999999999993</v>
      </c>
      <c r="G399">
        <v>62.21</v>
      </c>
    </row>
    <row r="400" spans="1:7" x14ac:dyDescent="0.25">
      <c r="A400" t="s">
        <v>304</v>
      </c>
      <c r="B400" t="str">
        <f>_xlfn.XLOOKUP(A400,[1]Municipios!$B:$B,[1]Municipios!$C:$C)</f>
        <v>Noroeste</v>
      </c>
      <c r="C400" t="str">
        <f>_xlfn.XLOOKUP(A400,[1]Municipios!$B:$B,[1]Municipios!$D:$D)</f>
        <v>Arenito-Caiuá</v>
      </c>
      <c r="D400">
        <v>2025</v>
      </c>
      <c r="E400" t="s">
        <v>236</v>
      </c>
      <c r="F400">
        <v>7.6999999999999999E-2</v>
      </c>
      <c r="G400">
        <v>62.21</v>
      </c>
    </row>
    <row r="401" spans="1:7" x14ac:dyDescent="0.25">
      <c r="A401" t="s">
        <v>304</v>
      </c>
      <c r="B401" t="str">
        <f>_xlfn.XLOOKUP(A401,[1]Municipios!$B:$B,[1]Municipios!$C:$C)</f>
        <v>Noroeste</v>
      </c>
      <c r="C401" t="str">
        <f>_xlfn.XLOOKUP(A401,[1]Municipios!$B:$B,[1]Municipios!$D:$D)</f>
        <v>Arenito-Caiuá</v>
      </c>
      <c r="D401">
        <v>2025</v>
      </c>
      <c r="E401" t="s">
        <v>237</v>
      </c>
      <c r="F401">
        <v>0.5</v>
      </c>
      <c r="G401">
        <v>62.21</v>
      </c>
    </row>
    <row r="402" spans="1:7" x14ac:dyDescent="0.25">
      <c r="A402" t="s">
        <v>374</v>
      </c>
      <c r="B402" t="str">
        <f>_xlfn.XLOOKUP(A402,[1]Municipios!$B:$B,[1]Municipios!$C:$C)</f>
        <v>Norte</v>
      </c>
      <c r="C402" t="str">
        <f>_xlfn.XLOOKUP(A402,[1]Municipios!$B:$B,[1]Municipios!$D:$D)</f>
        <v>Vale Do Ivaí</v>
      </c>
      <c r="D402">
        <v>2025</v>
      </c>
      <c r="E402" t="s">
        <v>231</v>
      </c>
      <c r="F402">
        <v>0.77779999999999994</v>
      </c>
      <c r="G402">
        <v>64.25</v>
      </c>
    </row>
    <row r="403" spans="1:7" x14ac:dyDescent="0.25">
      <c r="A403" t="s">
        <v>374</v>
      </c>
      <c r="B403" t="str">
        <f>_xlfn.XLOOKUP(A403,[1]Municipios!$B:$B,[1]Municipios!$C:$C)</f>
        <v>Norte</v>
      </c>
      <c r="C403" t="str">
        <f>_xlfn.XLOOKUP(A403,[1]Municipios!$B:$B,[1]Municipios!$D:$D)</f>
        <v>Vale Do Ivaí</v>
      </c>
      <c r="D403">
        <v>2025</v>
      </c>
      <c r="E403" t="s">
        <v>232</v>
      </c>
      <c r="F403">
        <v>0.76929999999999998</v>
      </c>
      <c r="G403">
        <v>64.25</v>
      </c>
    </row>
    <row r="404" spans="1:7" x14ac:dyDescent="0.25">
      <c r="A404" t="s">
        <v>374</v>
      </c>
      <c r="B404" t="str">
        <f>_xlfn.XLOOKUP(A404,[1]Municipios!$B:$B,[1]Municipios!$C:$C)</f>
        <v>Norte</v>
      </c>
      <c r="C404" t="str">
        <f>_xlfn.XLOOKUP(A404,[1]Municipios!$B:$B,[1]Municipios!$D:$D)</f>
        <v>Vale Do Ivaí</v>
      </c>
      <c r="D404">
        <v>2025</v>
      </c>
      <c r="E404" t="s">
        <v>233</v>
      </c>
      <c r="F404">
        <v>0.375</v>
      </c>
      <c r="G404">
        <v>64.25</v>
      </c>
    </row>
    <row r="405" spans="1:7" x14ac:dyDescent="0.25">
      <c r="A405" t="s">
        <v>374</v>
      </c>
      <c r="B405" t="str">
        <f>_xlfn.XLOOKUP(A405,[1]Municipios!$B:$B,[1]Municipios!$C:$C)</f>
        <v>Norte</v>
      </c>
      <c r="C405" t="str">
        <f>_xlfn.XLOOKUP(A405,[1]Municipios!$B:$B,[1]Municipios!$D:$D)</f>
        <v>Vale Do Ivaí</v>
      </c>
      <c r="D405">
        <v>2025</v>
      </c>
      <c r="E405" t="s">
        <v>215</v>
      </c>
      <c r="F405">
        <v>0.70000000000000007</v>
      </c>
      <c r="G405">
        <v>64.25</v>
      </c>
    </row>
    <row r="406" spans="1:7" x14ac:dyDescent="0.25">
      <c r="A406" t="s">
        <v>374</v>
      </c>
      <c r="B406" t="str">
        <f>_xlfn.XLOOKUP(A406,[1]Municipios!$B:$B,[1]Municipios!$C:$C)</f>
        <v>Norte</v>
      </c>
      <c r="C406" t="str">
        <f>_xlfn.XLOOKUP(A406,[1]Municipios!$B:$B,[1]Municipios!$D:$D)</f>
        <v>Vale Do Ivaí</v>
      </c>
      <c r="D406">
        <v>2025</v>
      </c>
      <c r="E406" t="s">
        <v>234</v>
      </c>
      <c r="F406">
        <v>0.44440000000000002</v>
      </c>
      <c r="G406">
        <v>64.25</v>
      </c>
    </row>
    <row r="407" spans="1:7" x14ac:dyDescent="0.25">
      <c r="A407" t="s">
        <v>374</v>
      </c>
      <c r="B407" t="str">
        <f>_xlfn.XLOOKUP(A407,[1]Municipios!$B:$B,[1]Municipios!$C:$C)</f>
        <v>Norte</v>
      </c>
      <c r="C407" t="str">
        <f>_xlfn.XLOOKUP(A407,[1]Municipios!$B:$B,[1]Municipios!$D:$D)</f>
        <v>Vale Do Ivaí</v>
      </c>
      <c r="D407">
        <v>2025</v>
      </c>
      <c r="E407" t="s">
        <v>235</v>
      </c>
      <c r="F407">
        <v>0.85710000000000008</v>
      </c>
      <c r="G407">
        <v>64.25</v>
      </c>
    </row>
    <row r="408" spans="1:7" x14ac:dyDescent="0.25">
      <c r="A408" t="s">
        <v>374</v>
      </c>
      <c r="B408" t="str">
        <f>_xlfn.XLOOKUP(A408,[1]Municipios!$B:$B,[1]Municipios!$C:$C)</f>
        <v>Norte</v>
      </c>
      <c r="C408" t="str">
        <f>_xlfn.XLOOKUP(A408,[1]Municipios!$B:$B,[1]Municipios!$D:$D)</f>
        <v>Vale Do Ivaí</v>
      </c>
      <c r="D408">
        <v>2025</v>
      </c>
      <c r="E408" t="s">
        <v>236</v>
      </c>
      <c r="F408">
        <v>7.6999999999999999E-2</v>
      </c>
      <c r="G408">
        <v>64.25</v>
      </c>
    </row>
    <row r="409" spans="1:7" x14ac:dyDescent="0.25">
      <c r="A409" t="s">
        <v>374</v>
      </c>
      <c r="B409" t="str">
        <f>_xlfn.XLOOKUP(A409,[1]Municipios!$B:$B,[1]Municipios!$C:$C)</f>
        <v>Norte</v>
      </c>
      <c r="C409" t="str">
        <f>_xlfn.XLOOKUP(A409,[1]Municipios!$B:$B,[1]Municipios!$D:$D)</f>
        <v>Vale Do Ivaí</v>
      </c>
      <c r="D409">
        <v>2025</v>
      </c>
      <c r="E409" t="s">
        <v>237</v>
      </c>
      <c r="F409">
        <v>1</v>
      </c>
      <c r="G409">
        <v>64.25</v>
      </c>
    </row>
    <row r="410" spans="1:7" x14ac:dyDescent="0.25">
      <c r="A410" t="s">
        <v>291</v>
      </c>
      <c r="B410" t="str">
        <f>_xlfn.XLOOKUP(A410,[1]Municipios!$B:$B,[1]Municipios!$C:$C)</f>
        <v>Norte</v>
      </c>
      <c r="C410" t="str">
        <f>_xlfn.XLOOKUP(A410,[1]Municipios!$B:$B,[1]Municipios!$D:$D)</f>
        <v>Norte Pioneiro</v>
      </c>
      <c r="D410">
        <v>2025</v>
      </c>
      <c r="E410" t="s">
        <v>231</v>
      </c>
      <c r="F410">
        <v>0.77769999999999995</v>
      </c>
      <c r="G410">
        <v>81.53</v>
      </c>
    </row>
    <row r="411" spans="1:7" x14ac:dyDescent="0.25">
      <c r="A411" t="s">
        <v>291</v>
      </c>
      <c r="B411" t="str">
        <f>_xlfn.XLOOKUP(A411,[1]Municipios!$B:$B,[1]Municipios!$C:$C)</f>
        <v>Norte</v>
      </c>
      <c r="C411" t="str">
        <f>_xlfn.XLOOKUP(A411,[1]Municipios!$B:$B,[1]Municipios!$D:$D)</f>
        <v>Norte Pioneiro</v>
      </c>
      <c r="D411">
        <v>2025</v>
      </c>
      <c r="E411" t="s">
        <v>232</v>
      </c>
      <c r="F411">
        <v>0.92310000000000003</v>
      </c>
      <c r="G411">
        <v>81.53</v>
      </c>
    </row>
    <row r="412" spans="1:7" x14ac:dyDescent="0.25">
      <c r="A412" t="s">
        <v>291</v>
      </c>
      <c r="B412" t="str">
        <f>_xlfn.XLOOKUP(A412,[1]Municipios!$B:$B,[1]Municipios!$C:$C)</f>
        <v>Norte</v>
      </c>
      <c r="C412" t="str">
        <f>_xlfn.XLOOKUP(A412,[1]Municipios!$B:$B,[1]Municipios!$D:$D)</f>
        <v>Norte Pioneiro</v>
      </c>
      <c r="D412">
        <v>2025</v>
      </c>
      <c r="E412" t="s">
        <v>233</v>
      </c>
      <c r="F412">
        <v>0.75</v>
      </c>
      <c r="G412">
        <v>81.53</v>
      </c>
    </row>
    <row r="413" spans="1:7" x14ac:dyDescent="0.25">
      <c r="A413" t="s">
        <v>291</v>
      </c>
      <c r="B413" t="str">
        <f>_xlfn.XLOOKUP(A413,[1]Municipios!$B:$B,[1]Municipios!$C:$C)</f>
        <v>Norte</v>
      </c>
      <c r="C413" t="str">
        <f>_xlfn.XLOOKUP(A413,[1]Municipios!$B:$B,[1]Municipios!$D:$D)</f>
        <v>Norte Pioneiro</v>
      </c>
      <c r="D413">
        <v>2025</v>
      </c>
      <c r="E413" t="s">
        <v>215</v>
      </c>
      <c r="F413">
        <v>0.75</v>
      </c>
      <c r="G413">
        <v>81.53</v>
      </c>
    </row>
    <row r="414" spans="1:7" x14ac:dyDescent="0.25">
      <c r="A414" t="s">
        <v>291</v>
      </c>
      <c r="B414" t="str">
        <f>_xlfn.XLOOKUP(A414,[1]Municipios!$B:$B,[1]Municipios!$C:$C)</f>
        <v>Norte</v>
      </c>
      <c r="C414" t="str">
        <f>_xlfn.XLOOKUP(A414,[1]Municipios!$B:$B,[1]Municipios!$D:$D)</f>
        <v>Norte Pioneiro</v>
      </c>
      <c r="D414">
        <v>2025</v>
      </c>
      <c r="E414" t="s">
        <v>234</v>
      </c>
      <c r="F414">
        <v>0.55549999999999999</v>
      </c>
      <c r="G414">
        <v>81.53</v>
      </c>
    </row>
    <row r="415" spans="1:7" x14ac:dyDescent="0.25">
      <c r="A415" t="s">
        <v>291</v>
      </c>
      <c r="B415" t="str">
        <f>_xlfn.XLOOKUP(A415,[1]Municipios!$B:$B,[1]Municipios!$C:$C)</f>
        <v>Norte</v>
      </c>
      <c r="C415" t="str">
        <f>_xlfn.XLOOKUP(A415,[1]Municipios!$B:$B,[1]Municipios!$D:$D)</f>
        <v>Norte Pioneiro</v>
      </c>
      <c r="D415">
        <v>2025</v>
      </c>
      <c r="E415" t="s">
        <v>235</v>
      </c>
      <c r="F415">
        <v>1</v>
      </c>
      <c r="G415">
        <v>81.53</v>
      </c>
    </row>
    <row r="416" spans="1:7" x14ac:dyDescent="0.25">
      <c r="A416" t="s">
        <v>291</v>
      </c>
      <c r="B416" t="str">
        <f>_xlfn.XLOOKUP(A416,[1]Municipios!$B:$B,[1]Municipios!$C:$C)</f>
        <v>Norte</v>
      </c>
      <c r="C416" t="str">
        <f>_xlfn.XLOOKUP(A416,[1]Municipios!$B:$B,[1]Municipios!$D:$D)</f>
        <v>Norte Pioneiro</v>
      </c>
      <c r="D416">
        <v>2025</v>
      </c>
      <c r="E416" t="s">
        <v>236</v>
      </c>
      <c r="F416">
        <v>0.76919999999999977</v>
      </c>
      <c r="G416">
        <v>81.53</v>
      </c>
    </row>
    <row r="417" spans="1:7" x14ac:dyDescent="0.25">
      <c r="A417" t="s">
        <v>291</v>
      </c>
      <c r="B417" t="str">
        <f>_xlfn.XLOOKUP(A417,[1]Municipios!$B:$B,[1]Municipios!$C:$C)</f>
        <v>Norte</v>
      </c>
      <c r="C417" t="str">
        <f>_xlfn.XLOOKUP(A417,[1]Municipios!$B:$B,[1]Municipios!$D:$D)</f>
        <v>Norte Pioneiro</v>
      </c>
      <c r="D417">
        <v>2025</v>
      </c>
      <c r="E417" t="s">
        <v>237</v>
      </c>
      <c r="F417">
        <v>1</v>
      </c>
      <c r="G417">
        <v>81.53</v>
      </c>
    </row>
    <row r="418" spans="1:7" x14ac:dyDescent="0.25">
      <c r="A418" t="s">
        <v>246</v>
      </c>
      <c r="B418" t="str">
        <f>_xlfn.XLOOKUP(A418,[1]Municipios!$B:$B,[1]Municipios!$C:$C)</f>
        <v>Norte</v>
      </c>
      <c r="C418" t="str">
        <f>_xlfn.XLOOKUP(A418,[1]Municipios!$B:$B,[1]Municipios!$D:$D)</f>
        <v>Norte Do Paraná</v>
      </c>
      <c r="D418">
        <v>2025</v>
      </c>
      <c r="E418" t="s">
        <v>231</v>
      </c>
      <c r="F418">
        <v>0.66669999999999996</v>
      </c>
      <c r="G418">
        <v>88.93</v>
      </c>
    </row>
    <row r="419" spans="1:7" x14ac:dyDescent="0.25">
      <c r="A419" t="s">
        <v>246</v>
      </c>
      <c r="B419" t="str">
        <f>_xlfn.XLOOKUP(A419,[1]Municipios!$B:$B,[1]Municipios!$C:$C)</f>
        <v>Norte</v>
      </c>
      <c r="C419" t="str">
        <f>_xlfn.XLOOKUP(A419,[1]Municipios!$B:$B,[1]Municipios!$D:$D)</f>
        <v>Norte Do Paraná</v>
      </c>
      <c r="D419">
        <v>2025</v>
      </c>
      <c r="E419" t="s">
        <v>232</v>
      </c>
      <c r="F419">
        <v>0.92310000000000003</v>
      </c>
      <c r="G419">
        <v>88.93</v>
      </c>
    </row>
    <row r="420" spans="1:7" x14ac:dyDescent="0.25">
      <c r="A420" t="s">
        <v>246</v>
      </c>
      <c r="B420" t="str">
        <f>_xlfn.XLOOKUP(A420,[1]Municipios!$B:$B,[1]Municipios!$C:$C)</f>
        <v>Norte</v>
      </c>
      <c r="C420" t="str">
        <f>_xlfn.XLOOKUP(A420,[1]Municipios!$B:$B,[1]Municipios!$D:$D)</f>
        <v>Norte Do Paraná</v>
      </c>
      <c r="D420">
        <v>2025</v>
      </c>
      <c r="E420" t="s">
        <v>233</v>
      </c>
      <c r="F420">
        <v>0.875</v>
      </c>
      <c r="G420">
        <v>88.93</v>
      </c>
    </row>
    <row r="421" spans="1:7" x14ac:dyDescent="0.25">
      <c r="A421" t="s">
        <v>246</v>
      </c>
      <c r="B421" t="str">
        <f>_xlfn.XLOOKUP(A421,[1]Municipios!$B:$B,[1]Municipios!$C:$C)</f>
        <v>Norte</v>
      </c>
      <c r="C421" t="str">
        <f>_xlfn.XLOOKUP(A421,[1]Municipios!$B:$B,[1]Municipios!$D:$D)</f>
        <v>Norte Do Paraná</v>
      </c>
      <c r="D421">
        <v>2025</v>
      </c>
      <c r="E421" t="s">
        <v>215</v>
      </c>
      <c r="F421">
        <v>0.79999999999999993</v>
      </c>
      <c r="G421">
        <v>88.93</v>
      </c>
    </row>
    <row r="422" spans="1:7" x14ac:dyDescent="0.25">
      <c r="A422" t="s">
        <v>246</v>
      </c>
      <c r="B422" t="str">
        <f>_xlfn.XLOOKUP(A422,[1]Municipios!$B:$B,[1]Municipios!$C:$C)</f>
        <v>Norte</v>
      </c>
      <c r="C422" t="str">
        <f>_xlfn.XLOOKUP(A422,[1]Municipios!$B:$B,[1]Municipios!$D:$D)</f>
        <v>Norte Do Paraná</v>
      </c>
      <c r="D422">
        <v>2025</v>
      </c>
      <c r="E422" t="s">
        <v>234</v>
      </c>
      <c r="F422">
        <v>0.88890000000000002</v>
      </c>
      <c r="G422">
        <v>88.93</v>
      </c>
    </row>
    <row r="423" spans="1:7" x14ac:dyDescent="0.25">
      <c r="A423" t="s">
        <v>246</v>
      </c>
      <c r="B423" t="str">
        <f>_xlfn.XLOOKUP(A423,[1]Municipios!$B:$B,[1]Municipios!$C:$C)</f>
        <v>Norte</v>
      </c>
      <c r="C423" t="str">
        <f>_xlfn.XLOOKUP(A423,[1]Municipios!$B:$B,[1]Municipios!$D:$D)</f>
        <v>Norte Do Paraná</v>
      </c>
      <c r="D423">
        <v>2025</v>
      </c>
      <c r="E423" t="s">
        <v>235</v>
      </c>
      <c r="F423">
        <v>1</v>
      </c>
      <c r="G423">
        <v>88.93</v>
      </c>
    </row>
    <row r="424" spans="1:7" x14ac:dyDescent="0.25">
      <c r="A424" t="s">
        <v>246</v>
      </c>
      <c r="B424" t="str">
        <f>_xlfn.XLOOKUP(A424,[1]Municipios!$B:$B,[1]Municipios!$C:$C)</f>
        <v>Norte</v>
      </c>
      <c r="C424" t="str">
        <f>_xlfn.XLOOKUP(A424,[1]Municipios!$B:$B,[1]Municipios!$D:$D)</f>
        <v>Norte Do Paraná</v>
      </c>
      <c r="D424">
        <v>2025</v>
      </c>
      <c r="E424" t="s">
        <v>236</v>
      </c>
      <c r="F424">
        <v>0.92309999999999992</v>
      </c>
      <c r="G424">
        <v>88.93</v>
      </c>
    </row>
    <row r="425" spans="1:7" x14ac:dyDescent="0.25">
      <c r="A425" t="s">
        <v>246</v>
      </c>
      <c r="B425" t="str">
        <f>_xlfn.XLOOKUP(A425,[1]Municipios!$B:$B,[1]Municipios!$C:$C)</f>
        <v>Norte</v>
      </c>
      <c r="C425" t="str">
        <f>_xlfn.XLOOKUP(A425,[1]Municipios!$B:$B,[1]Municipios!$D:$D)</f>
        <v>Norte Do Paraná</v>
      </c>
      <c r="D425">
        <v>2025</v>
      </c>
      <c r="E425" t="s">
        <v>237</v>
      </c>
      <c r="F425">
        <v>1</v>
      </c>
      <c r="G425">
        <v>88.93</v>
      </c>
    </row>
    <row r="426" spans="1:7" x14ac:dyDescent="0.25">
      <c r="A426" t="s">
        <v>375</v>
      </c>
      <c r="B426" t="str">
        <f>_xlfn.XLOOKUP(A426,[1]Municipios!$B:$B,[1]Municipios!$C:$C)</f>
        <v>Norte</v>
      </c>
      <c r="C426" t="str">
        <f>_xlfn.XLOOKUP(A426,[1]Municipios!$B:$B,[1]Municipios!$D:$D)</f>
        <v>Vale Do Ivaí</v>
      </c>
      <c r="D426">
        <v>2025</v>
      </c>
      <c r="E426" t="s">
        <v>231</v>
      </c>
      <c r="F426">
        <v>0.55549999999999988</v>
      </c>
      <c r="G426">
        <v>56.79</v>
      </c>
    </row>
    <row r="427" spans="1:7" x14ac:dyDescent="0.25">
      <c r="A427" t="s">
        <v>375</v>
      </c>
      <c r="B427" t="str">
        <f>_xlfn.XLOOKUP(A427,[1]Municipios!$B:$B,[1]Municipios!$C:$C)</f>
        <v>Norte</v>
      </c>
      <c r="C427" t="str">
        <f>_xlfn.XLOOKUP(A427,[1]Municipios!$B:$B,[1]Municipios!$D:$D)</f>
        <v>Vale Do Ivaí</v>
      </c>
      <c r="D427">
        <v>2025</v>
      </c>
      <c r="E427" t="s">
        <v>232</v>
      </c>
      <c r="F427">
        <v>0.84619999999999995</v>
      </c>
      <c r="G427">
        <v>56.79</v>
      </c>
    </row>
    <row r="428" spans="1:7" x14ac:dyDescent="0.25">
      <c r="A428" t="s">
        <v>375</v>
      </c>
      <c r="B428" t="str">
        <f>_xlfn.XLOOKUP(A428,[1]Municipios!$B:$B,[1]Municipios!$C:$C)</f>
        <v>Norte</v>
      </c>
      <c r="C428" t="str">
        <f>_xlfn.XLOOKUP(A428,[1]Municipios!$B:$B,[1]Municipios!$D:$D)</f>
        <v>Vale Do Ivaí</v>
      </c>
      <c r="D428">
        <v>2025</v>
      </c>
      <c r="E428" t="s">
        <v>233</v>
      </c>
      <c r="F428">
        <v>0.625</v>
      </c>
      <c r="G428">
        <v>56.79</v>
      </c>
    </row>
    <row r="429" spans="1:7" x14ac:dyDescent="0.25">
      <c r="A429" t="s">
        <v>375</v>
      </c>
      <c r="B429" t="str">
        <f>_xlfn.XLOOKUP(A429,[1]Municipios!$B:$B,[1]Municipios!$C:$C)</f>
        <v>Norte</v>
      </c>
      <c r="C429" t="str">
        <f>_xlfn.XLOOKUP(A429,[1]Municipios!$B:$B,[1]Municipios!$D:$D)</f>
        <v>Vale Do Ivaí</v>
      </c>
      <c r="D429">
        <v>2025</v>
      </c>
      <c r="E429" t="s">
        <v>215</v>
      </c>
      <c r="F429">
        <v>0.65</v>
      </c>
      <c r="G429">
        <v>56.79</v>
      </c>
    </row>
    <row r="430" spans="1:7" x14ac:dyDescent="0.25">
      <c r="A430" t="s">
        <v>375</v>
      </c>
      <c r="B430" t="str">
        <f>_xlfn.XLOOKUP(A430,[1]Municipios!$B:$B,[1]Municipios!$C:$C)</f>
        <v>Norte</v>
      </c>
      <c r="C430" t="str">
        <f>_xlfn.XLOOKUP(A430,[1]Municipios!$B:$B,[1]Municipios!$D:$D)</f>
        <v>Vale Do Ivaí</v>
      </c>
      <c r="D430">
        <v>2025</v>
      </c>
      <c r="E430" t="s">
        <v>234</v>
      </c>
      <c r="F430">
        <v>0.55549999999999999</v>
      </c>
      <c r="G430">
        <v>56.79</v>
      </c>
    </row>
    <row r="431" spans="1:7" x14ac:dyDescent="0.25">
      <c r="A431" t="s">
        <v>375</v>
      </c>
      <c r="B431" t="str">
        <f>_xlfn.XLOOKUP(A431,[1]Municipios!$B:$B,[1]Municipios!$C:$C)</f>
        <v>Norte</v>
      </c>
      <c r="C431" t="str">
        <f>_xlfn.XLOOKUP(A431,[1]Municipios!$B:$B,[1]Municipios!$D:$D)</f>
        <v>Vale Do Ivaí</v>
      </c>
      <c r="D431">
        <v>2025</v>
      </c>
      <c r="E431" t="s">
        <v>235</v>
      </c>
      <c r="F431">
        <v>0.71429999999999993</v>
      </c>
      <c r="G431">
        <v>56.79</v>
      </c>
    </row>
    <row r="432" spans="1:7" x14ac:dyDescent="0.25">
      <c r="A432" t="s">
        <v>375</v>
      </c>
      <c r="B432" t="str">
        <f>_xlfn.XLOOKUP(A432,[1]Municipios!$B:$B,[1]Municipios!$C:$C)</f>
        <v>Norte</v>
      </c>
      <c r="C432" t="str">
        <f>_xlfn.XLOOKUP(A432,[1]Municipios!$B:$B,[1]Municipios!$D:$D)</f>
        <v>Vale Do Ivaí</v>
      </c>
      <c r="D432">
        <v>2025</v>
      </c>
      <c r="E432" t="s">
        <v>236</v>
      </c>
      <c r="F432">
        <v>0</v>
      </c>
      <c r="G432">
        <v>56.79</v>
      </c>
    </row>
    <row r="433" spans="1:7" x14ac:dyDescent="0.25">
      <c r="A433" t="s">
        <v>375</v>
      </c>
      <c r="B433" t="str">
        <f>_xlfn.XLOOKUP(A433,[1]Municipios!$B:$B,[1]Municipios!$C:$C)</f>
        <v>Norte</v>
      </c>
      <c r="C433" t="str">
        <f>_xlfn.XLOOKUP(A433,[1]Municipios!$B:$B,[1]Municipios!$D:$D)</f>
        <v>Vale Do Ivaí</v>
      </c>
      <c r="D433">
        <v>2025</v>
      </c>
      <c r="E433" t="s">
        <v>237</v>
      </c>
      <c r="F433">
        <v>0.5</v>
      </c>
      <c r="G433">
        <v>56.79</v>
      </c>
    </row>
    <row r="434" spans="1:7" x14ac:dyDescent="0.25">
      <c r="A434" t="s">
        <v>323</v>
      </c>
      <c r="B434" t="str">
        <f>_xlfn.XLOOKUP(A434,[1]Municipios!$B:$B,[1]Municipios!$C:$C)</f>
        <v>Noroeste</v>
      </c>
      <c r="C434" t="str">
        <f>_xlfn.XLOOKUP(A434,[1]Municipios!$B:$B,[1]Municipios!$D:$D)</f>
        <v>Centro Ocidental</v>
      </c>
      <c r="D434">
        <v>2025</v>
      </c>
      <c r="E434" t="s">
        <v>231</v>
      </c>
      <c r="F434">
        <v>0.66669999999999996</v>
      </c>
      <c r="G434">
        <v>79.64</v>
      </c>
    </row>
    <row r="435" spans="1:7" x14ac:dyDescent="0.25">
      <c r="A435" t="s">
        <v>323</v>
      </c>
      <c r="B435" t="str">
        <f>_xlfn.XLOOKUP(A435,[1]Municipios!$B:$B,[1]Municipios!$C:$C)</f>
        <v>Noroeste</v>
      </c>
      <c r="C435" t="str">
        <f>_xlfn.XLOOKUP(A435,[1]Municipios!$B:$B,[1]Municipios!$D:$D)</f>
        <v>Centro Ocidental</v>
      </c>
      <c r="D435">
        <v>2025</v>
      </c>
      <c r="E435" t="s">
        <v>232</v>
      </c>
      <c r="F435">
        <v>0.92310000000000003</v>
      </c>
      <c r="G435">
        <v>79.64</v>
      </c>
    </row>
    <row r="436" spans="1:7" x14ac:dyDescent="0.25">
      <c r="A436" t="s">
        <v>323</v>
      </c>
      <c r="B436" t="str">
        <f>_xlfn.XLOOKUP(A436,[1]Municipios!$B:$B,[1]Municipios!$C:$C)</f>
        <v>Noroeste</v>
      </c>
      <c r="C436" t="str">
        <f>_xlfn.XLOOKUP(A436,[1]Municipios!$B:$B,[1]Municipios!$D:$D)</f>
        <v>Centro Ocidental</v>
      </c>
      <c r="D436">
        <v>2025</v>
      </c>
      <c r="E436" t="s">
        <v>233</v>
      </c>
      <c r="F436">
        <v>0.75</v>
      </c>
      <c r="G436">
        <v>79.64</v>
      </c>
    </row>
    <row r="437" spans="1:7" x14ac:dyDescent="0.25">
      <c r="A437" t="s">
        <v>323</v>
      </c>
      <c r="B437" t="str">
        <f>_xlfn.XLOOKUP(A437,[1]Municipios!$B:$B,[1]Municipios!$C:$C)</f>
        <v>Noroeste</v>
      </c>
      <c r="C437" t="str">
        <f>_xlfn.XLOOKUP(A437,[1]Municipios!$B:$B,[1]Municipios!$D:$D)</f>
        <v>Centro Ocidental</v>
      </c>
      <c r="D437">
        <v>2025</v>
      </c>
      <c r="E437" t="s">
        <v>215</v>
      </c>
      <c r="F437">
        <v>0.70000000000000007</v>
      </c>
      <c r="G437">
        <v>79.64</v>
      </c>
    </row>
    <row r="438" spans="1:7" x14ac:dyDescent="0.25">
      <c r="A438" t="s">
        <v>323</v>
      </c>
      <c r="B438" t="str">
        <f>_xlfn.XLOOKUP(A438,[1]Municipios!$B:$B,[1]Municipios!$C:$C)</f>
        <v>Noroeste</v>
      </c>
      <c r="C438" t="str">
        <f>_xlfn.XLOOKUP(A438,[1]Municipios!$B:$B,[1]Municipios!$D:$D)</f>
        <v>Centro Ocidental</v>
      </c>
      <c r="D438">
        <v>2025</v>
      </c>
      <c r="E438" t="s">
        <v>234</v>
      </c>
      <c r="F438">
        <v>0.66659999999999997</v>
      </c>
      <c r="G438">
        <v>79.64</v>
      </c>
    </row>
    <row r="439" spans="1:7" x14ac:dyDescent="0.25">
      <c r="A439" t="s">
        <v>323</v>
      </c>
      <c r="B439" t="str">
        <f>_xlfn.XLOOKUP(A439,[1]Municipios!$B:$B,[1]Municipios!$C:$C)</f>
        <v>Noroeste</v>
      </c>
      <c r="C439" t="str">
        <f>_xlfn.XLOOKUP(A439,[1]Municipios!$B:$B,[1]Municipios!$D:$D)</f>
        <v>Centro Ocidental</v>
      </c>
      <c r="D439">
        <v>2025</v>
      </c>
      <c r="E439" t="s">
        <v>235</v>
      </c>
      <c r="F439">
        <v>1</v>
      </c>
      <c r="G439">
        <v>79.64</v>
      </c>
    </row>
    <row r="440" spans="1:7" x14ac:dyDescent="0.25">
      <c r="A440" t="s">
        <v>323</v>
      </c>
      <c r="B440" t="str">
        <f>_xlfn.XLOOKUP(A440,[1]Municipios!$B:$B,[1]Municipios!$C:$C)</f>
        <v>Noroeste</v>
      </c>
      <c r="C440" t="str">
        <f>_xlfn.XLOOKUP(A440,[1]Municipios!$B:$B,[1]Municipios!$D:$D)</f>
        <v>Centro Ocidental</v>
      </c>
      <c r="D440">
        <v>2025</v>
      </c>
      <c r="E440" t="s">
        <v>236</v>
      </c>
      <c r="F440">
        <v>0.61549999999999994</v>
      </c>
      <c r="G440">
        <v>79.64</v>
      </c>
    </row>
    <row r="441" spans="1:7" x14ac:dyDescent="0.25">
      <c r="A441" t="s">
        <v>323</v>
      </c>
      <c r="B441" t="str">
        <f>_xlfn.XLOOKUP(A441,[1]Municipios!$B:$B,[1]Municipios!$C:$C)</f>
        <v>Noroeste</v>
      </c>
      <c r="C441" t="str">
        <f>_xlfn.XLOOKUP(A441,[1]Municipios!$B:$B,[1]Municipios!$D:$D)</f>
        <v>Centro Ocidental</v>
      </c>
      <c r="D441">
        <v>2025</v>
      </c>
      <c r="E441" t="s">
        <v>237</v>
      </c>
      <c r="F441">
        <v>1</v>
      </c>
      <c r="G441">
        <v>79.64</v>
      </c>
    </row>
    <row r="442" spans="1:7" x14ac:dyDescent="0.25">
      <c r="A442" t="s">
        <v>248</v>
      </c>
      <c r="B442" t="str">
        <f>_xlfn.XLOOKUP(A442,[1]Municipios!$B:$B,[1]Municipios!$C:$C)</f>
        <v>Centro</v>
      </c>
      <c r="C442" t="str">
        <f>_xlfn.XLOOKUP(A442,[1]Municipios!$B:$B,[1]Municipios!$D:$D)</f>
        <v>Paraná Centro</v>
      </c>
      <c r="D442">
        <v>2025</v>
      </c>
      <c r="E442" t="s">
        <v>231</v>
      </c>
      <c r="F442">
        <v>0.22229999999999991</v>
      </c>
      <c r="G442">
        <v>51.17</v>
      </c>
    </row>
    <row r="443" spans="1:7" x14ac:dyDescent="0.25">
      <c r="A443" t="s">
        <v>248</v>
      </c>
      <c r="B443" t="str">
        <f>_xlfn.XLOOKUP(A443,[1]Municipios!$B:$B,[1]Municipios!$C:$C)</f>
        <v>Centro</v>
      </c>
      <c r="C443" t="str">
        <f>_xlfn.XLOOKUP(A443,[1]Municipios!$B:$B,[1]Municipios!$D:$D)</f>
        <v>Paraná Centro</v>
      </c>
      <c r="D443">
        <v>2025</v>
      </c>
      <c r="E443" t="s">
        <v>232</v>
      </c>
      <c r="F443">
        <v>0.84619999999999995</v>
      </c>
      <c r="G443">
        <v>51.17</v>
      </c>
    </row>
    <row r="444" spans="1:7" x14ac:dyDescent="0.25">
      <c r="A444" t="s">
        <v>248</v>
      </c>
      <c r="B444" t="str">
        <f>_xlfn.XLOOKUP(A444,[1]Municipios!$B:$B,[1]Municipios!$C:$C)</f>
        <v>Centro</v>
      </c>
      <c r="C444" t="str">
        <f>_xlfn.XLOOKUP(A444,[1]Municipios!$B:$B,[1]Municipios!$D:$D)</f>
        <v>Paraná Centro</v>
      </c>
      <c r="D444">
        <v>2025</v>
      </c>
      <c r="E444" t="s">
        <v>233</v>
      </c>
      <c r="F444">
        <v>0.75</v>
      </c>
      <c r="G444">
        <v>51.17</v>
      </c>
    </row>
    <row r="445" spans="1:7" x14ac:dyDescent="0.25">
      <c r="A445" t="s">
        <v>248</v>
      </c>
      <c r="B445" t="str">
        <f>_xlfn.XLOOKUP(A445,[1]Municipios!$B:$B,[1]Municipios!$C:$C)</f>
        <v>Centro</v>
      </c>
      <c r="C445" t="str">
        <f>_xlfn.XLOOKUP(A445,[1]Municipios!$B:$B,[1]Municipios!$D:$D)</f>
        <v>Paraná Centro</v>
      </c>
      <c r="D445">
        <v>2025</v>
      </c>
      <c r="E445" t="s">
        <v>215</v>
      </c>
      <c r="F445">
        <v>0.39999999999999997</v>
      </c>
      <c r="G445">
        <v>51.17</v>
      </c>
    </row>
    <row r="446" spans="1:7" x14ac:dyDescent="0.25">
      <c r="A446" t="s">
        <v>248</v>
      </c>
      <c r="B446" t="str">
        <f>_xlfn.XLOOKUP(A446,[1]Municipios!$B:$B,[1]Municipios!$C:$C)</f>
        <v>Centro</v>
      </c>
      <c r="C446" t="str">
        <f>_xlfn.XLOOKUP(A446,[1]Municipios!$B:$B,[1]Municipios!$D:$D)</f>
        <v>Paraná Centro</v>
      </c>
      <c r="D446">
        <v>2025</v>
      </c>
      <c r="E446" t="s">
        <v>234</v>
      </c>
      <c r="F446">
        <v>0.22220000000000001</v>
      </c>
      <c r="G446">
        <v>51.17</v>
      </c>
    </row>
    <row r="447" spans="1:7" x14ac:dyDescent="0.25">
      <c r="A447" t="s">
        <v>248</v>
      </c>
      <c r="B447" t="str">
        <f>_xlfn.XLOOKUP(A447,[1]Municipios!$B:$B,[1]Municipios!$C:$C)</f>
        <v>Centro</v>
      </c>
      <c r="C447" t="str">
        <f>_xlfn.XLOOKUP(A447,[1]Municipios!$B:$B,[1]Municipios!$D:$D)</f>
        <v>Paraná Centro</v>
      </c>
      <c r="D447">
        <v>2025</v>
      </c>
      <c r="E447" t="s">
        <v>235</v>
      </c>
      <c r="F447">
        <v>0.71429999999999993</v>
      </c>
      <c r="G447">
        <v>51.17</v>
      </c>
    </row>
    <row r="448" spans="1:7" x14ac:dyDescent="0.25">
      <c r="A448" t="s">
        <v>248</v>
      </c>
      <c r="B448" t="str">
        <f>_xlfn.XLOOKUP(A448,[1]Municipios!$B:$B,[1]Municipios!$C:$C)</f>
        <v>Centro</v>
      </c>
      <c r="C448" t="str">
        <f>_xlfn.XLOOKUP(A448,[1]Municipios!$B:$B,[1]Municipios!$D:$D)</f>
        <v>Paraná Centro</v>
      </c>
      <c r="D448">
        <v>2025</v>
      </c>
      <c r="E448" t="s">
        <v>236</v>
      </c>
      <c r="F448">
        <v>7.6999999999999999E-2</v>
      </c>
      <c r="G448">
        <v>51.17</v>
      </c>
    </row>
    <row r="449" spans="1:7" x14ac:dyDescent="0.25">
      <c r="A449" t="s">
        <v>248</v>
      </c>
      <c r="B449" t="str">
        <f>_xlfn.XLOOKUP(A449,[1]Municipios!$B:$B,[1]Municipios!$C:$C)</f>
        <v>Centro</v>
      </c>
      <c r="C449" t="str">
        <f>_xlfn.XLOOKUP(A449,[1]Municipios!$B:$B,[1]Municipios!$D:$D)</f>
        <v>Paraná Centro</v>
      </c>
      <c r="D449">
        <v>2025</v>
      </c>
      <c r="E449" t="s">
        <v>237</v>
      </c>
      <c r="F449">
        <v>1</v>
      </c>
      <c r="G449">
        <v>51.17</v>
      </c>
    </row>
    <row r="450" spans="1:7" x14ac:dyDescent="0.25">
      <c r="A450" t="s">
        <v>314</v>
      </c>
      <c r="B450" t="str">
        <f>_xlfn.XLOOKUP(A450,[1]Municipios!$B:$B,[1]Municipios!$C:$C)</f>
        <v>Leste</v>
      </c>
      <c r="C450" t="str">
        <f>_xlfn.XLOOKUP(A450,[1]Municipios!$B:$B,[1]Municipios!$D:$D)</f>
        <v>RMC</v>
      </c>
      <c r="D450">
        <v>2025</v>
      </c>
      <c r="E450" t="s">
        <v>231</v>
      </c>
      <c r="F450">
        <v>0.33339999999999992</v>
      </c>
      <c r="G450">
        <v>36.51</v>
      </c>
    </row>
    <row r="451" spans="1:7" x14ac:dyDescent="0.25">
      <c r="A451" t="s">
        <v>314</v>
      </c>
      <c r="B451" t="str">
        <f>_xlfn.XLOOKUP(A451,[1]Municipios!$B:$B,[1]Municipios!$C:$C)</f>
        <v>Leste</v>
      </c>
      <c r="C451" t="str">
        <f>_xlfn.XLOOKUP(A451,[1]Municipios!$B:$B,[1]Municipios!$D:$D)</f>
        <v>RMC</v>
      </c>
      <c r="D451">
        <v>2025</v>
      </c>
      <c r="E451" t="s">
        <v>232</v>
      </c>
      <c r="F451">
        <v>0.61539999999999995</v>
      </c>
      <c r="G451">
        <v>36.51</v>
      </c>
    </row>
    <row r="452" spans="1:7" x14ac:dyDescent="0.25">
      <c r="A452" t="s">
        <v>314</v>
      </c>
      <c r="B452" t="str">
        <f>_xlfn.XLOOKUP(A452,[1]Municipios!$B:$B,[1]Municipios!$C:$C)</f>
        <v>Leste</v>
      </c>
      <c r="C452" t="str">
        <f>_xlfn.XLOOKUP(A452,[1]Municipios!$B:$B,[1]Municipios!$D:$D)</f>
        <v>RMC</v>
      </c>
      <c r="D452">
        <v>2025</v>
      </c>
      <c r="E452" t="s">
        <v>233</v>
      </c>
      <c r="F452">
        <v>0.625</v>
      </c>
      <c r="G452">
        <v>36.51</v>
      </c>
    </row>
    <row r="453" spans="1:7" x14ac:dyDescent="0.25">
      <c r="A453" t="s">
        <v>314</v>
      </c>
      <c r="B453" t="str">
        <f>_xlfn.XLOOKUP(A453,[1]Municipios!$B:$B,[1]Municipios!$C:$C)</f>
        <v>Leste</v>
      </c>
      <c r="C453" t="str">
        <f>_xlfn.XLOOKUP(A453,[1]Municipios!$B:$B,[1]Municipios!$D:$D)</f>
        <v>RMC</v>
      </c>
      <c r="D453">
        <v>2025</v>
      </c>
      <c r="E453" t="s">
        <v>215</v>
      </c>
      <c r="F453">
        <v>0.25</v>
      </c>
      <c r="G453">
        <v>36.51</v>
      </c>
    </row>
    <row r="454" spans="1:7" x14ac:dyDescent="0.25">
      <c r="A454" t="s">
        <v>314</v>
      </c>
      <c r="B454" t="str">
        <f>_xlfn.XLOOKUP(A454,[1]Municipios!$B:$B,[1]Municipios!$C:$C)</f>
        <v>Leste</v>
      </c>
      <c r="C454" t="str">
        <f>_xlfn.XLOOKUP(A454,[1]Municipios!$B:$B,[1]Municipios!$D:$D)</f>
        <v>RMC</v>
      </c>
      <c r="D454">
        <v>2025</v>
      </c>
      <c r="E454" t="s">
        <v>234</v>
      </c>
      <c r="F454">
        <v>0.66659999999999997</v>
      </c>
      <c r="G454">
        <v>36.51</v>
      </c>
    </row>
    <row r="455" spans="1:7" x14ac:dyDescent="0.25">
      <c r="A455" t="s">
        <v>314</v>
      </c>
      <c r="B455" t="str">
        <f>_xlfn.XLOOKUP(A455,[1]Municipios!$B:$B,[1]Municipios!$C:$C)</f>
        <v>Leste</v>
      </c>
      <c r="C455" t="str">
        <f>_xlfn.XLOOKUP(A455,[1]Municipios!$B:$B,[1]Municipios!$D:$D)</f>
        <v>RMC</v>
      </c>
      <c r="D455">
        <v>2025</v>
      </c>
      <c r="E455" t="s">
        <v>235</v>
      </c>
      <c r="F455">
        <v>0.28570000000000001</v>
      </c>
      <c r="G455">
        <v>36.51</v>
      </c>
    </row>
    <row r="456" spans="1:7" x14ac:dyDescent="0.25">
      <c r="A456" t="s">
        <v>314</v>
      </c>
      <c r="B456" t="str">
        <f>_xlfn.XLOOKUP(A456,[1]Municipios!$B:$B,[1]Municipios!$C:$C)</f>
        <v>Leste</v>
      </c>
      <c r="C456" t="str">
        <f>_xlfn.XLOOKUP(A456,[1]Municipios!$B:$B,[1]Municipios!$D:$D)</f>
        <v>RMC</v>
      </c>
      <c r="D456">
        <v>2025</v>
      </c>
      <c r="E456" t="s">
        <v>236</v>
      </c>
      <c r="F456">
        <v>7.6999999999999999E-2</v>
      </c>
      <c r="G456">
        <v>36.51</v>
      </c>
    </row>
    <row r="457" spans="1:7" x14ac:dyDescent="0.25">
      <c r="A457" t="s">
        <v>314</v>
      </c>
      <c r="B457" t="str">
        <f>_xlfn.XLOOKUP(A457,[1]Municipios!$B:$B,[1]Municipios!$C:$C)</f>
        <v>Leste</v>
      </c>
      <c r="C457" t="str">
        <f>_xlfn.XLOOKUP(A457,[1]Municipios!$B:$B,[1]Municipios!$D:$D)</f>
        <v>RMC</v>
      </c>
      <c r="D457">
        <v>2025</v>
      </c>
      <c r="E457" t="s">
        <v>237</v>
      </c>
      <c r="F457">
        <v>0</v>
      </c>
      <c r="G457">
        <v>36.51</v>
      </c>
    </row>
    <row r="458" spans="1:7" x14ac:dyDescent="0.25">
      <c r="A458" t="s">
        <v>434</v>
      </c>
      <c r="B458" t="str">
        <f>_xlfn.XLOOKUP(A458,[1]Municipios!$B:$B,[1]Municipios!$C:$C)</f>
        <v>Oeste</v>
      </c>
      <c r="C458" t="str">
        <f>_xlfn.XLOOKUP(A458,[1]Municipios!$B:$B,[1]Municipios!$D:$D)</f>
        <v>Cantuquiriguaçu</v>
      </c>
      <c r="D458">
        <v>2025</v>
      </c>
      <c r="E458" t="s">
        <v>231</v>
      </c>
      <c r="F458">
        <v>0.22219999999999998</v>
      </c>
      <c r="G458">
        <v>32.14</v>
      </c>
    </row>
    <row r="459" spans="1:7" x14ac:dyDescent="0.25">
      <c r="A459" t="s">
        <v>434</v>
      </c>
      <c r="B459" t="str">
        <f>_xlfn.XLOOKUP(A459,[1]Municipios!$B:$B,[1]Municipios!$C:$C)</f>
        <v>Oeste</v>
      </c>
      <c r="C459" t="str">
        <f>_xlfn.XLOOKUP(A459,[1]Municipios!$B:$B,[1]Municipios!$D:$D)</f>
        <v>Cantuquiriguaçu</v>
      </c>
      <c r="D459">
        <v>2025</v>
      </c>
      <c r="E459" t="s">
        <v>232</v>
      </c>
      <c r="F459">
        <v>0.30760000000000004</v>
      </c>
      <c r="G459">
        <v>32.14</v>
      </c>
    </row>
    <row r="460" spans="1:7" x14ac:dyDescent="0.25">
      <c r="A460" t="s">
        <v>434</v>
      </c>
      <c r="B460" t="str">
        <f>_xlfn.XLOOKUP(A460,[1]Municipios!$B:$B,[1]Municipios!$C:$C)</f>
        <v>Oeste</v>
      </c>
      <c r="C460" t="str">
        <f>_xlfn.XLOOKUP(A460,[1]Municipios!$B:$B,[1]Municipios!$D:$D)</f>
        <v>Cantuquiriguaçu</v>
      </c>
      <c r="D460">
        <v>2025</v>
      </c>
      <c r="E460" t="s">
        <v>233</v>
      </c>
      <c r="F460">
        <v>0.625</v>
      </c>
      <c r="G460">
        <v>32.14</v>
      </c>
    </row>
    <row r="461" spans="1:7" x14ac:dyDescent="0.25">
      <c r="A461" t="s">
        <v>434</v>
      </c>
      <c r="B461" t="str">
        <f>_xlfn.XLOOKUP(A461,[1]Municipios!$B:$B,[1]Municipios!$C:$C)</f>
        <v>Oeste</v>
      </c>
      <c r="C461" t="str">
        <f>_xlfn.XLOOKUP(A461,[1]Municipios!$B:$B,[1]Municipios!$D:$D)</f>
        <v>Cantuquiriguaçu</v>
      </c>
      <c r="D461">
        <v>2025</v>
      </c>
      <c r="E461" t="s">
        <v>215</v>
      </c>
      <c r="F461">
        <v>0.39999999999999997</v>
      </c>
      <c r="G461">
        <v>32.14</v>
      </c>
    </row>
    <row r="462" spans="1:7" x14ac:dyDescent="0.25">
      <c r="A462" t="s">
        <v>434</v>
      </c>
      <c r="B462" t="str">
        <f>_xlfn.XLOOKUP(A462,[1]Municipios!$B:$B,[1]Municipios!$C:$C)</f>
        <v>Oeste</v>
      </c>
      <c r="C462" t="str">
        <f>_xlfn.XLOOKUP(A462,[1]Municipios!$B:$B,[1]Municipios!$D:$D)</f>
        <v>Cantuquiriguaçu</v>
      </c>
      <c r="D462">
        <v>2025</v>
      </c>
      <c r="E462" t="s">
        <v>234</v>
      </c>
      <c r="F462">
        <v>0.22220000000000001</v>
      </c>
      <c r="G462">
        <v>32.14</v>
      </c>
    </row>
    <row r="463" spans="1:7" x14ac:dyDescent="0.25">
      <c r="A463" t="s">
        <v>434</v>
      </c>
      <c r="B463" t="str">
        <f>_xlfn.XLOOKUP(A463,[1]Municipios!$B:$B,[1]Municipios!$C:$C)</f>
        <v>Oeste</v>
      </c>
      <c r="C463" t="str">
        <f>_xlfn.XLOOKUP(A463,[1]Municipios!$B:$B,[1]Municipios!$D:$D)</f>
        <v>Cantuquiriguaçu</v>
      </c>
      <c r="D463">
        <v>2025</v>
      </c>
      <c r="E463" t="s">
        <v>235</v>
      </c>
      <c r="F463">
        <v>0.42849999999999999</v>
      </c>
      <c r="G463">
        <v>32.14</v>
      </c>
    </row>
    <row r="464" spans="1:7" x14ac:dyDescent="0.25">
      <c r="A464" t="s">
        <v>434</v>
      </c>
      <c r="B464" t="str">
        <f>_xlfn.XLOOKUP(A464,[1]Municipios!$B:$B,[1]Municipios!$C:$C)</f>
        <v>Oeste</v>
      </c>
      <c r="C464" t="str">
        <f>_xlfn.XLOOKUP(A464,[1]Municipios!$B:$B,[1]Municipios!$D:$D)</f>
        <v>Cantuquiriguaçu</v>
      </c>
      <c r="D464">
        <v>2025</v>
      </c>
      <c r="E464" t="s">
        <v>236</v>
      </c>
      <c r="F464">
        <v>7.690000000000001E-2</v>
      </c>
      <c r="G464">
        <v>32.14</v>
      </c>
    </row>
    <row r="465" spans="1:7" x14ac:dyDescent="0.25">
      <c r="A465" t="s">
        <v>434</v>
      </c>
      <c r="B465" t="str">
        <f>_xlfn.XLOOKUP(A465,[1]Municipios!$B:$B,[1]Municipios!$C:$C)</f>
        <v>Oeste</v>
      </c>
      <c r="C465" t="str">
        <f>_xlfn.XLOOKUP(A465,[1]Municipios!$B:$B,[1]Municipios!$D:$D)</f>
        <v>Cantuquiriguaçu</v>
      </c>
      <c r="D465">
        <v>2025</v>
      </c>
      <c r="E465" t="s">
        <v>237</v>
      </c>
      <c r="F465">
        <v>0.5</v>
      </c>
      <c r="G465">
        <v>32.14</v>
      </c>
    </row>
    <row r="466" spans="1:7" x14ac:dyDescent="0.25">
      <c r="A466" t="s">
        <v>541</v>
      </c>
      <c r="B466" t="str">
        <f>_xlfn.XLOOKUP(A466,[1]Municipios!$B:$B,[1]Municipios!$C:$C)</f>
        <v>Leste</v>
      </c>
      <c r="C466" t="str">
        <f>_xlfn.XLOOKUP(A466,[1]Municipios!$B:$B,[1]Municipios!$D:$D)</f>
        <v>Gralha Azul</v>
      </c>
      <c r="D466">
        <v>2025</v>
      </c>
      <c r="E466" t="s">
        <v>231</v>
      </c>
      <c r="F466">
        <v>0.77769999999999995</v>
      </c>
      <c r="G466">
        <v>32.81</v>
      </c>
    </row>
    <row r="467" spans="1:7" x14ac:dyDescent="0.25">
      <c r="A467" t="s">
        <v>541</v>
      </c>
      <c r="B467" t="str">
        <f>_xlfn.XLOOKUP(A467,[1]Municipios!$B:$B,[1]Municipios!$C:$C)</f>
        <v>Leste</v>
      </c>
      <c r="C467" t="str">
        <f>_xlfn.XLOOKUP(A467,[1]Municipios!$B:$B,[1]Municipios!$D:$D)</f>
        <v>Gralha Azul</v>
      </c>
      <c r="D467">
        <v>2025</v>
      </c>
      <c r="E467" t="s">
        <v>232</v>
      </c>
      <c r="F467">
        <v>0.46159999999999995</v>
      </c>
      <c r="G467">
        <v>32.81</v>
      </c>
    </row>
    <row r="468" spans="1:7" x14ac:dyDescent="0.25">
      <c r="A468" t="s">
        <v>541</v>
      </c>
      <c r="B468" t="str">
        <f>_xlfn.XLOOKUP(A468,[1]Municipios!$B:$B,[1]Municipios!$C:$C)</f>
        <v>Leste</v>
      </c>
      <c r="C468" t="str">
        <f>_xlfn.XLOOKUP(A468,[1]Municipios!$B:$B,[1]Municipios!$D:$D)</f>
        <v>Gralha Azul</v>
      </c>
      <c r="D468">
        <v>2025</v>
      </c>
      <c r="E468" t="s">
        <v>233</v>
      </c>
      <c r="F468">
        <v>0.25</v>
      </c>
      <c r="G468">
        <v>32.81</v>
      </c>
    </row>
    <row r="469" spans="1:7" x14ac:dyDescent="0.25">
      <c r="A469" t="s">
        <v>541</v>
      </c>
      <c r="B469" t="str">
        <f>_xlfn.XLOOKUP(A469,[1]Municipios!$B:$B,[1]Municipios!$C:$C)</f>
        <v>Leste</v>
      </c>
      <c r="C469" t="str">
        <f>_xlfn.XLOOKUP(A469,[1]Municipios!$B:$B,[1]Municipios!$D:$D)</f>
        <v>Gralha Azul</v>
      </c>
      <c r="D469">
        <v>2025</v>
      </c>
      <c r="E469" t="s">
        <v>215</v>
      </c>
      <c r="F469">
        <v>0.25</v>
      </c>
      <c r="G469">
        <v>32.81</v>
      </c>
    </row>
    <row r="470" spans="1:7" x14ac:dyDescent="0.25">
      <c r="A470" t="s">
        <v>541</v>
      </c>
      <c r="B470" t="str">
        <f>_xlfn.XLOOKUP(A470,[1]Municipios!$B:$B,[1]Municipios!$C:$C)</f>
        <v>Leste</v>
      </c>
      <c r="C470" t="str">
        <f>_xlfn.XLOOKUP(A470,[1]Municipios!$B:$B,[1]Municipios!$D:$D)</f>
        <v>Gralha Azul</v>
      </c>
      <c r="D470">
        <v>2025</v>
      </c>
      <c r="E470" t="s">
        <v>234</v>
      </c>
      <c r="F470">
        <v>0.44440000000000002</v>
      </c>
      <c r="G470">
        <v>32.81</v>
      </c>
    </row>
    <row r="471" spans="1:7" x14ac:dyDescent="0.25">
      <c r="A471" t="s">
        <v>541</v>
      </c>
      <c r="B471" t="str">
        <f>_xlfn.XLOOKUP(A471,[1]Municipios!$B:$B,[1]Municipios!$C:$C)</f>
        <v>Leste</v>
      </c>
      <c r="C471" t="str">
        <f>_xlfn.XLOOKUP(A471,[1]Municipios!$B:$B,[1]Municipios!$D:$D)</f>
        <v>Gralha Azul</v>
      </c>
      <c r="D471">
        <v>2025</v>
      </c>
      <c r="E471" t="s">
        <v>235</v>
      </c>
      <c r="F471">
        <v>0.28570000000000001</v>
      </c>
      <c r="G471">
        <v>32.81</v>
      </c>
    </row>
    <row r="472" spans="1:7" x14ac:dyDescent="0.25">
      <c r="A472" t="s">
        <v>541</v>
      </c>
      <c r="B472" t="str">
        <f>_xlfn.XLOOKUP(A472,[1]Municipios!$B:$B,[1]Municipios!$C:$C)</f>
        <v>Leste</v>
      </c>
      <c r="C472" t="str">
        <f>_xlfn.XLOOKUP(A472,[1]Municipios!$B:$B,[1]Municipios!$D:$D)</f>
        <v>Gralha Azul</v>
      </c>
      <c r="D472">
        <v>2025</v>
      </c>
      <c r="E472" t="s">
        <v>236</v>
      </c>
      <c r="F472">
        <v>0</v>
      </c>
      <c r="G472">
        <v>32.81</v>
      </c>
    </row>
    <row r="473" spans="1:7" x14ac:dyDescent="0.25">
      <c r="A473" t="s">
        <v>541</v>
      </c>
      <c r="B473" t="str">
        <f>_xlfn.XLOOKUP(A473,[1]Municipios!$B:$B,[1]Municipios!$C:$C)</f>
        <v>Leste</v>
      </c>
      <c r="C473" t="str">
        <f>_xlfn.XLOOKUP(A473,[1]Municipios!$B:$B,[1]Municipios!$D:$D)</f>
        <v>Gralha Azul</v>
      </c>
      <c r="D473">
        <v>2025</v>
      </c>
      <c r="E473" t="s">
        <v>237</v>
      </c>
      <c r="F473">
        <v>0</v>
      </c>
      <c r="G473">
        <v>32.81</v>
      </c>
    </row>
    <row r="474" spans="1:7" x14ac:dyDescent="0.25">
      <c r="A474" t="s">
        <v>315</v>
      </c>
      <c r="B474" t="str">
        <f>_xlfn.XLOOKUP(A474,[1]Municipios!$B:$B,[1]Municipios!$C:$C)</f>
        <v>Leste</v>
      </c>
      <c r="C474" t="str">
        <f>_xlfn.XLOOKUP(A474,[1]Municipios!$B:$B,[1]Municipios!$D:$D)</f>
        <v>RMC</v>
      </c>
      <c r="D474">
        <v>2025</v>
      </c>
      <c r="E474" t="s">
        <v>231</v>
      </c>
      <c r="F474">
        <v>0.66669999999999996</v>
      </c>
      <c r="G474">
        <v>86.75</v>
      </c>
    </row>
    <row r="475" spans="1:7" x14ac:dyDescent="0.25">
      <c r="A475" t="s">
        <v>315</v>
      </c>
      <c r="B475" t="str">
        <f>_xlfn.XLOOKUP(A475,[1]Municipios!$B:$B,[1]Municipios!$C:$C)</f>
        <v>Leste</v>
      </c>
      <c r="C475" t="str">
        <f>_xlfn.XLOOKUP(A475,[1]Municipios!$B:$B,[1]Municipios!$D:$D)</f>
        <v>RMC</v>
      </c>
      <c r="D475">
        <v>2025</v>
      </c>
      <c r="E475" t="s">
        <v>232</v>
      </c>
      <c r="F475">
        <v>0.92310000000000003</v>
      </c>
      <c r="G475">
        <v>86.75</v>
      </c>
    </row>
    <row r="476" spans="1:7" x14ac:dyDescent="0.25">
      <c r="A476" t="s">
        <v>315</v>
      </c>
      <c r="B476" t="str">
        <f>_xlfn.XLOOKUP(A476,[1]Municipios!$B:$B,[1]Municipios!$C:$C)</f>
        <v>Leste</v>
      </c>
      <c r="C476" t="str">
        <f>_xlfn.XLOOKUP(A476,[1]Municipios!$B:$B,[1]Municipios!$D:$D)</f>
        <v>RMC</v>
      </c>
      <c r="D476">
        <v>2025</v>
      </c>
      <c r="E476" t="s">
        <v>233</v>
      </c>
      <c r="F476">
        <v>0.875</v>
      </c>
      <c r="G476">
        <v>86.75</v>
      </c>
    </row>
    <row r="477" spans="1:7" x14ac:dyDescent="0.25">
      <c r="A477" t="s">
        <v>315</v>
      </c>
      <c r="B477" t="str">
        <f>_xlfn.XLOOKUP(A477,[1]Municipios!$B:$B,[1]Municipios!$C:$C)</f>
        <v>Leste</v>
      </c>
      <c r="C477" t="str">
        <f>_xlfn.XLOOKUP(A477,[1]Municipios!$B:$B,[1]Municipios!$D:$D)</f>
        <v>RMC</v>
      </c>
      <c r="D477">
        <v>2025</v>
      </c>
      <c r="E477" t="s">
        <v>215</v>
      </c>
      <c r="F477">
        <v>0.95000000000000007</v>
      </c>
      <c r="G477">
        <v>86.75</v>
      </c>
    </row>
    <row r="478" spans="1:7" x14ac:dyDescent="0.25">
      <c r="A478" t="s">
        <v>315</v>
      </c>
      <c r="B478" t="str">
        <f>_xlfn.XLOOKUP(A478,[1]Municipios!$B:$B,[1]Municipios!$C:$C)</f>
        <v>Leste</v>
      </c>
      <c r="C478" t="str">
        <f>_xlfn.XLOOKUP(A478,[1]Municipios!$B:$B,[1]Municipios!$D:$D)</f>
        <v>RMC</v>
      </c>
      <c r="D478">
        <v>2025</v>
      </c>
      <c r="E478" t="s">
        <v>234</v>
      </c>
      <c r="F478">
        <v>0.88890000000000002</v>
      </c>
      <c r="G478">
        <v>86.75</v>
      </c>
    </row>
    <row r="479" spans="1:7" x14ac:dyDescent="0.25">
      <c r="A479" t="s">
        <v>315</v>
      </c>
      <c r="B479" t="str">
        <f>_xlfn.XLOOKUP(A479,[1]Municipios!$B:$B,[1]Municipios!$C:$C)</f>
        <v>Leste</v>
      </c>
      <c r="C479" t="str">
        <f>_xlfn.XLOOKUP(A479,[1]Municipios!$B:$B,[1]Municipios!$D:$D)</f>
        <v>RMC</v>
      </c>
      <c r="D479">
        <v>2025</v>
      </c>
      <c r="E479" t="s">
        <v>235</v>
      </c>
      <c r="F479">
        <v>0.85720000000000007</v>
      </c>
      <c r="G479">
        <v>86.75</v>
      </c>
    </row>
    <row r="480" spans="1:7" x14ac:dyDescent="0.25">
      <c r="A480" t="s">
        <v>315</v>
      </c>
      <c r="B480" t="str">
        <f>_xlfn.XLOOKUP(A480,[1]Municipios!$B:$B,[1]Municipios!$C:$C)</f>
        <v>Leste</v>
      </c>
      <c r="C480" t="str">
        <f>_xlfn.XLOOKUP(A480,[1]Municipios!$B:$B,[1]Municipios!$D:$D)</f>
        <v>RMC</v>
      </c>
      <c r="D480">
        <v>2025</v>
      </c>
      <c r="E480" t="s">
        <v>236</v>
      </c>
      <c r="F480">
        <v>0.76929999999999987</v>
      </c>
      <c r="G480">
        <v>86.75</v>
      </c>
    </row>
    <row r="481" spans="1:7" x14ac:dyDescent="0.25">
      <c r="A481" t="s">
        <v>315</v>
      </c>
      <c r="B481" t="str">
        <f>_xlfn.XLOOKUP(A481,[1]Municipios!$B:$B,[1]Municipios!$C:$C)</f>
        <v>Leste</v>
      </c>
      <c r="C481" t="str">
        <f>_xlfn.XLOOKUP(A481,[1]Municipios!$B:$B,[1]Municipios!$D:$D)</f>
        <v>RMC</v>
      </c>
      <c r="D481">
        <v>2025</v>
      </c>
      <c r="E481" t="s">
        <v>237</v>
      </c>
      <c r="F481">
        <v>1</v>
      </c>
      <c r="G481">
        <v>86.75</v>
      </c>
    </row>
    <row r="482" spans="1:7" x14ac:dyDescent="0.25">
      <c r="A482" t="s">
        <v>316</v>
      </c>
      <c r="B482" t="str">
        <f>_xlfn.XLOOKUP(A482,[1]Municipios!$B:$B,[1]Municipios!$C:$C)</f>
        <v>Leste</v>
      </c>
      <c r="C482" t="str">
        <f>_xlfn.XLOOKUP(A482,[1]Municipios!$B:$B,[1]Municipios!$D:$D)</f>
        <v>RMC</v>
      </c>
      <c r="D482">
        <v>2025</v>
      </c>
      <c r="E482" t="s">
        <v>231</v>
      </c>
      <c r="F482">
        <v>0.66669999999999996</v>
      </c>
      <c r="G482">
        <v>73.47</v>
      </c>
    </row>
    <row r="483" spans="1:7" x14ac:dyDescent="0.25">
      <c r="A483" t="s">
        <v>316</v>
      </c>
      <c r="B483" t="str">
        <f>_xlfn.XLOOKUP(A483,[1]Municipios!$B:$B,[1]Municipios!$C:$C)</f>
        <v>Leste</v>
      </c>
      <c r="C483" t="str">
        <f>_xlfn.XLOOKUP(A483,[1]Municipios!$B:$B,[1]Municipios!$D:$D)</f>
        <v>RMC</v>
      </c>
      <c r="D483">
        <v>2025</v>
      </c>
      <c r="E483" t="s">
        <v>232</v>
      </c>
      <c r="F483">
        <v>0.76919999999999999</v>
      </c>
      <c r="G483">
        <v>73.47</v>
      </c>
    </row>
    <row r="484" spans="1:7" x14ac:dyDescent="0.25">
      <c r="A484" t="s">
        <v>316</v>
      </c>
      <c r="B484" t="str">
        <f>_xlfn.XLOOKUP(A484,[1]Municipios!$B:$B,[1]Municipios!$C:$C)</f>
        <v>Leste</v>
      </c>
      <c r="C484" t="str">
        <f>_xlfn.XLOOKUP(A484,[1]Municipios!$B:$B,[1]Municipios!$D:$D)</f>
        <v>RMC</v>
      </c>
      <c r="D484">
        <v>2025</v>
      </c>
      <c r="E484" t="s">
        <v>233</v>
      </c>
      <c r="F484">
        <v>0.75</v>
      </c>
      <c r="G484">
        <v>73.47</v>
      </c>
    </row>
    <row r="485" spans="1:7" x14ac:dyDescent="0.25">
      <c r="A485" t="s">
        <v>316</v>
      </c>
      <c r="B485" t="str">
        <f>_xlfn.XLOOKUP(A485,[1]Municipios!$B:$B,[1]Municipios!$C:$C)</f>
        <v>Leste</v>
      </c>
      <c r="C485" t="str">
        <f>_xlfn.XLOOKUP(A485,[1]Municipios!$B:$B,[1]Municipios!$D:$D)</f>
        <v>RMC</v>
      </c>
      <c r="D485">
        <v>2025</v>
      </c>
      <c r="E485" t="s">
        <v>215</v>
      </c>
      <c r="F485">
        <v>0.79999999999999993</v>
      </c>
      <c r="G485">
        <v>73.47</v>
      </c>
    </row>
    <row r="486" spans="1:7" x14ac:dyDescent="0.25">
      <c r="A486" t="s">
        <v>316</v>
      </c>
      <c r="B486" t="str">
        <f>_xlfn.XLOOKUP(A486,[1]Municipios!$B:$B,[1]Municipios!$C:$C)</f>
        <v>Leste</v>
      </c>
      <c r="C486" t="str">
        <f>_xlfn.XLOOKUP(A486,[1]Municipios!$B:$B,[1]Municipios!$D:$D)</f>
        <v>RMC</v>
      </c>
      <c r="D486">
        <v>2025</v>
      </c>
      <c r="E486" t="s">
        <v>234</v>
      </c>
      <c r="F486">
        <v>0.66669999999999996</v>
      </c>
      <c r="G486">
        <v>73.47</v>
      </c>
    </row>
    <row r="487" spans="1:7" x14ac:dyDescent="0.25">
      <c r="A487" t="s">
        <v>316</v>
      </c>
      <c r="B487" t="str">
        <f>_xlfn.XLOOKUP(A487,[1]Municipios!$B:$B,[1]Municipios!$C:$C)</f>
        <v>Leste</v>
      </c>
      <c r="C487" t="str">
        <f>_xlfn.XLOOKUP(A487,[1]Municipios!$B:$B,[1]Municipios!$D:$D)</f>
        <v>RMC</v>
      </c>
      <c r="D487">
        <v>2025</v>
      </c>
      <c r="E487" t="s">
        <v>235</v>
      </c>
      <c r="F487">
        <v>0.85720000000000007</v>
      </c>
      <c r="G487">
        <v>73.47</v>
      </c>
    </row>
    <row r="488" spans="1:7" x14ac:dyDescent="0.25">
      <c r="A488" t="s">
        <v>316</v>
      </c>
      <c r="B488" t="str">
        <f>_xlfn.XLOOKUP(A488,[1]Municipios!$B:$B,[1]Municipios!$C:$C)</f>
        <v>Leste</v>
      </c>
      <c r="C488" t="str">
        <f>_xlfn.XLOOKUP(A488,[1]Municipios!$B:$B,[1]Municipios!$D:$D)</f>
        <v>RMC</v>
      </c>
      <c r="D488">
        <v>2025</v>
      </c>
      <c r="E488" t="s">
        <v>236</v>
      </c>
      <c r="F488">
        <v>0.38480000000000003</v>
      </c>
      <c r="G488">
        <v>73.47</v>
      </c>
    </row>
    <row r="489" spans="1:7" x14ac:dyDescent="0.25">
      <c r="A489" t="s">
        <v>316</v>
      </c>
      <c r="B489" t="str">
        <f>_xlfn.XLOOKUP(A489,[1]Municipios!$B:$B,[1]Municipios!$C:$C)</f>
        <v>Leste</v>
      </c>
      <c r="C489" t="str">
        <f>_xlfn.XLOOKUP(A489,[1]Municipios!$B:$B,[1]Municipios!$D:$D)</f>
        <v>RMC</v>
      </c>
      <c r="D489">
        <v>2025</v>
      </c>
      <c r="E489" t="s">
        <v>237</v>
      </c>
      <c r="F489">
        <v>1</v>
      </c>
      <c r="G489">
        <v>73.47</v>
      </c>
    </row>
    <row r="490" spans="1:7" x14ac:dyDescent="0.25">
      <c r="A490" t="s">
        <v>324</v>
      </c>
      <c r="B490" t="str">
        <f>_xlfn.XLOOKUP(A490,[1]Municipios!$B:$B,[1]Municipios!$C:$C)</f>
        <v>Noroeste</v>
      </c>
      <c r="C490" t="str">
        <f>_xlfn.XLOOKUP(A490,[1]Municipios!$B:$B,[1]Municipios!$D:$D)</f>
        <v>Centro Ocidental</v>
      </c>
      <c r="D490">
        <v>2025</v>
      </c>
      <c r="E490" t="s">
        <v>231</v>
      </c>
      <c r="F490">
        <v>0.88890000000000002</v>
      </c>
      <c r="G490">
        <v>95.86</v>
      </c>
    </row>
    <row r="491" spans="1:7" x14ac:dyDescent="0.25">
      <c r="A491" t="s">
        <v>324</v>
      </c>
      <c r="B491" t="str">
        <f>_xlfn.XLOOKUP(A491,[1]Municipios!$B:$B,[1]Municipios!$C:$C)</f>
        <v>Noroeste</v>
      </c>
      <c r="C491" t="str">
        <f>_xlfn.XLOOKUP(A491,[1]Municipios!$B:$B,[1]Municipios!$D:$D)</f>
        <v>Centro Ocidental</v>
      </c>
      <c r="D491">
        <v>2025</v>
      </c>
      <c r="E491" t="s">
        <v>232</v>
      </c>
      <c r="F491">
        <v>1</v>
      </c>
      <c r="G491">
        <v>95.86</v>
      </c>
    </row>
    <row r="492" spans="1:7" x14ac:dyDescent="0.25">
      <c r="A492" t="s">
        <v>324</v>
      </c>
      <c r="B492" t="str">
        <f>_xlfn.XLOOKUP(A492,[1]Municipios!$B:$B,[1]Municipios!$C:$C)</f>
        <v>Noroeste</v>
      </c>
      <c r="C492" t="str">
        <f>_xlfn.XLOOKUP(A492,[1]Municipios!$B:$B,[1]Municipios!$D:$D)</f>
        <v>Centro Ocidental</v>
      </c>
      <c r="D492">
        <v>2025</v>
      </c>
      <c r="E492" t="s">
        <v>233</v>
      </c>
      <c r="F492">
        <v>1</v>
      </c>
      <c r="G492">
        <v>95.86</v>
      </c>
    </row>
    <row r="493" spans="1:7" x14ac:dyDescent="0.25">
      <c r="A493" t="s">
        <v>324</v>
      </c>
      <c r="B493" t="str">
        <f>_xlfn.XLOOKUP(A493,[1]Municipios!$B:$B,[1]Municipios!$C:$C)</f>
        <v>Noroeste</v>
      </c>
      <c r="C493" t="str">
        <f>_xlfn.XLOOKUP(A493,[1]Municipios!$B:$B,[1]Municipios!$D:$D)</f>
        <v>Centro Ocidental</v>
      </c>
      <c r="D493">
        <v>2025</v>
      </c>
      <c r="E493" t="s">
        <v>215</v>
      </c>
      <c r="F493">
        <v>1</v>
      </c>
      <c r="G493">
        <v>95.86</v>
      </c>
    </row>
    <row r="494" spans="1:7" x14ac:dyDescent="0.25">
      <c r="A494" t="s">
        <v>324</v>
      </c>
      <c r="B494" t="str">
        <f>_xlfn.XLOOKUP(A494,[1]Municipios!$B:$B,[1]Municipios!$C:$C)</f>
        <v>Noroeste</v>
      </c>
      <c r="C494" t="str">
        <f>_xlfn.XLOOKUP(A494,[1]Municipios!$B:$B,[1]Municipios!$D:$D)</f>
        <v>Centro Ocidental</v>
      </c>
      <c r="D494">
        <v>2025</v>
      </c>
      <c r="E494" t="s">
        <v>234</v>
      </c>
      <c r="F494">
        <v>0.88890000000000002</v>
      </c>
      <c r="G494">
        <v>95.86</v>
      </c>
    </row>
    <row r="495" spans="1:7" x14ac:dyDescent="0.25">
      <c r="A495" t="s">
        <v>324</v>
      </c>
      <c r="B495" t="str">
        <f>_xlfn.XLOOKUP(A495,[1]Municipios!$B:$B,[1]Municipios!$C:$C)</f>
        <v>Noroeste</v>
      </c>
      <c r="C495" t="str">
        <f>_xlfn.XLOOKUP(A495,[1]Municipios!$B:$B,[1]Municipios!$D:$D)</f>
        <v>Centro Ocidental</v>
      </c>
      <c r="D495">
        <v>2025</v>
      </c>
      <c r="E495" t="s">
        <v>235</v>
      </c>
      <c r="F495">
        <v>1</v>
      </c>
      <c r="G495">
        <v>95.86</v>
      </c>
    </row>
    <row r="496" spans="1:7" x14ac:dyDescent="0.25">
      <c r="A496" t="s">
        <v>324</v>
      </c>
      <c r="B496" t="str">
        <f>_xlfn.XLOOKUP(A496,[1]Municipios!$B:$B,[1]Municipios!$C:$C)</f>
        <v>Noroeste</v>
      </c>
      <c r="C496" t="str">
        <f>_xlfn.XLOOKUP(A496,[1]Municipios!$B:$B,[1]Municipios!$D:$D)</f>
        <v>Centro Ocidental</v>
      </c>
      <c r="D496">
        <v>2025</v>
      </c>
      <c r="E496" t="s">
        <v>236</v>
      </c>
      <c r="F496">
        <v>0.92309999999999992</v>
      </c>
      <c r="G496">
        <v>95.86</v>
      </c>
    </row>
    <row r="497" spans="1:7" x14ac:dyDescent="0.25">
      <c r="A497" t="s">
        <v>324</v>
      </c>
      <c r="B497" t="str">
        <f>_xlfn.XLOOKUP(A497,[1]Municipios!$B:$B,[1]Municipios!$C:$C)</f>
        <v>Noroeste</v>
      </c>
      <c r="C497" t="str">
        <f>_xlfn.XLOOKUP(A497,[1]Municipios!$B:$B,[1]Municipios!$D:$D)</f>
        <v>Centro Ocidental</v>
      </c>
      <c r="D497">
        <v>2025</v>
      </c>
      <c r="E497" t="s">
        <v>237</v>
      </c>
      <c r="F497">
        <v>1</v>
      </c>
      <c r="G497">
        <v>95.86</v>
      </c>
    </row>
    <row r="498" spans="1:7" x14ac:dyDescent="0.25">
      <c r="A498" t="s">
        <v>249</v>
      </c>
      <c r="B498" t="str">
        <f>_xlfn.XLOOKUP(A498,[1]Municipios!$B:$B,[1]Municipios!$C:$C)</f>
        <v>Centro</v>
      </c>
      <c r="C498" t="str">
        <f>_xlfn.XLOOKUP(A498,[1]Municipios!$B:$B,[1]Municipios!$D:$D)</f>
        <v>Paraná Centro</v>
      </c>
      <c r="D498">
        <v>2025</v>
      </c>
      <c r="E498" t="s">
        <v>231</v>
      </c>
      <c r="F498">
        <v>0.77769999999999995</v>
      </c>
      <c r="G498">
        <v>67.64</v>
      </c>
    </row>
    <row r="499" spans="1:7" x14ac:dyDescent="0.25">
      <c r="A499" t="s">
        <v>249</v>
      </c>
      <c r="B499" t="str">
        <f>_xlfn.XLOOKUP(A499,[1]Municipios!$B:$B,[1]Municipios!$C:$C)</f>
        <v>Centro</v>
      </c>
      <c r="C499" t="str">
        <f>_xlfn.XLOOKUP(A499,[1]Municipios!$B:$B,[1]Municipios!$D:$D)</f>
        <v>Paraná Centro</v>
      </c>
      <c r="D499">
        <v>2025</v>
      </c>
      <c r="E499" t="s">
        <v>232</v>
      </c>
      <c r="F499">
        <v>0.92310000000000003</v>
      </c>
      <c r="G499">
        <v>67.64</v>
      </c>
    </row>
    <row r="500" spans="1:7" x14ac:dyDescent="0.25">
      <c r="A500" t="s">
        <v>249</v>
      </c>
      <c r="B500" t="str">
        <f>_xlfn.XLOOKUP(A500,[1]Municipios!$B:$B,[1]Municipios!$C:$C)</f>
        <v>Centro</v>
      </c>
      <c r="C500" t="str">
        <f>_xlfn.XLOOKUP(A500,[1]Municipios!$B:$B,[1]Municipios!$D:$D)</f>
        <v>Paraná Centro</v>
      </c>
      <c r="D500">
        <v>2025</v>
      </c>
      <c r="E500" t="s">
        <v>233</v>
      </c>
      <c r="F500">
        <v>0.875</v>
      </c>
      <c r="G500">
        <v>67.64</v>
      </c>
    </row>
    <row r="501" spans="1:7" x14ac:dyDescent="0.25">
      <c r="A501" t="s">
        <v>249</v>
      </c>
      <c r="B501" t="str">
        <f>_xlfn.XLOOKUP(A501,[1]Municipios!$B:$B,[1]Municipios!$C:$C)</f>
        <v>Centro</v>
      </c>
      <c r="C501" t="str">
        <f>_xlfn.XLOOKUP(A501,[1]Municipios!$B:$B,[1]Municipios!$D:$D)</f>
        <v>Paraná Centro</v>
      </c>
      <c r="D501">
        <v>2025</v>
      </c>
      <c r="E501" t="s">
        <v>215</v>
      </c>
      <c r="F501">
        <v>9.9999999999999992E-2</v>
      </c>
      <c r="G501">
        <v>67.64</v>
      </c>
    </row>
    <row r="502" spans="1:7" x14ac:dyDescent="0.25">
      <c r="A502" t="s">
        <v>249</v>
      </c>
      <c r="B502" t="str">
        <f>_xlfn.XLOOKUP(A502,[1]Municipios!$B:$B,[1]Municipios!$C:$C)</f>
        <v>Centro</v>
      </c>
      <c r="C502" t="str">
        <f>_xlfn.XLOOKUP(A502,[1]Municipios!$B:$B,[1]Municipios!$D:$D)</f>
        <v>Paraná Centro</v>
      </c>
      <c r="D502">
        <v>2025</v>
      </c>
      <c r="E502" t="s">
        <v>234</v>
      </c>
      <c r="F502">
        <v>0.66669999999999996</v>
      </c>
      <c r="G502">
        <v>67.64</v>
      </c>
    </row>
    <row r="503" spans="1:7" x14ac:dyDescent="0.25">
      <c r="A503" t="s">
        <v>249</v>
      </c>
      <c r="B503" t="str">
        <f>_xlfn.XLOOKUP(A503,[1]Municipios!$B:$B,[1]Municipios!$C:$C)</f>
        <v>Centro</v>
      </c>
      <c r="C503" t="str">
        <f>_xlfn.XLOOKUP(A503,[1]Municipios!$B:$B,[1]Municipios!$D:$D)</f>
        <v>Paraná Centro</v>
      </c>
      <c r="D503">
        <v>2025</v>
      </c>
      <c r="E503" t="s">
        <v>235</v>
      </c>
      <c r="F503">
        <v>0.85720000000000007</v>
      </c>
      <c r="G503">
        <v>67.64</v>
      </c>
    </row>
    <row r="504" spans="1:7" x14ac:dyDescent="0.25">
      <c r="A504" t="s">
        <v>249</v>
      </c>
      <c r="B504" t="str">
        <f>_xlfn.XLOOKUP(A504,[1]Municipios!$B:$B,[1]Municipios!$C:$C)</f>
        <v>Centro</v>
      </c>
      <c r="C504" t="str">
        <f>_xlfn.XLOOKUP(A504,[1]Municipios!$B:$B,[1]Municipios!$D:$D)</f>
        <v>Paraná Centro</v>
      </c>
      <c r="D504">
        <v>2025</v>
      </c>
      <c r="E504" t="s">
        <v>236</v>
      </c>
      <c r="F504">
        <v>0.23070000000000002</v>
      </c>
      <c r="G504">
        <v>67.64</v>
      </c>
    </row>
    <row r="505" spans="1:7" x14ac:dyDescent="0.25">
      <c r="A505" t="s">
        <v>249</v>
      </c>
      <c r="B505" t="str">
        <f>_xlfn.XLOOKUP(A505,[1]Municipios!$B:$B,[1]Municipios!$C:$C)</f>
        <v>Centro</v>
      </c>
      <c r="C505" t="str">
        <f>_xlfn.XLOOKUP(A505,[1]Municipios!$B:$B,[1]Municipios!$D:$D)</f>
        <v>Paraná Centro</v>
      </c>
      <c r="D505">
        <v>2025</v>
      </c>
      <c r="E505" t="s">
        <v>237</v>
      </c>
      <c r="F505">
        <v>1</v>
      </c>
      <c r="G505">
        <v>67.64</v>
      </c>
    </row>
    <row r="506" spans="1:7" x14ac:dyDescent="0.25">
      <c r="A506" t="s">
        <v>435</v>
      </c>
      <c r="B506" t="str">
        <f>_xlfn.XLOOKUP(A506,[1]Municipios!$B:$B,[1]Municipios!$C:$C)</f>
        <v>Oeste</v>
      </c>
      <c r="C506" t="str">
        <f>_xlfn.XLOOKUP(A506,[1]Municipios!$B:$B,[1]Municipios!$D:$D)</f>
        <v>Cantuquiriguaçu</v>
      </c>
      <c r="D506">
        <v>2025</v>
      </c>
      <c r="E506" t="s">
        <v>231</v>
      </c>
      <c r="F506">
        <v>0.88890000000000002</v>
      </c>
      <c r="G506">
        <v>79.86</v>
      </c>
    </row>
    <row r="507" spans="1:7" x14ac:dyDescent="0.25">
      <c r="A507" t="s">
        <v>435</v>
      </c>
      <c r="B507" t="str">
        <f>_xlfn.XLOOKUP(A507,[1]Municipios!$B:$B,[1]Municipios!$C:$C)</f>
        <v>Oeste</v>
      </c>
      <c r="C507" t="str">
        <f>_xlfn.XLOOKUP(A507,[1]Municipios!$B:$B,[1]Municipios!$D:$D)</f>
        <v>Cantuquiriguaçu</v>
      </c>
      <c r="D507">
        <v>2025</v>
      </c>
      <c r="E507" t="s">
        <v>232</v>
      </c>
      <c r="F507">
        <v>0.92310000000000003</v>
      </c>
      <c r="G507">
        <v>79.86</v>
      </c>
    </row>
    <row r="508" spans="1:7" x14ac:dyDescent="0.25">
      <c r="A508" t="s">
        <v>435</v>
      </c>
      <c r="B508" t="str">
        <f>_xlfn.XLOOKUP(A508,[1]Municipios!$B:$B,[1]Municipios!$C:$C)</f>
        <v>Oeste</v>
      </c>
      <c r="C508" t="str">
        <f>_xlfn.XLOOKUP(A508,[1]Municipios!$B:$B,[1]Municipios!$D:$D)</f>
        <v>Cantuquiriguaçu</v>
      </c>
      <c r="D508">
        <v>2025</v>
      </c>
      <c r="E508" t="s">
        <v>233</v>
      </c>
      <c r="F508">
        <v>1</v>
      </c>
      <c r="G508">
        <v>79.86</v>
      </c>
    </row>
    <row r="509" spans="1:7" x14ac:dyDescent="0.25">
      <c r="A509" t="s">
        <v>435</v>
      </c>
      <c r="B509" t="str">
        <f>_xlfn.XLOOKUP(A509,[1]Municipios!$B:$B,[1]Municipios!$C:$C)</f>
        <v>Oeste</v>
      </c>
      <c r="C509" t="str">
        <f>_xlfn.XLOOKUP(A509,[1]Municipios!$B:$B,[1]Municipios!$D:$D)</f>
        <v>Cantuquiriguaçu</v>
      </c>
      <c r="D509">
        <v>2025</v>
      </c>
      <c r="E509" t="s">
        <v>215</v>
      </c>
      <c r="F509">
        <v>0.70000000000000007</v>
      </c>
      <c r="G509">
        <v>79.86</v>
      </c>
    </row>
    <row r="510" spans="1:7" x14ac:dyDescent="0.25">
      <c r="A510" t="s">
        <v>435</v>
      </c>
      <c r="B510" t="str">
        <f>_xlfn.XLOOKUP(A510,[1]Municipios!$B:$B,[1]Municipios!$C:$C)</f>
        <v>Oeste</v>
      </c>
      <c r="C510" t="str">
        <f>_xlfn.XLOOKUP(A510,[1]Municipios!$B:$B,[1]Municipios!$D:$D)</f>
        <v>Cantuquiriguaçu</v>
      </c>
      <c r="D510">
        <v>2025</v>
      </c>
      <c r="E510" t="s">
        <v>234</v>
      </c>
      <c r="F510">
        <v>0.66669999999999996</v>
      </c>
      <c r="G510">
        <v>79.86</v>
      </c>
    </row>
    <row r="511" spans="1:7" x14ac:dyDescent="0.25">
      <c r="A511" t="s">
        <v>435</v>
      </c>
      <c r="B511" t="str">
        <f>_xlfn.XLOOKUP(A511,[1]Municipios!$B:$B,[1]Municipios!$C:$C)</f>
        <v>Oeste</v>
      </c>
      <c r="C511" t="str">
        <f>_xlfn.XLOOKUP(A511,[1]Municipios!$B:$B,[1]Municipios!$D:$D)</f>
        <v>Cantuquiriguaçu</v>
      </c>
      <c r="D511">
        <v>2025</v>
      </c>
      <c r="E511" t="s">
        <v>235</v>
      </c>
      <c r="F511">
        <v>1</v>
      </c>
      <c r="G511">
        <v>79.86</v>
      </c>
    </row>
    <row r="512" spans="1:7" x14ac:dyDescent="0.25">
      <c r="A512" t="s">
        <v>435</v>
      </c>
      <c r="B512" t="str">
        <f>_xlfn.XLOOKUP(A512,[1]Municipios!$B:$B,[1]Municipios!$C:$C)</f>
        <v>Oeste</v>
      </c>
      <c r="C512" t="str">
        <f>_xlfn.XLOOKUP(A512,[1]Municipios!$B:$B,[1]Municipios!$D:$D)</f>
        <v>Cantuquiriguaçu</v>
      </c>
      <c r="D512">
        <v>2025</v>
      </c>
      <c r="E512" t="s">
        <v>236</v>
      </c>
      <c r="F512">
        <v>0.30770000000000003</v>
      </c>
      <c r="G512">
        <v>79.86</v>
      </c>
    </row>
    <row r="513" spans="1:7" x14ac:dyDescent="0.25">
      <c r="A513" t="s">
        <v>435</v>
      </c>
      <c r="B513" t="str">
        <f>_xlfn.XLOOKUP(A513,[1]Municipios!$B:$B,[1]Municipios!$C:$C)</f>
        <v>Oeste</v>
      </c>
      <c r="C513" t="str">
        <f>_xlfn.XLOOKUP(A513,[1]Municipios!$B:$B,[1]Municipios!$D:$D)</f>
        <v>Cantuquiriguaçu</v>
      </c>
      <c r="D513">
        <v>2025</v>
      </c>
      <c r="E513" t="s">
        <v>237</v>
      </c>
      <c r="F513">
        <v>1</v>
      </c>
      <c r="G513">
        <v>79.86</v>
      </c>
    </row>
    <row r="514" spans="1:7" x14ac:dyDescent="0.25">
      <c r="A514" t="s">
        <v>436</v>
      </c>
      <c r="B514" t="str">
        <f>_xlfn.XLOOKUP(A514,[1]Municipios!$B:$B,[1]Municipios!$C:$C)</f>
        <v>Oeste</v>
      </c>
      <c r="C514" t="str">
        <f>_xlfn.XLOOKUP(A514,[1]Municipios!$B:$B,[1]Municipios!$D:$D)</f>
        <v>Cantuquiriguaçu</v>
      </c>
      <c r="D514">
        <v>2025</v>
      </c>
      <c r="E514" t="s">
        <v>231</v>
      </c>
      <c r="F514">
        <v>0</v>
      </c>
      <c r="G514">
        <v>49.6</v>
      </c>
    </row>
    <row r="515" spans="1:7" x14ac:dyDescent="0.25">
      <c r="A515" t="s">
        <v>436</v>
      </c>
      <c r="B515" t="str">
        <f>_xlfn.XLOOKUP(A515,[1]Municipios!$B:$B,[1]Municipios!$C:$C)</f>
        <v>Oeste</v>
      </c>
      <c r="C515" t="str">
        <f>_xlfn.XLOOKUP(A515,[1]Municipios!$B:$B,[1]Municipios!$D:$D)</f>
        <v>Cantuquiriguaçu</v>
      </c>
      <c r="D515">
        <v>2025</v>
      </c>
      <c r="E515" t="s">
        <v>232</v>
      </c>
      <c r="F515">
        <v>0.92310000000000003</v>
      </c>
      <c r="G515">
        <v>49.6</v>
      </c>
    </row>
    <row r="516" spans="1:7" x14ac:dyDescent="0.25">
      <c r="A516" t="s">
        <v>436</v>
      </c>
      <c r="B516" t="str">
        <f>_xlfn.XLOOKUP(A516,[1]Municipios!$B:$B,[1]Municipios!$C:$C)</f>
        <v>Oeste</v>
      </c>
      <c r="C516" t="str">
        <f>_xlfn.XLOOKUP(A516,[1]Municipios!$B:$B,[1]Municipios!$D:$D)</f>
        <v>Cantuquiriguaçu</v>
      </c>
      <c r="D516">
        <v>2025</v>
      </c>
      <c r="E516" t="s">
        <v>233</v>
      </c>
      <c r="F516">
        <v>0.875</v>
      </c>
      <c r="G516">
        <v>49.6</v>
      </c>
    </row>
    <row r="517" spans="1:7" x14ac:dyDescent="0.25">
      <c r="A517" t="s">
        <v>436</v>
      </c>
      <c r="B517" t="str">
        <f>_xlfn.XLOOKUP(A517,[1]Municipios!$B:$B,[1]Municipios!$C:$C)</f>
        <v>Oeste</v>
      </c>
      <c r="C517" t="str">
        <f>_xlfn.XLOOKUP(A517,[1]Municipios!$B:$B,[1]Municipios!$D:$D)</f>
        <v>Cantuquiriguaçu</v>
      </c>
      <c r="D517">
        <v>2025</v>
      </c>
      <c r="E517" t="s">
        <v>215</v>
      </c>
      <c r="F517">
        <v>0.6</v>
      </c>
      <c r="G517">
        <v>49.6</v>
      </c>
    </row>
    <row r="518" spans="1:7" x14ac:dyDescent="0.25">
      <c r="A518" t="s">
        <v>436</v>
      </c>
      <c r="B518" t="str">
        <f>_xlfn.XLOOKUP(A518,[1]Municipios!$B:$B,[1]Municipios!$C:$C)</f>
        <v>Oeste</v>
      </c>
      <c r="C518" t="str">
        <f>_xlfn.XLOOKUP(A518,[1]Municipios!$B:$B,[1]Municipios!$D:$D)</f>
        <v>Cantuquiriguaçu</v>
      </c>
      <c r="D518">
        <v>2025</v>
      </c>
      <c r="E518" t="s">
        <v>234</v>
      </c>
      <c r="F518">
        <v>0.66659999999999997</v>
      </c>
      <c r="G518">
        <v>49.6</v>
      </c>
    </row>
    <row r="519" spans="1:7" x14ac:dyDescent="0.25">
      <c r="A519" t="s">
        <v>436</v>
      </c>
      <c r="B519" t="str">
        <f>_xlfn.XLOOKUP(A519,[1]Municipios!$B:$B,[1]Municipios!$C:$C)</f>
        <v>Oeste</v>
      </c>
      <c r="C519" t="str">
        <f>_xlfn.XLOOKUP(A519,[1]Municipios!$B:$B,[1]Municipios!$D:$D)</f>
        <v>Cantuquiriguaçu</v>
      </c>
      <c r="D519">
        <v>2025</v>
      </c>
      <c r="E519" t="s">
        <v>235</v>
      </c>
      <c r="F519">
        <v>0.42849999999999999</v>
      </c>
      <c r="G519">
        <v>49.6</v>
      </c>
    </row>
    <row r="520" spans="1:7" x14ac:dyDescent="0.25">
      <c r="A520" t="s">
        <v>436</v>
      </c>
      <c r="B520" t="str">
        <f>_xlfn.XLOOKUP(A520,[1]Municipios!$B:$B,[1]Municipios!$C:$C)</f>
        <v>Oeste</v>
      </c>
      <c r="C520" t="str">
        <f>_xlfn.XLOOKUP(A520,[1]Municipios!$B:$B,[1]Municipios!$D:$D)</f>
        <v>Cantuquiriguaçu</v>
      </c>
      <c r="D520">
        <v>2025</v>
      </c>
      <c r="E520" t="s">
        <v>236</v>
      </c>
      <c r="F520">
        <v>0</v>
      </c>
      <c r="G520">
        <v>49.6</v>
      </c>
    </row>
    <row r="521" spans="1:7" x14ac:dyDescent="0.25">
      <c r="A521" t="s">
        <v>436</v>
      </c>
      <c r="B521" t="str">
        <f>_xlfn.XLOOKUP(A521,[1]Municipios!$B:$B,[1]Municipios!$C:$C)</f>
        <v>Oeste</v>
      </c>
      <c r="C521" t="str">
        <f>_xlfn.XLOOKUP(A521,[1]Municipios!$B:$B,[1]Municipios!$D:$D)</f>
        <v>Cantuquiriguaçu</v>
      </c>
      <c r="D521">
        <v>2025</v>
      </c>
      <c r="E521" t="s">
        <v>237</v>
      </c>
      <c r="F521">
        <v>0.5</v>
      </c>
      <c r="G521">
        <v>49.6</v>
      </c>
    </row>
    <row r="522" spans="1:7" x14ac:dyDescent="0.25">
      <c r="A522" t="s">
        <v>341</v>
      </c>
      <c r="B522" t="str">
        <f>_xlfn.XLOOKUP(A522,[1]Municipios!$B:$B,[1]Municipios!$C:$C)</f>
        <v>Sul</v>
      </c>
      <c r="C522" t="str">
        <f>_xlfn.XLOOKUP(A522,[1]Municipios!$B:$B,[1]Municipios!$D:$D)</f>
        <v>Sudoeste La Frontera</v>
      </c>
      <c r="D522">
        <v>2025</v>
      </c>
      <c r="E522" t="s">
        <v>231</v>
      </c>
      <c r="F522">
        <v>0.88890000000000002</v>
      </c>
      <c r="G522">
        <v>87.23</v>
      </c>
    </row>
    <row r="523" spans="1:7" x14ac:dyDescent="0.25">
      <c r="A523" t="s">
        <v>341</v>
      </c>
      <c r="B523" t="str">
        <f>_xlfn.XLOOKUP(A523,[1]Municipios!$B:$B,[1]Municipios!$C:$C)</f>
        <v>Sul</v>
      </c>
      <c r="C523" t="str">
        <f>_xlfn.XLOOKUP(A523,[1]Municipios!$B:$B,[1]Municipios!$D:$D)</f>
        <v>Sudoeste La Frontera</v>
      </c>
      <c r="D523">
        <v>2025</v>
      </c>
      <c r="E523" t="s">
        <v>232</v>
      </c>
      <c r="F523">
        <v>0.84619999999999995</v>
      </c>
      <c r="G523">
        <v>87.23</v>
      </c>
    </row>
    <row r="524" spans="1:7" x14ac:dyDescent="0.25">
      <c r="A524" t="s">
        <v>341</v>
      </c>
      <c r="B524" t="str">
        <f>_xlfn.XLOOKUP(A524,[1]Municipios!$B:$B,[1]Municipios!$C:$C)</f>
        <v>Sul</v>
      </c>
      <c r="C524" t="str">
        <f>_xlfn.XLOOKUP(A524,[1]Municipios!$B:$B,[1]Municipios!$D:$D)</f>
        <v>Sudoeste La Frontera</v>
      </c>
      <c r="D524">
        <v>2025</v>
      </c>
      <c r="E524" t="s">
        <v>233</v>
      </c>
      <c r="F524">
        <v>0.875</v>
      </c>
      <c r="G524">
        <v>87.23</v>
      </c>
    </row>
    <row r="525" spans="1:7" x14ac:dyDescent="0.25">
      <c r="A525" t="s">
        <v>341</v>
      </c>
      <c r="B525" t="str">
        <f>_xlfn.XLOOKUP(A525,[1]Municipios!$B:$B,[1]Municipios!$C:$C)</f>
        <v>Sul</v>
      </c>
      <c r="C525" t="str">
        <f>_xlfn.XLOOKUP(A525,[1]Municipios!$B:$B,[1]Municipios!$D:$D)</f>
        <v>Sudoeste La Frontera</v>
      </c>
      <c r="D525">
        <v>2025</v>
      </c>
      <c r="E525" t="s">
        <v>215</v>
      </c>
      <c r="F525">
        <v>1</v>
      </c>
      <c r="G525">
        <v>87.23</v>
      </c>
    </row>
    <row r="526" spans="1:7" x14ac:dyDescent="0.25">
      <c r="A526" t="s">
        <v>341</v>
      </c>
      <c r="B526" t="str">
        <f>_xlfn.XLOOKUP(A526,[1]Municipios!$B:$B,[1]Municipios!$C:$C)</f>
        <v>Sul</v>
      </c>
      <c r="C526" t="str">
        <f>_xlfn.XLOOKUP(A526,[1]Municipios!$B:$B,[1]Municipios!$D:$D)</f>
        <v>Sudoeste La Frontera</v>
      </c>
      <c r="D526">
        <v>2025</v>
      </c>
      <c r="E526" t="s">
        <v>234</v>
      </c>
      <c r="F526">
        <v>0.88890000000000002</v>
      </c>
      <c r="G526">
        <v>87.23</v>
      </c>
    </row>
    <row r="527" spans="1:7" x14ac:dyDescent="0.25">
      <c r="A527" t="s">
        <v>341</v>
      </c>
      <c r="B527" t="str">
        <f>_xlfn.XLOOKUP(A527,[1]Municipios!$B:$B,[1]Municipios!$C:$C)</f>
        <v>Sul</v>
      </c>
      <c r="C527" t="str">
        <f>_xlfn.XLOOKUP(A527,[1]Municipios!$B:$B,[1]Municipios!$D:$D)</f>
        <v>Sudoeste La Frontera</v>
      </c>
      <c r="D527">
        <v>2025</v>
      </c>
      <c r="E527" t="s">
        <v>235</v>
      </c>
      <c r="F527">
        <v>1</v>
      </c>
      <c r="G527">
        <v>87.23</v>
      </c>
    </row>
    <row r="528" spans="1:7" x14ac:dyDescent="0.25">
      <c r="A528" t="s">
        <v>341</v>
      </c>
      <c r="B528" t="str">
        <f>_xlfn.XLOOKUP(A528,[1]Municipios!$B:$B,[1]Municipios!$C:$C)</f>
        <v>Sul</v>
      </c>
      <c r="C528" t="str">
        <f>_xlfn.XLOOKUP(A528,[1]Municipios!$B:$B,[1]Municipios!$D:$D)</f>
        <v>Sudoeste La Frontera</v>
      </c>
      <c r="D528">
        <v>2025</v>
      </c>
      <c r="E528" t="s">
        <v>236</v>
      </c>
      <c r="F528">
        <v>0.46159999999999995</v>
      </c>
      <c r="G528">
        <v>87.23</v>
      </c>
    </row>
    <row r="529" spans="1:7" x14ac:dyDescent="0.25">
      <c r="A529" t="s">
        <v>341</v>
      </c>
      <c r="B529" t="str">
        <f>_xlfn.XLOOKUP(A529,[1]Municipios!$B:$B,[1]Municipios!$C:$C)</f>
        <v>Sul</v>
      </c>
      <c r="C529" t="str">
        <f>_xlfn.XLOOKUP(A529,[1]Municipios!$B:$B,[1]Municipios!$D:$D)</f>
        <v>Sudoeste La Frontera</v>
      </c>
      <c r="D529">
        <v>2025</v>
      </c>
      <c r="E529" t="s">
        <v>237</v>
      </c>
      <c r="F529">
        <v>1</v>
      </c>
      <c r="G529">
        <v>87.23</v>
      </c>
    </row>
    <row r="530" spans="1:7" x14ac:dyDescent="0.25">
      <c r="A530" t="s">
        <v>420</v>
      </c>
      <c r="B530" t="str">
        <f>_xlfn.XLOOKUP(A530,[1]Municipios!$B:$B,[1]Municipios!$C:$C)</f>
        <v>Oeste</v>
      </c>
      <c r="C530" t="str">
        <f>_xlfn.XLOOKUP(A530,[1]Municipios!$B:$B,[1]Municipios!$D:$D)</f>
        <v>Oeste Integrado</v>
      </c>
      <c r="D530">
        <v>2025</v>
      </c>
      <c r="E530" t="s">
        <v>231</v>
      </c>
      <c r="F530">
        <v>1</v>
      </c>
      <c r="G530">
        <v>76.900000000000006</v>
      </c>
    </row>
    <row r="531" spans="1:7" x14ac:dyDescent="0.25">
      <c r="A531" t="s">
        <v>420</v>
      </c>
      <c r="B531" t="str">
        <f>_xlfn.XLOOKUP(A531,[1]Municipios!$B:$B,[1]Municipios!$C:$C)</f>
        <v>Oeste</v>
      </c>
      <c r="C531" t="str">
        <f>_xlfn.XLOOKUP(A531,[1]Municipios!$B:$B,[1]Municipios!$D:$D)</f>
        <v>Oeste Integrado</v>
      </c>
      <c r="D531">
        <v>2025</v>
      </c>
      <c r="E531" t="s">
        <v>232</v>
      </c>
      <c r="F531">
        <v>0.76929999999999998</v>
      </c>
      <c r="G531">
        <v>76.900000000000006</v>
      </c>
    </row>
    <row r="532" spans="1:7" x14ac:dyDescent="0.25">
      <c r="A532" t="s">
        <v>420</v>
      </c>
      <c r="B532" t="str">
        <f>_xlfn.XLOOKUP(A532,[1]Municipios!$B:$B,[1]Municipios!$C:$C)</f>
        <v>Oeste</v>
      </c>
      <c r="C532" t="str">
        <f>_xlfn.XLOOKUP(A532,[1]Municipios!$B:$B,[1]Municipios!$D:$D)</f>
        <v>Oeste Integrado</v>
      </c>
      <c r="D532">
        <v>2025</v>
      </c>
      <c r="E532" t="s">
        <v>233</v>
      </c>
      <c r="F532">
        <v>0.625</v>
      </c>
      <c r="G532">
        <v>76.900000000000006</v>
      </c>
    </row>
    <row r="533" spans="1:7" x14ac:dyDescent="0.25">
      <c r="A533" t="s">
        <v>420</v>
      </c>
      <c r="B533" t="str">
        <f>_xlfn.XLOOKUP(A533,[1]Municipios!$B:$B,[1]Municipios!$C:$C)</f>
        <v>Oeste</v>
      </c>
      <c r="C533" t="str">
        <f>_xlfn.XLOOKUP(A533,[1]Municipios!$B:$B,[1]Municipios!$D:$D)</f>
        <v>Oeste Integrado</v>
      </c>
      <c r="D533">
        <v>2025</v>
      </c>
      <c r="E533" t="s">
        <v>215</v>
      </c>
      <c r="F533">
        <v>0.70000000000000007</v>
      </c>
      <c r="G533">
        <v>76.900000000000006</v>
      </c>
    </row>
    <row r="534" spans="1:7" x14ac:dyDescent="0.25">
      <c r="A534" t="s">
        <v>420</v>
      </c>
      <c r="B534" t="str">
        <f>_xlfn.XLOOKUP(A534,[1]Municipios!$B:$B,[1]Municipios!$C:$C)</f>
        <v>Oeste</v>
      </c>
      <c r="C534" t="str">
        <f>_xlfn.XLOOKUP(A534,[1]Municipios!$B:$B,[1]Municipios!$D:$D)</f>
        <v>Oeste Integrado</v>
      </c>
      <c r="D534">
        <v>2025</v>
      </c>
      <c r="E534" t="s">
        <v>234</v>
      </c>
      <c r="F534">
        <v>0.77780000000000005</v>
      </c>
      <c r="G534">
        <v>76.900000000000006</v>
      </c>
    </row>
    <row r="535" spans="1:7" x14ac:dyDescent="0.25">
      <c r="A535" t="s">
        <v>420</v>
      </c>
      <c r="B535" t="str">
        <f>_xlfn.XLOOKUP(A535,[1]Municipios!$B:$B,[1]Municipios!$C:$C)</f>
        <v>Oeste</v>
      </c>
      <c r="C535" t="str">
        <f>_xlfn.XLOOKUP(A535,[1]Municipios!$B:$B,[1]Municipios!$D:$D)</f>
        <v>Oeste Integrado</v>
      </c>
      <c r="D535">
        <v>2025</v>
      </c>
      <c r="E535" t="s">
        <v>235</v>
      </c>
      <c r="F535">
        <v>1</v>
      </c>
      <c r="G535">
        <v>76.900000000000006</v>
      </c>
    </row>
    <row r="536" spans="1:7" x14ac:dyDescent="0.25">
      <c r="A536" t="s">
        <v>420</v>
      </c>
      <c r="B536" t="str">
        <f>_xlfn.XLOOKUP(A536,[1]Municipios!$B:$B,[1]Municipios!$C:$C)</f>
        <v>Oeste</v>
      </c>
      <c r="C536" t="str">
        <f>_xlfn.XLOOKUP(A536,[1]Municipios!$B:$B,[1]Municipios!$D:$D)</f>
        <v>Oeste Integrado</v>
      </c>
      <c r="D536">
        <v>2025</v>
      </c>
      <c r="E536" t="s">
        <v>236</v>
      </c>
      <c r="F536">
        <v>0.15390000000000001</v>
      </c>
      <c r="G536">
        <v>76.900000000000006</v>
      </c>
    </row>
    <row r="537" spans="1:7" x14ac:dyDescent="0.25">
      <c r="A537" t="s">
        <v>420</v>
      </c>
      <c r="B537" t="str">
        <f>_xlfn.XLOOKUP(A537,[1]Municipios!$B:$B,[1]Municipios!$C:$C)</f>
        <v>Oeste</v>
      </c>
      <c r="C537" t="str">
        <f>_xlfn.XLOOKUP(A537,[1]Municipios!$B:$B,[1]Municipios!$D:$D)</f>
        <v>Oeste Integrado</v>
      </c>
      <c r="D537">
        <v>2025</v>
      </c>
      <c r="E537" t="s">
        <v>237</v>
      </c>
      <c r="F537">
        <v>1</v>
      </c>
      <c r="G537">
        <v>76.900000000000006</v>
      </c>
    </row>
    <row r="538" spans="1:7" x14ac:dyDescent="0.25">
      <c r="A538" t="s">
        <v>367</v>
      </c>
      <c r="B538" t="str">
        <f>_xlfn.XLOOKUP(A538,[1]Municipios!$B:$B,[1]Municipios!$C:$C)</f>
        <v>Centro</v>
      </c>
      <c r="C538" t="str">
        <f>_xlfn.XLOOKUP(A538,[1]Municipios!$B:$B,[1]Municipios!$D:$D)</f>
        <v>Campos Gerais</v>
      </c>
      <c r="D538">
        <v>2025</v>
      </c>
      <c r="E538" t="s">
        <v>231</v>
      </c>
      <c r="F538">
        <v>0.33329999999999999</v>
      </c>
      <c r="G538">
        <v>40.020000000000003</v>
      </c>
    </row>
    <row r="539" spans="1:7" x14ac:dyDescent="0.25">
      <c r="A539" t="s">
        <v>367</v>
      </c>
      <c r="B539" t="str">
        <f>_xlfn.XLOOKUP(A539,[1]Municipios!$B:$B,[1]Municipios!$C:$C)</f>
        <v>Centro</v>
      </c>
      <c r="C539" t="str">
        <f>_xlfn.XLOOKUP(A539,[1]Municipios!$B:$B,[1]Municipios!$D:$D)</f>
        <v>Campos Gerais</v>
      </c>
      <c r="D539">
        <v>2025</v>
      </c>
      <c r="E539" t="s">
        <v>232</v>
      </c>
      <c r="F539">
        <v>0.84609999999999996</v>
      </c>
      <c r="G539">
        <v>40.020000000000003</v>
      </c>
    </row>
    <row r="540" spans="1:7" x14ac:dyDescent="0.25">
      <c r="A540" t="s">
        <v>367</v>
      </c>
      <c r="B540" t="str">
        <f>_xlfn.XLOOKUP(A540,[1]Municipios!$B:$B,[1]Municipios!$C:$C)</f>
        <v>Centro</v>
      </c>
      <c r="C540" t="str">
        <f>_xlfn.XLOOKUP(A540,[1]Municipios!$B:$B,[1]Municipios!$D:$D)</f>
        <v>Campos Gerais</v>
      </c>
      <c r="D540">
        <v>2025</v>
      </c>
      <c r="E540" t="s">
        <v>233</v>
      </c>
      <c r="F540">
        <v>0.625</v>
      </c>
      <c r="G540">
        <v>40.020000000000003</v>
      </c>
    </row>
    <row r="541" spans="1:7" x14ac:dyDescent="0.25">
      <c r="A541" t="s">
        <v>367</v>
      </c>
      <c r="B541" t="str">
        <f>_xlfn.XLOOKUP(A541,[1]Municipios!$B:$B,[1]Municipios!$C:$C)</f>
        <v>Centro</v>
      </c>
      <c r="C541" t="str">
        <f>_xlfn.XLOOKUP(A541,[1]Municipios!$B:$B,[1]Municipios!$D:$D)</f>
        <v>Campos Gerais</v>
      </c>
      <c r="D541">
        <v>2025</v>
      </c>
      <c r="E541" t="s">
        <v>215</v>
      </c>
      <c r="F541">
        <v>0</v>
      </c>
      <c r="G541">
        <v>40.020000000000003</v>
      </c>
    </row>
    <row r="542" spans="1:7" x14ac:dyDescent="0.25">
      <c r="A542" t="s">
        <v>367</v>
      </c>
      <c r="B542" t="str">
        <f>_xlfn.XLOOKUP(A542,[1]Municipios!$B:$B,[1]Municipios!$C:$C)</f>
        <v>Centro</v>
      </c>
      <c r="C542" t="str">
        <f>_xlfn.XLOOKUP(A542,[1]Municipios!$B:$B,[1]Municipios!$D:$D)</f>
        <v>Campos Gerais</v>
      </c>
      <c r="D542">
        <v>2025</v>
      </c>
      <c r="E542" t="s">
        <v>234</v>
      </c>
      <c r="F542">
        <v>0.77780000000000005</v>
      </c>
      <c r="G542">
        <v>40.020000000000003</v>
      </c>
    </row>
    <row r="543" spans="1:7" x14ac:dyDescent="0.25">
      <c r="A543" t="s">
        <v>367</v>
      </c>
      <c r="B543" t="str">
        <f>_xlfn.XLOOKUP(A543,[1]Municipios!$B:$B,[1]Municipios!$C:$C)</f>
        <v>Centro</v>
      </c>
      <c r="C543" t="str">
        <f>_xlfn.XLOOKUP(A543,[1]Municipios!$B:$B,[1]Municipios!$D:$D)</f>
        <v>Campos Gerais</v>
      </c>
      <c r="D543">
        <v>2025</v>
      </c>
      <c r="E543" t="s">
        <v>235</v>
      </c>
      <c r="F543">
        <v>0.28559999999999997</v>
      </c>
      <c r="G543">
        <v>40.020000000000003</v>
      </c>
    </row>
    <row r="544" spans="1:7" x14ac:dyDescent="0.25">
      <c r="A544" t="s">
        <v>367</v>
      </c>
      <c r="B544" t="str">
        <f>_xlfn.XLOOKUP(A544,[1]Municipios!$B:$B,[1]Municipios!$C:$C)</f>
        <v>Centro</v>
      </c>
      <c r="C544" t="str">
        <f>_xlfn.XLOOKUP(A544,[1]Municipios!$B:$B,[1]Municipios!$D:$D)</f>
        <v>Campos Gerais</v>
      </c>
      <c r="D544">
        <v>2025</v>
      </c>
      <c r="E544" t="s">
        <v>236</v>
      </c>
      <c r="F544">
        <v>0.154</v>
      </c>
      <c r="G544">
        <v>40.020000000000003</v>
      </c>
    </row>
    <row r="545" spans="1:7" x14ac:dyDescent="0.25">
      <c r="A545" t="s">
        <v>367</v>
      </c>
      <c r="B545" t="str">
        <f>_xlfn.XLOOKUP(A545,[1]Municipios!$B:$B,[1]Municipios!$C:$C)</f>
        <v>Centro</v>
      </c>
      <c r="C545" t="str">
        <f>_xlfn.XLOOKUP(A545,[1]Municipios!$B:$B,[1]Municipios!$D:$D)</f>
        <v>Campos Gerais</v>
      </c>
      <c r="D545">
        <v>2025</v>
      </c>
      <c r="E545" t="s">
        <v>237</v>
      </c>
      <c r="F545">
        <v>0</v>
      </c>
      <c r="G545">
        <v>40.020000000000003</v>
      </c>
    </row>
    <row r="546" spans="1:7" x14ac:dyDescent="0.25">
      <c r="A546" t="s">
        <v>292</v>
      </c>
      <c r="B546" t="str">
        <f>_xlfn.XLOOKUP(A546,[1]Municipios!$B:$B,[1]Municipios!$C:$C)</f>
        <v>Norte</v>
      </c>
      <c r="C546" t="str">
        <f>_xlfn.XLOOKUP(A546,[1]Municipios!$B:$B,[1]Municipios!$D:$D)</f>
        <v>Norte Pioneiro</v>
      </c>
      <c r="D546">
        <v>2025</v>
      </c>
      <c r="E546" t="s">
        <v>231</v>
      </c>
      <c r="F546">
        <v>0.66669999999999996</v>
      </c>
      <c r="G546">
        <v>79.62</v>
      </c>
    </row>
    <row r="547" spans="1:7" x14ac:dyDescent="0.25">
      <c r="A547" t="s">
        <v>292</v>
      </c>
      <c r="B547" t="str">
        <f>_xlfn.XLOOKUP(A547,[1]Municipios!$B:$B,[1]Municipios!$C:$C)</f>
        <v>Norte</v>
      </c>
      <c r="C547" t="str">
        <f>_xlfn.XLOOKUP(A547,[1]Municipios!$B:$B,[1]Municipios!$D:$D)</f>
        <v>Norte Pioneiro</v>
      </c>
      <c r="D547">
        <v>2025</v>
      </c>
      <c r="E547" t="s">
        <v>232</v>
      </c>
      <c r="F547">
        <v>0.76929999999999998</v>
      </c>
      <c r="G547">
        <v>79.62</v>
      </c>
    </row>
    <row r="548" spans="1:7" x14ac:dyDescent="0.25">
      <c r="A548" t="s">
        <v>292</v>
      </c>
      <c r="B548" t="str">
        <f>_xlfn.XLOOKUP(A548,[1]Municipios!$B:$B,[1]Municipios!$C:$C)</f>
        <v>Norte</v>
      </c>
      <c r="C548" t="str">
        <f>_xlfn.XLOOKUP(A548,[1]Municipios!$B:$B,[1]Municipios!$D:$D)</f>
        <v>Norte Pioneiro</v>
      </c>
      <c r="D548">
        <v>2025</v>
      </c>
      <c r="E548" t="s">
        <v>233</v>
      </c>
      <c r="F548">
        <v>0.75</v>
      </c>
      <c r="G548">
        <v>79.62</v>
      </c>
    </row>
    <row r="549" spans="1:7" x14ac:dyDescent="0.25">
      <c r="A549" t="s">
        <v>292</v>
      </c>
      <c r="B549" t="str">
        <f>_xlfn.XLOOKUP(A549,[1]Municipios!$B:$B,[1]Municipios!$C:$C)</f>
        <v>Norte</v>
      </c>
      <c r="C549" t="str">
        <f>_xlfn.XLOOKUP(A549,[1]Municipios!$B:$B,[1]Municipios!$D:$D)</f>
        <v>Norte Pioneiro</v>
      </c>
      <c r="D549">
        <v>2025</v>
      </c>
      <c r="E549" t="s">
        <v>215</v>
      </c>
      <c r="F549">
        <v>0.9</v>
      </c>
      <c r="G549">
        <v>79.62</v>
      </c>
    </row>
    <row r="550" spans="1:7" x14ac:dyDescent="0.25">
      <c r="A550" t="s">
        <v>292</v>
      </c>
      <c r="B550" t="str">
        <f>_xlfn.XLOOKUP(A550,[1]Municipios!$B:$B,[1]Municipios!$C:$C)</f>
        <v>Norte</v>
      </c>
      <c r="C550" t="str">
        <f>_xlfn.XLOOKUP(A550,[1]Municipios!$B:$B,[1]Municipios!$D:$D)</f>
        <v>Norte Pioneiro</v>
      </c>
      <c r="D550">
        <v>2025</v>
      </c>
      <c r="E550" t="s">
        <v>234</v>
      </c>
      <c r="F550">
        <v>0.77780000000000005</v>
      </c>
      <c r="G550">
        <v>79.62</v>
      </c>
    </row>
    <row r="551" spans="1:7" x14ac:dyDescent="0.25">
      <c r="A551" t="s">
        <v>292</v>
      </c>
      <c r="B551" t="str">
        <f>_xlfn.XLOOKUP(A551,[1]Municipios!$B:$B,[1]Municipios!$C:$C)</f>
        <v>Norte</v>
      </c>
      <c r="C551" t="str">
        <f>_xlfn.XLOOKUP(A551,[1]Municipios!$B:$B,[1]Municipios!$D:$D)</f>
        <v>Norte Pioneiro</v>
      </c>
      <c r="D551">
        <v>2025</v>
      </c>
      <c r="E551" t="s">
        <v>235</v>
      </c>
      <c r="F551">
        <v>1</v>
      </c>
      <c r="G551">
        <v>79.62</v>
      </c>
    </row>
    <row r="552" spans="1:7" x14ac:dyDescent="0.25">
      <c r="A552" t="s">
        <v>292</v>
      </c>
      <c r="B552" t="str">
        <f>_xlfn.XLOOKUP(A552,[1]Municipios!$B:$B,[1]Municipios!$C:$C)</f>
        <v>Norte</v>
      </c>
      <c r="C552" t="str">
        <f>_xlfn.XLOOKUP(A552,[1]Municipios!$B:$B,[1]Municipios!$D:$D)</f>
        <v>Norte Pioneiro</v>
      </c>
      <c r="D552">
        <v>2025</v>
      </c>
      <c r="E552" t="s">
        <v>236</v>
      </c>
      <c r="F552">
        <v>0.4617</v>
      </c>
      <c r="G552">
        <v>79.62</v>
      </c>
    </row>
    <row r="553" spans="1:7" x14ac:dyDescent="0.25">
      <c r="A553" t="s">
        <v>292</v>
      </c>
      <c r="B553" t="str">
        <f>_xlfn.XLOOKUP(A553,[1]Municipios!$B:$B,[1]Municipios!$C:$C)</f>
        <v>Norte</v>
      </c>
      <c r="C553" t="str">
        <f>_xlfn.XLOOKUP(A553,[1]Municipios!$B:$B,[1]Municipios!$D:$D)</f>
        <v>Norte Pioneiro</v>
      </c>
      <c r="D553">
        <v>2025</v>
      </c>
      <c r="E553" t="s">
        <v>237</v>
      </c>
      <c r="F553">
        <v>1</v>
      </c>
      <c r="G553">
        <v>79.62</v>
      </c>
    </row>
    <row r="554" spans="1:7" x14ac:dyDescent="0.25">
      <c r="A554" t="s">
        <v>421</v>
      </c>
      <c r="B554" t="str">
        <f>_xlfn.XLOOKUP(A554,[1]Municipios!$B:$B,[1]Municipios!$C:$C)</f>
        <v>Oeste</v>
      </c>
      <c r="C554" t="str">
        <f>_xlfn.XLOOKUP(A554,[1]Municipios!$B:$B,[1]Municipios!$D:$D)</f>
        <v>Oeste Integrado</v>
      </c>
      <c r="D554">
        <v>2025</v>
      </c>
      <c r="E554" t="s">
        <v>231</v>
      </c>
      <c r="F554">
        <v>0.77779999999999994</v>
      </c>
      <c r="G554">
        <v>94.93</v>
      </c>
    </row>
    <row r="555" spans="1:7" x14ac:dyDescent="0.25">
      <c r="A555" t="s">
        <v>421</v>
      </c>
      <c r="B555" t="str">
        <f>_xlfn.XLOOKUP(A555,[1]Municipios!$B:$B,[1]Municipios!$C:$C)</f>
        <v>Oeste</v>
      </c>
      <c r="C555" t="str">
        <f>_xlfn.XLOOKUP(A555,[1]Municipios!$B:$B,[1]Municipios!$D:$D)</f>
        <v>Oeste Integrado</v>
      </c>
      <c r="D555">
        <v>2025</v>
      </c>
      <c r="E555" t="s">
        <v>232</v>
      </c>
      <c r="F555">
        <v>1</v>
      </c>
      <c r="G555">
        <v>94.93</v>
      </c>
    </row>
    <row r="556" spans="1:7" x14ac:dyDescent="0.25">
      <c r="A556" t="s">
        <v>421</v>
      </c>
      <c r="B556" t="str">
        <f>_xlfn.XLOOKUP(A556,[1]Municipios!$B:$B,[1]Municipios!$C:$C)</f>
        <v>Oeste</v>
      </c>
      <c r="C556" t="str">
        <f>_xlfn.XLOOKUP(A556,[1]Municipios!$B:$B,[1]Municipios!$D:$D)</f>
        <v>Oeste Integrado</v>
      </c>
      <c r="D556">
        <v>2025</v>
      </c>
      <c r="E556" t="s">
        <v>233</v>
      </c>
      <c r="F556">
        <v>1</v>
      </c>
      <c r="G556">
        <v>94.93</v>
      </c>
    </row>
    <row r="557" spans="1:7" x14ac:dyDescent="0.25">
      <c r="A557" t="s">
        <v>421</v>
      </c>
      <c r="B557" t="str">
        <f>_xlfn.XLOOKUP(A557,[1]Municipios!$B:$B,[1]Municipios!$C:$C)</f>
        <v>Oeste</v>
      </c>
      <c r="C557" t="str">
        <f>_xlfn.XLOOKUP(A557,[1]Municipios!$B:$B,[1]Municipios!$D:$D)</f>
        <v>Oeste Integrado</v>
      </c>
      <c r="D557">
        <v>2025</v>
      </c>
      <c r="E557" t="s">
        <v>215</v>
      </c>
      <c r="F557">
        <v>0.79999999999999993</v>
      </c>
      <c r="G557">
        <v>94.93</v>
      </c>
    </row>
    <row r="558" spans="1:7" x14ac:dyDescent="0.25">
      <c r="A558" t="s">
        <v>421</v>
      </c>
      <c r="B558" t="str">
        <f>_xlfn.XLOOKUP(A558,[1]Municipios!$B:$B,[1]Municipios!$C:$C)</f>
        <v>Oeste</v>
      </c>
      <c r="C558" t="str">
        <f>_xlfn.XLOOKUP(A558,[1]Municipios!$B:$B,[1]Municipios!$D:$D)</f>
        <v>Oeste Integrado</v>
      </c>
      <c r="D558">
        <v>2025</v>
      </c>
      <c r="E558" t="s">
        <v>234</v>
      </c>
      <c r="F558">
        <v>1</v>
      </c>
      <c r="G558">
        <v>94.93</v>
      </c>
    </row>
    <row r="559" spans="1:7" x14ac:dyDescent="0.25">
      <c r="A559" t="s">
        <v>421</v>
      </c>
      <c r="B559" t="str">
        <f>_xlfn.XLOOKUP(A559,[1]Municipios!$B:$B,[1]Municipios!$C:$C)</f>
        <v>Oeste</v>
      </c>
      <c r="C559" t="str">
        <f>_xlfn.XLOOKUP(A559,[1]Municipios!$B:$B,[1]Municipios!$D:$D)</f>
        <v>Oeste Integrado</v>
      </c>
      <c r="D559">
        <v>2025</v>
      </c>
      <c r="E559" t="s">
        <v>235</v>
      </c>
      <c r="F559">
        <v>1</v>
      </c>
      <c r="G559">
        <v>94.93</v>
      </c>
    </row>
    <row r="560" spans="1:7" x14ac:dyDescent="0.25">
      <c r="A560" t="s">
        <v>421</v>
      </c>
      <c r="B560" t="str">
        <f>_xlfn.XLOOKUP(A560,[1]Municipios!$B:$B,[1]Municipios!$C:$C)</f>
        <v>Oeste</v>
      </c>
      <c r="C560" t="str">
        <f>_xlfn.XLOOKUP(A560,[1]Municipios!$B:$B,[1]Municipios!$D:$D)</f>
        <v>Oeste Integrado</v>
      </c>
      <c r="D560">
        <v>2025</v>
      </c>
      <c r="E560" t="s">
        <v>236</v>
      </c>
      <c r="F560">
        <v>1</v>
      </c>
      <c r="G560">
        <v>94.93</v>
      </c>
    </row>
    <row r="561" spans="1:7" x14ac:dyDescent="0.25">
      <c r="A561" t="s">
        <v>421</v>
      </c>
      <c r="B561" t="str">
        <f>_xlfn.XLOOKUP(A561,[1]Municipios!$B:$B,[1]Municipios!$C:$C)</f>
        <v>Oeste</v>
      </c>
      <c r="C561" t="str">
        <f>_xlfn.XLOOKUP(A561,[1]Municipios!$B:$B,[1]Municipios!$D:$D)</f>
        <v>Oeste Integrado</v>
      </c>
      <c r="D561">
        <v>2025</v>
      </c>
      <c r="E561" t="s">
        <v>237</v>
      </c>
      <c r="F561">
        <v>1</v>
      </c>
      <c r="G561">
        <v>94.93</v>
      </c>
    </row>
    <row r="562" spans="1:7" x14ac:dyDescent="0.25">
      <c r="A562" t="s">
        <v>368</v>
      </c>
      <c r="B562" t="str">
        <f>_xlfn.XLOOKUP(A562,[1]Municipios!$B:$B,[1]Municipios!$C:$C)</f>
        <v>Centro</v>
      </c>
      <c r="C562" t="str">
        <f>_xlfn.XLOOKUP(A562,[1]Municipios!$B:$B,[1]Municipios!$D:$D)</f>
        <v>Campos Gerais</v>
      </c>
      <c r="D562">
        <v>2025</v>
      </c>
      <c r="E562" t="s">
        <v>231</v>
      </c>
      <c r="F562">
        <v>0.55559999999999998</v>
      </c>
      <c r="G562">
        <v>81.010000000000005</v>
      </c>
    </row>
    <row r="563" spans="1:7" x14ac:dyDescent="0.25">
      <c r="A563" t="s">
        <v>368</v>
      </c>
      <c r="B563" t="str">
        <f>_xlfn.XLOOKUP(A563,[1]Municipios!$B:$B,[1]Municipios!$C:$C)</f>
        <v>Centro</v>
      </c>
      <c r="C563" t="str">
        <f>_xlfn.XLOOKUP(A563,[1]Municipios!$B:$B,[1]Municipios!$D:$D)</f>
        <v>Campos Gerais</v>
      </c>
      <c r="D563">
        <v>2025</v>
      </c>
      <c r="E563" t="s">
        <v>232</v>
      </c>
      <c r="F563">
        <v>1</v>
      </c>
      <c r="G563">
        <v>81.010000000000005</v>
      </c>
    </row>
    <row r="564" spans="1:7" x14ac:dyDescent="0.25">
      <c r="A564" t="s">
        <v>368</v>
      </c>
      <c r="B564" t="str">
        <f>_xlfn.XLOOKUP(A564,[1]Municipios!$B:$B,[1]Municipios!$C:$C)</f>
        <v>Centro</v>
      </c>
      <c r="C564" t="str">
        <f>_xlfn.XLOOKUP(A564,[1]Municipios!$B:$B,[1]Municipios!$D:$D)</f>
        <v>Campos Gerais</v>
      </c>
      <c r="D564">
        <v>2025</v>
      </c>
      <c r="E564" t="s">
        <v>233</v>
      </c>
      <c r="F564">
        <v>0.75</v>
      </c>
      <c r="G564">
        <v>81.010000000000005</v>
      </c>
    </row>
    <row r="565" spans="1:7" x14ac:dyDescent="0.25">
      <c r="A565" t="s">
        <v>368</v>
      </c>
      <c r="B565" t="str">
        <f>_xlfn.XLOOKUP(A565,[1]Municipios!$B:$B,[1]Municipios!$C:$C)</f>
        <v>Centro</v>
      </c>
      <c r="C565" t="str">
        <f>_xlfn.XLOOKUP(A565,[1]Municipios!$B:$B,[1]Municipios!$D:$D)</f>
        <v>Campos Gerais</v>
      </c>
      <c r="D565">
        <v>2025</v>
      </c>
      <c r="E565" t="s">
        <v>215</v>
      </c>
      <c r="F565">
        <v>0.9</v>
      </c>
      <c r="G565">
        <v>81.010000000000005</v>
      </c>
    </row>
    <row r="566" spans="1:7" x14ac:dyDescent="0.25">
      <c r="A566" t="s">
        <v>368</v>
      </c>
      <c r="B566" t="str">
        <f>_xlfn.XLOOKUP(A566,[1]Municipios!$B:$B,[1]Municipios!$C:$C)</f>
        <v>Centro</v>
      </c>
      <c r="C566" t="str">
        <f>_xlfn.XLOOKUP(A566,[1]Municipios!$B:$B,[1]Municipios!$D:$D)</f>
        <v>Campos Gerais</v>
      </c>
      <c r="D566">
        <v>2025</v>
      </c>
      <c r="E566" t="s">
        <v>234</v>
      </c>
      <c r="F566">
        <v>0.66669999999999996</v>
      </c>
      <c r="G566">
        <v>81.010000000000005</v>
      </c>
    </row>
    <row r="567" spans="1:7" x14ac:dyDescent="0.25">
      <c r="A567" t="s">
        <v>368</v>
      </c>
      <c r="B567" t="str">
        <f>_xlfn.XLOOKUP(A567,[1]Municipios!$B:$B,[1]Municipios!$C:$C)</f>
        <v>Centro</v>
      </c>
      <c r="C567" t="str">
        <f>_xlfn.XLOOKUP(A567,[1]Municipios!$B:$B,[1]Municipios!$D:$D)</f>
        <v>Campos Gerais</v>
      </c>
      <c r="D567">
        <v>2025</v>
      </c>
      <c r="E567" t="s">
        <v>235</v>
      </c>
      <c r="F567">
        <v>1</v>
      </c>
      <c r="G567">
        <v>81.010000000000005</v>
      </c>
    </row>
    <row r="568" spans="1:7" x14ac:dyDescent="0.25">
      <c r="A568" t="s">
        <v>368</v>
      </c>
      <c r="B568" t="str">
        <f>_xlfn.XLOOKUP(A568,[1]Municipios!$B:$B,[1]Municipios!$C:$C)</f>
        <v>Centro</v>
      </c>
      <c r="C568" t="str">
        <f>_xlfn.XLOOKUP(A568,[1]Municipios!$B:$B,[1]Municipios!$D:$D)</f>
        <v>Campos Gerais</v>
      </c>
      <c r="D568">
        <v>2025</v>
      </c>
      <c r="E568" t="s">
        <v>236</v>
      </c>
      <c r="F568">
        <v>0.53849999999999987</v>
      </c>
      <c r="G568">
        <v>81.010000000000005</v>
      </c>
    </row>
    <row r="569" spans="1:7" x14ac:dyDescent="0.25">
      <c r="A569" t="s">
        <v>368</v>
      </c>
      <c r="B569" t="str">
        <f>_xlfn.XLOOKUP(A569,[1]Municipios!$B:$B,[1]Municipios!$C:$C)</f>
        <v>Centro</v>
      </c>
      <c r="C569" t="str">
        <f>_xlfn.XLOOKUP(A569,[1]Municipios!$B:$B,[1]Municipios!$D:$D)</f>
        <v>Campos Gerais</v>
      </c>
      <c r="D569">
        <v>2025</v>
      </c>
      <c r="E569" t="s">
        <v>237</v>
      </c>
      <c r="F569">
        <v>1</v>
      </c>
      <c r="G569">
        <v>81.010000000000005</v>
      </c>
    </row>
    <row r="570" spans="1:7" x14ac:dyDescent="0.25">
      <c r="A570" t="s">
        <v>437</v>
      </c>
      <c r="B570" t="str">
        <f>_xlfn.XLOOKUP(A570,[1]Municipios!$B:$B,[1]Municipios!$C:$C)</f>
        <v>Oeste</v>
      </c>
      <c r="C570" t="str">
        <f>_xlfn.XLOOKUP(A570,[1]Municipios!$B:$B,[1]Municipios!$D:$D)</f>
        <v>Cantuquiriguaçu</v>
      </c>
      <c r="D570">
        <v>2025</v>
      </c>
      <c r="E570" t="s">
        <v>231</v>
      </c>
      <c r="F570">
        <v>0.55559999999999998</v>
      </c>
      <c r="G570">
        <v>45.87</v>
      </c>
    </row>
    <row r="571" spans="1:7" x14ac:dyDescent="0.25">
      <c r="A571" t="s">
        <v>437</v>
      </c>
      <c r="B571" t="str">
        <f>_xlfn.XLOOKUP(A571,[1]Municipios!$B:$B,[1]Municipios!$C:$C)</f>
        <v>Oeste</v>
      </c>
      <c r="C571" t="str">
        <f>_xlfn.XLOOKUP(A571,[1]Municipios!$B:$B,[1]Municipios!$D:$D)</f>
        <v>Cantuquiriguaçu</v>
      </c>
      <c r="D571">
        <v>2025</v>
      </c>
      <c r="E571" t="s">
        <v>232</v>
      </c>
      <c r="F571">
        <v>0.76919999999999999</v>
      </c>
      <c r="G571">
        <v>45.87</v>
      </c>
    </row>
    <row r="572" spans="1:7" x14ac:dyDescent="0.25">
      <c r="A572" t="s">
        <v>437</v>
      </c>
      <c r="B572" t="str">
        <f>_xlfn.XLOOKUP(A572,[1]Municipios!$B:$B,[1]Municipios!$C:$C)</f>
        <v>Oeste</v>
      </c>
      <c r="C572" t="str">
        <f>_xlfn.XLOOKUP(A572,[1]Municipios!$B:$B,[1]Municipios!$D:$D)</f>
        <v>Cantuquiriguaçu</v>
      </c>
      <c r="D572">
        <v>2025</v>
      </c>
      <c r="E572" t="s">
        <v>233</v>
      </c>
      <c r="F572">
        <v>0.5</v>
      </c>
      <c r="G572">
        <v>45.87</v>
      </c>
    </row>
    <row r="573" spans="1:7" x14ac:dyDescent="0.25">
      <c r="A573" t="s">
        <v>437</v>
      </c>
      <c r="B573" t="str">
        <f>_xlfn.XLOOKUP(A573,[1]Municipios!$B:$B,[1]Municipios!$C:$C)</f>
        <v>Oeste</v>
      </c>
      <c r="C573" t="str">
        <f>_xlfn.XLOOKUP(A573,[1]Municipios!$B:$B,[1]Municipios!$D:$D)</f>
        <v>Cantuquiriguaçu</v>
      </c>
      <c r="D573">
        <v>2025</v>
      </c>
      <c r="E573" t="s">
        <v>215</v>
      </c>
      <c r="F573">
        <v>0</v>
      </c>
      <c r="G573">
        <v>45.87</v>
      </c>
    </row>
    <row r="574" spans="1:7" x14ac:dyDescent="0.25">
      <c r="A574" t="s">
        <v>437</v>
      </c>
      <c r="B574" t="str">
        <f>_xlfn.XLOOKUP(A574,[1]Municipios!$B:$B,[1]Municipios!$C:$C)</f>
        <v>Oeste</v>
      </c>
      <c r="C574" t="str">
        <f>_xlfn.XLOOKUP(A574,[1]Municipios!$B:$B,[1]Municipios!$D:$D)</f>
        <v>Cantuquiriguaçu</v>
      </c>
      <c r="D574">
        <v>2025</v>
      </c>
      <c r="E574" t="s">
        <v>234</v>
      </c>
      <c r="F574">
        <v>0.44440000000000002</v>
      </c>
      <c r="G574">
        <v>45.87</v>
      </c>
    </row>
    <row r="575" spans="1:7" x14ac:dyDescent="0.25">
      <c r="A575" t="s">
        <v>437</v>
      </c>
      <c r="B575" t="str">
        <f>_xlfn.XLOOKUP(A575,[1]Municipios!$B:$B,[1]Municipios!$C:$C)</f>
        <v>Oeste</v>
      </c>
      <c r="C575" t="str">
        <f>_xlfn.XLOOKUP(A575,[1]Municipios!$B:$B,[1]Municipios!$D:$D)</f>
        <v>Cantuquiriguaçu</v>
      </c>
      <c r="D575">
        <v>2025</v>
      </c>
      <c r="E575" t="s">
        <v>235</v>
      </c>
      <c r="F575">
        <v>0.57140000000000002</v>
      </c>
      <c r="G575">
        <v>45.87</v>
      </c>
    </row>
    <row r="576" spans="1:7" x14ac:dyDescent="0.25">
      <c r="A576" t="s">
        <v>437</v>
      </c>
      <c r="B576" t="str">
        <f>_xlfn.XLOOKUP(A576,[1]Municipios!$B:$B,[1]Municipios!$C:$C)</f>
        <v>Oeste</v>
      </c>
      <c r="C576" t="str">
        <f>_xlfn.XLOOKUP(A576,[1]Municipios!$B:$B,[1]Municipios!$D:$D)</f>
        <v>Cantuquiriguaçu</v>
      </c>
      <c r="D576">
        <v>2025</v>
      </c>
      <c r="E576" t="s">
        <v>236</v>
      </c>
      <c r="F576">
        <v>0.23080000000000001</v>
      </c>
      <c r="G576">
        <v>45.87</v>
      </c>
    </row>
    <row r="577" spans="1:7" x14ac:dyDescent="0.25">
      <c r="A577" t="s">
        <v>437</v>
      </c>
      <c r="B577" t="str">
        <f>_xlfn.XLOOKUP(A577,[1]Municipios!$B:$B,[1]Municipios!$C:$C)</f>
        <v>Oeste</v>
      </c>
      <c r="C577" t="str">
        <f>_xlfn.XLOOKUP(A577,[1]Municipios!$B:$B,[1]Municipios!$D:$D)</f>
        <v>Cantuquiriguaçu</v>
      </c>
      <c r="D577">
        <v>2025</v>
      </c>
      <c r="E577" t="s">
        <v>237</v>
      </c>
      <c r="F577">
        <v>0.5</v>
      </c>
      <c r="G577">
        <v>45.87</v>
      </c>
    </row>
    <row r="578" spans="1:7" x14ac:dyDescent="0.25">
      <c r="A578" t="s">
        <v>385</v>
      </c>
      <c r="B578" t="str">
        <f>_xlfn.XLOOKUP(A578,[1]Municipios!$B:$B,[1]Municipios!$C:$C)</f>
        <v>Norte</v>
      </c>
      <c r="C578" t="str">
        <f>_xlfn.XLOOKUP(A578,[1]Municipios!$B:$B,[1]Municipios!$D:$D)</f>
        <v>Vale do Paranapanema</v>
      </c>
      <c r="D578">
        <v>2025</v>
      </c>
      <c r="E578" t="s">
        <v>231</v>
      </c>
      <c r="F578">
        <v>0.66659999999999997</v>
      </c>
      <c r="G578">
        <v>56.36</v>
      </c>
    </row>
    <row r="579" spans="1:7" x14ac:dyDescent="0.25">
      <c r="A579" t="s">
        <v>385</v>
      </c>
      <c r="B579" t="str">
        <f>_xlfn.XLOOKUP(A579,[1]Municipios!$B:$B,[1]Municipios!$C:$C)</f>
        <v>Norte</v>
      </c>
      <c r="C579" t="str">
        <f>_xlfn.XLOOKUP(A579,[1]Municipios!$B:$B,[1]Municipios!$D:$D)</f>
        <v>Vale do Paranapanema</v>
      </c>
      <c r="D579">
        <v>2025</v>
      </c>
      <c r="E579" t="s">
        <v>232</v>
      </c>
      <c r="F579">
        <v>0.76919999999999999</v>
      </c>
      <c r="G579">
        <v>56.36</v>
      </c>
    </row>
    <row r="580" spans="1:7" x14ac:dyDescent="0.25">
      <c r="A580" t="s">
        <v>385</v>
      </c>
      <c r="B580" t="str">
        <f>_xlfn.XLOOKUP(A580,[1]Municipios!$B:$B,[1]Municipios!$C:$C)</f>
        <v>Norte</v>
      </c>
      <c r="C580" t="str">
        <f>_xlfn.XLOOKUP(A580,[1]Municipios!$B:$B,[1]Municipios!$D:$D)</f>
        <v>Vale do Paranapanema</v>
      </c>
      <c r="D580">
        <v>2025</v>
      </c>
      <c r="E580" t="s">
        <v>233</v>
      </c>
      <c r="F580">
        <v>0.875</v>
      </c>
      <c r="G580">
        <v>56.36</v>
      </c>
    </row>
    <row r="581" spans="1:7" x14ac:dyDescent="0.25">
      <c r="A581" t="s">
        <v>385</v>
      </c>
      <c r="B581" t="str">
        <f>_xlfn.XLOOKUP(A581,[1]Municipios!$B:$B,[1]Municipios!$C:$C)</f>
        <v>Norte</v>
      </c>
      <c r="C581" t="str">
        <f>_xlfn.XLOOKUP(A581,[1]Municipios!$B:$B,[1]Municipios!$D:$D)</f>
        <v>Vale do Paranapanema</v>
      </c>
      <c r="D581">
        <v>2025</v>
      </c>
      <c r="E581" t="s">
        <v>215</v>
      </c>
      <c r="F581">
        <v>0.39999999999999997</v>
      </c>
      <c r="G581">
        <v>56.36</v>
      </c>
    </row>
    <row r="582" spans="1:7" x14ac:dyDescent="0.25">
      <c r="A582" t="s">
        <v>385</v>
      </c>
      <c r="B582" t="str">
        <f>_xlfn.XLOOKUP(A582,[1]Municipios!$B:$B,[1]Municipios!$C:$C)</f>
        <v>Norte</v>
      </c>
      <c r="C582" t="str">
        <f>_xlfn.XLOOKUP(A582,[1]Municipios!$B:$B,[1]Municipios!$D:$D)</f>
        <v>Vale do Paranapanema</v>
      </c>
      <c r="D582">
        <v>2025</v>
      </c>
      <c r="E582" t="s">
        <v>234</v>
      </c>
      <c r="F582">
        <v>0.55549999999999999</v>
      </c>
      <c r="G582">
        <v>56.36</v>
      </c>
    </row>
    <row r="583" spans="1:7" x14ac:dyDescent="0.25">
      <c r="A583" t="s">
        <v>385</v>
      </c>
      <c r="B583" t="str">
        <f>_xlfn.XLOOKUP(A583,[1]Municipios!$B:$B,[1]Municipios!$C:$C)</f>
        <v>Norte</v>
      </c>
      <c r="C583" t="str">
        <f>_xlfn.XLOOKUP(A583,[1]Municipios!$B:$B,[1]Municipios!$D:$D)</f>
        <v>Vale do Paranapanema</v>
      </c>
      <c r="D583">
        <v>2025</v>
      </c>
      <c r="E583" t="s">
        <v>235</v>
      </c>
      <c r="F583">
        <v>0.42869999999999997</v>
      </c>
      <c r="G583">
        <v>56.36</v>
      </c>
    </row>
    <row r="584" spans="1:7" x14ac:dyDescent="0.25">
      <c r="A584" t="s">
        <v>385</v>
      </c>
      <c r="B584" t="str">
        <f>_xlfn.XLOOKUP(A584,[1]Municipios!$B:$B,[1]Municipios!$C:$C)</f>
        <v>Norte</v>
      </c>
      <c r="C584" t="str">
        <f>_xlfn.XLOOKUP(A584,[1]Municipios!$B:$B,[1]Municipios!$D:$D)</f>
        <v>Vale do Paranapanema</v>
      </c>
      <c r="D584">
        <v>2025</v>
      </c>
      <c r="E584" t="s">
        <v>236</v>
      </c>
      <c r="F584">
        <v>0</v>
      </c>
      <c r="G584">
        <v>56.36</v>
      </c>
    </row>
    <row r="585" spans="1:7" x14ac:dyDescent="0.25">
      <c r="A585" t="s">
        <v>385</v>
      </c>
      <c r="B585" t="str">
        <f>_xlfn.XLOOKUP(A585,[1]Municipios!$B:$B,[1]Municipios!$C:$C)</f>
        <v>Norte</v>
      </c>
      <c r="C585" t="str">
        <f>_xlfn.XLOOKUP(A585,[1]Municipios!$B:$B,[1]Municipios!$D:$D)</f>
        <v>Vale do Paranapanema</v>
      </c>
      <c r="D585">
        <v>2025</v>
      </c>
      <c r="E585" t="s">
        <v>237</v>
      </c>
      <c r="F585">
        <v>1</v>
      </c>
      <c r="G585">
        <v>56.36</v>
      </c>
    </row>
    <row r="586" spans="1:7" x14ac:dyDescent="0.25">
      <c r="A586" t="s">
        <v>500</v>
      </c>
      <c r="B586" t="str">
        <f>_xlfn.XLOOKUP(A586,[1]Municipios!$B:$B,[1]Municipios!$C:$C)</f>
        <v>Leste</v>
      </c>
      <c r="C586" t="str">
        <f>_xlfn.XLOOKUP(A586,[1]Municipios!$B:$B,[1]Municipios!$D:$D)</f>
        <v>Vale Do Ribeira</v>
      </c>
      <c r="D586">
        <v>2025</v>
      </c>
      <c r="E586" t="s">
        <v>231</v>
      </c>
      <c r="F586">
        <v>0.22</v>
      </c>
      <c r="G586">
        <v>31.07</v>
      </c>
    </row>
    <row r="587" spans="1:7" x14ac:dyDescent="0.25">
      <c r="A587" t="s">
        <v>500</v>
      </c>
      <c r="B587" t="str">
        <f>_xlfn.XLOOKUP(A587,[1]Municipios!$B:$B,[1]Municipios!$C:$C)</f>
        <v>Leste</v>
      </c>
      <c r="C587" t="str">
        <f>_xlfn.XLOOKUP(A587,[1]Municipios!$B:$B,[1]Municipios!$D:$D)</f>
        <v>Vale Do Ribeira</v>
      </c>
      <c r="D587">
        <v>2025</v>
      </c>
      <c r="E587" t="s">
        <v>232</v>
      </c>
      <c r="F587">
        <v>0.38</v>
      </c>
      <c r="G587">
        <v>31.07</v>
      </c>
    </row>
    <row r="588" spans="1:7" x14ac:dyDescent="0.25">
      <c r="A588" t="s">
        <v>500</v>
      </c>
      <c r="B588" t="str">
        <f>_xlfn.XLOOKUP(A588,[1]Municipios!$B:$B,[1]Municipios!$C:$C)</f>
        <v>Leste</v>
      </c>
      <c r="C588" t="str">
        <f>_xlfn.XLOOKUP(A588,[1]Municipios!$B:$B,[1]Municipios!$D:$D)</f>
        <v>Vale Do Ribeira</v>
      </c>
      <c r="D588">
        <v>2025</v>
      </c>
      <c r="E588" t="s">
        <v>233</v>
      </c>
      <c r="F588">
        <v>0.62</v>
      </c>
      <c r="G588">
        <v>31.07</v>
      </c>
    </row>
    <row r="589" spans="1:7" x14ac:dyDescent="0.25">
      <c r="A589" t="s">
        <v>500</v>
      </c>
      <c r="B589" t="str">
        <f>_xlfn.XLOOKUP(A589,[1]Municipios!$B:$B,[1]Municipios!$C:$C)</f>
        <v>Leste</v>
      </c>
      <c r="C589" t="str">
        <f>_xlfn.XLOOKUP(A589,[1]Municipios!$B:$B,[1]Municipios!$D:$D)</f>
        <v>Vale Do Ribeira</v>
      </c>
      <c r="D589">
        <v>2025</v>
      </c>
      <c r="E589" t="s">
        <v>215</v>
      </c>
      <c r="F589">
        <v>0.25</v>
      </c>
      <c r="G589">
        <v>31.07</v>
      </c>
    </row>
    <row r="590" spans="1:7" x14ac:dyDescent="0.25">
      <c r="A590" t="s">
        <v>500</v>
      </c>
      <c r="B590" t="str">
        <f>_xlfn.XLOOKUP(A590,[1]Municipios!$B:$B,[1]Municipios!$C:$C)</f>
        <v>Leste</v>
      </c>
      <c r="C590" t="str">
        <f>_xlfn.XLOOKUP(A590,[1]Municipios!$B:$B,[1]Municipios!$D:$D)</f>
        <v>Vale Do Ribeira</v>
      </c>
      <c r="D590">
        <v>2025</v>
      </c>
      <c r="E590" t="s">
        <v>234</v>
      </c>
      <c r="F590">
        <v>0.44</v>
      </c>
      <c r="G590">
        <v>31.07</v>
      </c>
    </row>
    <row r="591" spans="1:7" x14ac:dyDescent="0.25">
      <c r="A591" t="s">
        <v>500</v>
      </c>
      <c r="B591" t="str">
        <f>_xlfn.XLOOKUP(A591,[1]Municipios!$B:$B,[1]Municipios!$C:$C)</f>
        <v>Leste</v>
      </c>
      <c r="C591" t="str">
        <f>_xlfn.XLOOKUP(A591,[1]Municipios!$B:$B,[1]Municipios!$D:$D)</f>
        <v>Vale Do Ribeira</v>
      </c>
      <c r="D591">
        <v>2025</v>
      </c>
      <c r="E591" t="s">
        <v>235</v>
      </c>
      <c r="F591">
        <v>0.14000000000000001</v>
      </c>
      <c r="G591">
        <v>31.07</v>
      </c>
    </row>
    <row r="592" spans="1:7" x14ac:dyDescent="0.25">
      <c r="A592" t="s">
        <v>500</v>
      </c>
      <c r="B592" t="str">
        <f>_xlfn.XLOOKUP(A592,[1]Municipios!$B:$B,[1]Municipios!$C:$C)</f>
        <v>Leste</v>
      </c>
      <c r="C592" t="str">
        <f>_xlfn.XLOOKUP(A592,[1]Municipios!$B:$B,[1]Municipios!$D:$D)</f>
        <v>Vale Do Ribeira</v>
      </c>
      <c r="D592">
        <v>2025</v>
      </c>
      <c r="E592" t="s">
        <v>236</v>
      </c>
      <c r="F592">
        <v>0.08</v>
      </c>
      <c r="G592">
        <v>31.07</v>
      </c>
    </row>
    <row r="593" spans="1:7" x14ac:dyDescent="0.25">
      <c r="A593" t="s">
        <v>500</v>
      </c>
      <c r="B593" t="str">
        <f>_xlfn.XLOOKUP(A593,[1]Municipios!$B:$B,[1]Municipios!$C:$C)</f>
        <v>Leste</v>
      </c>
      <c r="C593" t="str">
        <f>_xlfn.XLOOKUP(A593,[1]Municipios!$B:$B,[1]Municipios!$D:$D)</f>
        <v>Vale Do Ribeira</v>
      </c>
      <c r="D593">
        <v>2025</v>
      </c>
      <c r="E593" t="s">
        <v>237</v>
      </c>
      <c r="F593">
        <v>0.5</v>
      </c>
      <c r="G593">
        <v>31.07</v>
      </c>
    </row>
    <row r="594" spans="1:7" x14ac:dyDescent="0.25">
      <c r="A594" t="s">
        <v>422</v>
      </c>
      <c r="B594" t="str">
        <f>_xlfn.XLOOKUP(A594,[1]Municipios!$B:$B,[1]Municipios!$C:$C)</f>
        <v>Oeste</v>
      </c>
      <c r="C594" t="str">
        <f>_xlfn.XLOOKUP(A594,[1]Municipios!$B:$B,[1]Municipios!$D:$D)</f>
        <v>Oeste Integrado</v>
      </c>
      <c r="D594">
        <v>2025</v>
      </c>
      <c r="E594" t="s">
        <v>231</v>
      </c>
      <c r="F594">
        <v>0.77779999999999994</v>
      </c>
      <c r="G594">
        <v>78.48</v>
      </c>
    </row>
    <row r="595" spans="1:7" x14ac:dyDescent="0.25">
      <c r="A595" t="s">
        <v>422</v>
      </c>
      <c r="B595" t="str">
        <f>_xlfn.XLOOKUP(A595,[1]Municipios!$B:$B,[1]Municipios!$C:$C)</f>
        <v>Oeste</v>
      </c>
      <c r="C595" t="str">
        <f>_xlfn.XLOOKUP(A595,[1]Municipios!$B:$B,[1]Municipios!$D:$D)</f>
        <v>Oeste Integrado</v>
      </c>
      <c r="D595">
        <v>2025</v>
      </c>
      <c r="E595" t="s">
        <v>232</v>
      </c>
      <c r="F595">
        <v>0.92310000000000003</v>
      </c>
      <c r="G595">
        <v>78.48</v>
      </c>
    </row>
    <row r="596" spans="1:7" x14ac:dyDescent="0.25">
      <c r="A596" t="s">
        <v>422</v>
      </c>
      <c r="B596" t="str">
        <f>_xlfn.XLOOKUP(A596,[1]Municipios!$B:$B,[1]Municipios!$C:$C)</f>
        <v>Oeste</v>
      </c>
      <c r="C596" t="str">
        <f>_xlfn.XLOOKUP(A596,[1]Municipios!$B:$B,[1]Municipios!$D:$D)</f>
        <v>Oeste Integrado</v>
      </c>
      <c r="D596">
        <v>2025</v>
      </c>
      <c r="E596" t="s">
        <v>233</v>
      </c>
      <c r="F596">
        <v>0.75</v>
      </c>
      <c r="G596">
        <v>78.48</v>
      </c>
    </row>
    <row r="597" spans="1:7" x14ac:dyDescent="0.25">
      <c r="A597" t="s">
        <v>422</v>
      </c>
      <c r="B597" t="str">
        <f>_xlfn.XLOOKUP(A597,[1]Municipios!$B:$B,[1]Municipios!$C:$C)</f>
        <v>Oeste</v>
      </c>
      <c r="C597" t="str">
        <f>_xlfn.XLOOKUP(A597,[1]Municipios!$B:$B,[1]Municipios!$D:$D)</f>
        <v>Oeste Integrado</v>
      </c>
      <c r="D597">
        <v>2025</v>
      </c>
      <c r="E597" t="s">
        <v>215</v>
      </c>
      <c r="F597">
        <v>0.79999999999999993</v>
      </c>
      <c r="G597">
        <v>78.48</v>
      </c>
    </row>
    <row r="598" spans="1:7" x14ac:dyDescent="0.25">
      <c r="A598" t="s">
        <v>422</v>
      </c>
      <c r="B598" t="str">
        <f>_xlfn.XLOOKUP(A598,[1]Municipios!$B:$B,[1]Municipios!$C:$C)</f>
        <v>Oeste</v>
      </c>
      <c r="C598" t="str">
        <f>_xlfn.XLOOKUP(A598,[1]Municipios!$B:$B,[1]Municipios!$D:$D)</f>
        <v>Oeste Integrado</v>
      </c>
      <c r="D598">
        <v>2025</v>
      </c>
      <c r="E598" t="s">
        <v>234</v>
      </c>
      <c r="F598">
        <v>0.66659999999999997</v>
      </c>
      <c r="G598">
        <v>78.48</v>
      </c>
    </row>
    <row r="599" spans="1:7" x14ac:dyDescent="0.25">
      <c r="A599" t="s">
        <v>422</v>
      </c>
      <c r="B599" t="str">
        <f>_xlfn.XLOOKUP(A599,[1]Municipios!$B:$B,[1]Municipios!$C:$C)</f>
        <v>Oeste</v>
      </c>
      <c r="C599" t="str">
        <f>_xlfn.XLOOKUP(A599,[1]Municipios!$B:$B,[1]Municipios!$D:$D)</f>
        <v>Oeste Integrado</v>
      </c>
      <c r="D599">
        <v>2025</v>
      </c>
      <c r="E599" t="s">
        <v>235</v>
      </c>
      <c r="F599">
        <v>1</v>
      </c>
      <c r="G599">
        <v>78.48</v>
      </c>
    </row>
    <row r="600" spans="1:7" x14ac:dyDescent="0.25">
      <c r="A600" t="s">
        <v>422</v>
      </c>
      <c r="B600" t="str">
        <f>_xlfn.XLOOKUP(A600,[1]Municipios!$B:$B,[1]Municipios!$C:$C)</f>
        <v>Oeste</v>
      </c>
      <c r="C600" t="str">
        <f>_xlfn.XLOOKUP(A600,[1]Municipios!$B:$B,[1]Municipios!$D:$D)</f>
        <v>Oeste Integrado</v>
      </c>
      <c r="D600">
        <v>2025</v>
      </c>
      <c r="E600" t="s">
        <v>236</v>
      </c>
      <c r="F600">
        <v>0.30770000000000003</v>
      </c>
      <c r="G600">
        <v>78.48</v>
      </c>
    </row>
    <row r="601" spans="1:7" x14ac:dyDescent="0.25">
      <c r="A601" t="s">
        <v>422</v>
      </c>
      <c r="B601" t="str">
        <f>_xlfn.XLOOKUP(A601,[1]Municipios!$B:$B,[1]Municipios!$C:$C)</f>
        <v>Oeste</v>
      </c>
      <c r="C601" t="str">
        <f>_xlfn.XLOOKUP(A601,[1]Municipios!$B:$B,[1]Municipios!$D:$D)</f>
        <v>Oeste Integrado</v>
      </c>
      <c r="D601">
        <v>2025</v>
      </c>
      <c r="E601" t="s">
        <v>237</v>
      </c>
      <c r="F601">
        <v>1</v>
      </c>
      <c r="G601">
        <v>78.48</v>
      </c>
    </row>
    <row r="602" spans="1:7" x14ac:dyDescent="0.25">
      <c r="A602" t="s">
        <v>328</v>
      </c>
      <c r="B602" t="str">
        <f>_xlfn.XLOOKUP(A602,[1]Municipios!$B:$B,[1]Municipios!$C:$C)</f>
        <v>Sul</v>
      </c>
      <c r="C602" t="str">
        <f>_xlfn.XLOOKUP(A602,[1]Municipios!$B:$B,[1]Municipios!$D:$D)</f>
        <v>Sudoeste Pioneiro</v>
      </c>
      <c r="D602">
        <v>2025</v>
      </c>
      <c r="E602" t="s">
        <v>231</v>
      </c>
      <c r="F602">
        <v>0.88890000000000002</v>
      </c>
      <c r="G602">
        <v>89.73</v>
      </c>
    </row>
    <row r="603" spans="1:7" x14ac:dyDescent="0.25">
      <c r="A603" t="s">
        <v>328</v>
      </c>
      <c r="B603" t="str">
        <f>_xlfn.XLOOKUP(A603,[1]Municipios!$B:$B,[1]Municipios!$C:$C)</f>
        <v>Sul</v>
      </c>
      <c r="C603" t="str">
        <f>_xlfn.XLOOKUP(A603,[1]Municipios!$B:$B,[1]Municipios!$D:$D)</f>
        <v>Sudoeste Pioneiro</v>
      </c>
      <c r="D603">
        <v>2025</v>
      </c>
      <c r="E603" t="s">
        <v>232</v>
      </c>
      <c r="F603">
        <v>0.92310000000000003</v>
      </c>
      <c r="G603">
        <v>89.73</v>
      </c>
    </row>
    <row r="604" spans="1:7" x14ac:dyDescent="0.25">
      <c r="A604" t="s">
        <v>328</v>
      </c>
      <c r="B604" t="str">
        <f>_xlfn.XLOOKUP(A604,[1]Municipios!$B:$B,[1]Municipios!$C:$C)</f>
        <v>Sul</v>
      </c>
      <c r="C604" t="str">
        <f>_xlfn.XLOOKUP(A604,[1]Municipios!$B:$B,[1]Municipios!$D:$D)</f>
        <v>Sudoeste Pioneiro</v>
      </c>
      <c r="D604">
        <v>2025</v>
      </c>
      <c r="E604" t="s">
        <v>233</v>
      </c>
      <c r="F604">
        <v>1</v>
      </c>
      <c r="G604">
        <v>89.73</v>
      </c>
    </row>
    <row r="605" spans="1:7" x14ac:dyDescent="0.25">
      <c r="A605" t="s">
        <v>328</v>
      </c>
      <c r="B605" t="str">
        <f>_xlfn.XLOOKUP(A605,[1]Municipios!$B:$B,[1]Municipios!$C:$C)</f>
        <v>Sul</v>
      </c>
      <c r="C605" t="str">
        <f>_xlfn.XLOOKUP(A605,[1]Municipios!$B:$B,[1]Municipios!$D:$D)</f>
        <v>Sudoeste Pioneiro</v>
      </c>
      <c r="D605">
        <v>2025</v>
      </c>
      <c r="E605" t="s">
        <v>215</v>
      </c>
      <c r="F605">
        <v>0.9</v>
      </c>
      <c r="G605">
        <v>89.73</v>
      </c>
    </row>
    <row r="606" spans="1:7" x14ac:dyDescent="0.25">
      <c r="A606" t="s">
        <v>328</v>
      </c>
      <c r="B606" t="str">
        <f>_xlfn.XLOOKUP(A606,[1]Municipios!$B:$B,[1]Municipios!$C:$C)</f>
        <v>Sul</v>
      </c>
      <c r="C606" t="str">
        <f>_xlfn.XLOOKUP(A606,[1]Municipios!$B:$B,[1]Municipios!$D:$D)</f>
        <v>Sudoeste Pioneiro</v>
      </c>
      <c r="D606">
        <v>2025</v>
      </c>
      <c r="E606" t="s">
        <v>234</v>
      </c>
      <c r="F606">
        <v>0.88890000000000002</v>
      </c>
      <c r="G606">
        <v>89.73</v>
      </c>
    </row>
    <row r="607" spans="1:7" x14ac:dyDescent="0.25">
      <c r="A607" t="s">
        <v>328</v>
      </c>
      <c r="B607" t="str">
        <f>_xlfn.XLOOKUP(A607,[1]Municipios!$B:$B,[1]Municipios!$C:$C)</f>
        <v>Sul</v>
      </c>
      <c r="C607" t="str">
        <f>_xlfn.XLOOKUP(A607,[1]Municipios!$B:$B,[1]Municipios!$D:$D)</f>
        <v>Sudoeste Pioneiro</v>
      </c>
      <c r="D607">
        <v>2025</v>
      </c>
      <c r="E607" t="s">
        <v>235</v>
      </c>
      <c r="F607">
        <v>1</v>
      </c>
      <c r="G607">
        <v>89.73</v>
      </c>
    </row>
    <row r="608" spans="1:7" x14ac:dyDescent="0.25">
      <c r="A608" t="s">
        <v>328</v>
      </c>
      <c r="B608" t="str">
        <f>_xlfn.XLOOKUP(A608,[1]Municipios!$B:$B,[1]Municipios!$C:$C)</f>
        <v>Sul</v>
      </c>
      <c r="C608" t="str">
        <f>_xlfn.XLOOKUP(A608,[1]Municipios!$B:$B,[1]Municipios!$D:$D)</f>
        <v>Sudoeste Pioneiro</v>
      </c>
      <c r="D608">
        <v>2025</v>
      </c>
      <c r="E608" t="s">
        <v>236</v>
      </c>
      <c r="F608">
        <v>0.61549999999999994</v>
      </c>
      <c r="G608">
        <v>89.73</v>
      </c>
    </row>
    <row r="609" spans="1:7" x14ac:dyDescent="0.25">
      <c r="A609" t="s">
        <v>328</v>
      </c>
      <c r="B609" t="str">
        <f>_xlfn.XLOOKUP(A609,[1]Municipios!$B:$B,[1]Municipios!$C:$C)</f>
        <v>Sul</v>
      </c>
      <c r="C609" t="str">
        <f>_xlfn.XLOOKUP(A609,[1]Municipios!$B:$B,[1]Municipios!$D:$D)</f>
        <v>Sudoeste Pioneiro</v>
      </c>
      <c r="D609">
        <v>2025</v>
      </c>
      <c r="E609" t="s">
        <v>237</v>
      </c>
      <c r="F609">
        <v>1</v>
      </c>
      <c r="G609">
        <v>89.73</v>
      </c>
    </row>
    <row r="610" spans="1:7" x14ac:dyDescent="0.25">
      <c r="A610" t="s">
        <v>505</v>
      </c>
      <c r="B610" t="str">
        <f>_xlfn.XLOOKUP(A610,[1]Municipios!$B:$B,[1]Municipios!$C:$C)</f>
        <v>Noroeste</v>
      </c>
      <c r="C610" t="str">
        <f>_xlfn.XLOOKUP(A610,[1]Municipios!$B:$B,[1]Municipios!$D:$D)</f>
        <v>Médio Noroeste</v>
      </c>
      <c r="D610">
        <v>2025</v>
      </c>
      <c r="E610" t="s">
        <v>231</v>
      </c>
      <c r="F610">
        <v>0.77779999999999994</v>
      </c>
      <c r="G610">
        <v>81.77</v>
      </c>
    </row>
    <row r="611" spans="1:7" x14ac:dyDescent="0.25">
      <c r="A611" t="s">
        <v>505</v>
      </c>
      <c r="B611" t="str">
        <f>_xlfn.XLOOKUP(A611,[1]Municipios!$B:$B,[1]Municipios!$C:$C)</f>
        <v>Noroeste</v>
      </c>
      <c r="C611" t="str">
        <f>_xlfn.XLOOKUP(A611,[1]Municipios!$B:$B,[1]Municipios!$D:$D)</f>
        <v>Médio Noroeste</v>
      </c>
      <c r="D611">
        <v>2025</v>
      </c>
      <c r="E611" t="s">
        <v>232</v>
      </c>
      <c r="F611">
        <v>0.84619999999999995</v>
      </c>
      <c r="G611">
        <v>81.77</v>
      </c>
    </row>
    <row r="612" spans="1:7" x14ac:dyDescent="0.25">
      <c r="A612" t="s">
        <v>505</v>
      </c>
      <c r="B612" t="str">
        <f>_xlfn.XLOOKUP(A612,[1]Municipios!$B:$B,[1]Municipios!$C:$C)</f>
        <v>Noroeste</v>
      </c>
      <c r="C612" t="str">
        <f>_xlfn.XLOOKUP(A612,[1]Municipios!$B:$B,[1]Municipios!$D:$D)</f>
        <v>Médio Noroeste</v>
      </c>
      <c r="D612">
        <v>2025</v>
      </c>
      <c r="E612" t="s">
        <v>233</v>
      </c>
      <c r="F612">
        <v>0.875</v>
      </c>
      <c r="G612">
        <v>81.77</v>
      </c>
    </row>
    <row r="613" spans="1:7" x14ac:dyDescent="0.25">
      <c r="A613" t="s">
        <v>505</v>
      </c>
      <c r="B613" t="str">
        <f>_xlfn.XLOOKUP(A613,[1]Municipios!$B:$B,[1]Municipios!$C:$C)</f>
        <v>Noroeste</v>
      </c>
      <c r="C613" t="str">
        <f>_xlfn.XLOOKUP(A613,[1]Municipios!$B:$B,[1]Municipios!$D:$D)</f>
        <v>Médio Noroeste</v>
      </c>
      <c r="D613">
        <v>2025</v>
      </c>
      <c r="E613" t="s">
        <v>215</v>
      </c>
      <c r="F613">
        <v>0.4499999999999999</v>
      </c>
      <c r="G613">
        <v>81.77</v>
      </c>
    </row>
    <row r="614" spans="1:7" x14ac:dyDescent="0.25">
      <c r="A614" t="s">
        <v>505</v>
      </c>
      <c r="B614" t="str">
        <f>_xlfn.XLOOKUP(A614,[1]Municipios!$B:$B,[1]Municipios!$C:$C)</f>
        <v>Noroeste</v>
      </c>
      <c r="C614" t="str">
        <f>_xlfn.XLOOKUP(A614,[1]Municipios!$B:$B,[1]Municipios!$D:$D)</f>
        <v>Médio Noroeste</v>
      </c>
      <c r="D614">
        <v>2025</v>
      </c>
      <c r="E614" t="s">
        <v>234</v>
      </c>
      <c r="F614">
        <v>0.88890000000000002</v>
      </c>
      <c r="G614">
        <v>81.77</v>
      </c>
    </row>
    <row r="615" spans="1:7" x14ac:dyDescent="0.25">
      <c r="A615" t="s">
        <v>505</v>
      </c>
      <c r="B615" t="str">
        <f>_xlfn.XLOOKUP(A615,[1]Municipios!$B:$B,[1]Municipios!$C:$C)</f>
        <v>Noroeste</v>
      </c>
      <c r="C615" t="str">
        <f>_xlfn.XLOOKUP(A615,[1]Municipios!$B:$B,[1]Municipios!$D:$D)</f>
        <v>Médio Noroeste</v>
      </c>
      <c r="D615">
        <v>2025</v>
      </c>
      <c r="E615" t="s">
        <v>235</v>
      </c>
      <c r="F615">
        <v>0.85720000000000007</v>
      </c>
      <c r="G615">
        <v>81.77</v>
      </c>
    </row>
    <row r="616" spans="1:7" x14ac:dyDescent="0.25">
      <c r="A616" t="s">
        <v>505</v>
      </c>
      <c r="B616" t="str">
        <f>_xlfn.XLOOKUP(A616,[1]Municipios!$B:$B,[1]Municipios!$C:$C)</f>
        <v>Noroeste</v>
      </c>
      <c r="C616" t="str">
        <f>_xlfn.XLOOKUP(A616,[1]Municipios!$B:$B,[1]Municipios!$D:$D)</f>
        <v>Médio Noroeste</v>
      </c>
      <c r="D616">
        <v>2025</v>
      </c>
      <c r="E616" t="s">
        <v>236</v>
      </c>
      <c r="F616">
        <v>0.84620000000000006</v>
      </c>
      <c r="G616">
        <v>81.77</v>
      </c>
    </row>
    <row r="617" spans="1:7" x14ac:dyDescent="0.25">
      <c r="A617" t="s">
        <v>505</v>
      </c>
      <c r="B617" t="str">
        <f>_xlfn.XLOOKUP(A617,[1]Municipios!$B:$B,[1]Municipios!$C:$C)</f>
        <v>Noroeste</v>
      </c>
      <c r="C617" t="str">
        <f>_xlfn.XLOOKUP(A617,[1]Municipios!$B:$B,[1]Municipios!$D:$D)</f>
        <v>Médio Noroeste</v>
      </c>
      <c r="D617">
        <v>2025</v>
      </c>
      <c r="E617" t="s">
        <v>237</v>
      </c>
      <c r="F617">
        <v>1</v>
      </c>
      <c r="G617">
        <v>81.77</v>
      </c>
    </row>
    <row r="618" spans="1:7" x14ac:dyDescent="0.25">
      <c r="A618" t="s">
        <v>506</v>
      </c>
      <c r="B618" t="str">
        <f>_xlfn.XLOOKUP(A618,[1]Municipios!$B:$B,[1]Municipios!$C:$C)</f>
        <v>Noroeste</v>
      </c>
      <c r="C618" t="str">
        <f>_xlfn.XLOOKUP(A618,[1]Municipios!$B:$B,[1]Municipios!$D:$D)</f>
        <v>Médio Noroeste</v>
      </c>
      <c r="D618">
        <v>2025</v>
      </c>
      <c r="E618" t="s">
        <v>231</v>
      </c>
      <c r="F618">
        <v>0.66659999999999997</v>
      </c>
      <c r="G618">
        <v>77.91</v>
      </c>
    </row>
    <row r="619" spans="1:7" x14ac:dyDescent="0.25">
      <c r="A619" t="s">
        <v>506</v>
      </c>
      <c r="B619" t="str">
        <f>_xlfn.XLOOKUP(A619,[1]Municipios!$B:$B,[1]Municipios!$C:$C)</f>
        <v>Noroeste</v>
      </c>
      <c r="C619" t="str">
        <f>_xlfn.XLOOKUP(A619,[1]Municipios!$B:$B,[1]Municipios!$D:$D)</f>
        <v>Médio Noroeste</v>
      </c>
      <c r="D619">
        <v>2025</v>
      </c>
      <c r="E619" t="s">
        <v>232</v>
      </c>
      <c r="F619">
        <v>1</v>
      </c>
      <c r="G619">
        <v>77.91</v>
      </c>
    </row>
    <row r="620" spans="1:7" x14ac:dyDescent="0.25">
      <c r="A620" t="s">
        <v>506</v>
      </c>
      <c r="B620" t="str">
        <f>_xlfn.XLOOKUP(A620,[1]Municipios!$B:$B,[1]Municipios!$C:$C)</f>
        <v>Noroeste</v>
      </c>
      <c r="C620" t="str">
        <f>_xlfn.XLOOKUP(A620,[1]Municipios!$B:$B,[1]Municipios!$D:$D)</f>
        <v>Médio Noroeste</v>
      </c>
      <c r="D620">
        <v>2025</v>
      </c>
      <c r="E620" t="s">
        <v>233</v>
      </c>
      <c r="F620">
        <v>0.75</v>
      </c>
      <c r="G620">
        <v>77.91</v>
      </c>
    </row>
    <row r="621" spans="1:7" x14ac:dyDescent="0.25">
      <c r="A621" t="s">
        <v>506</v>
      </c>
      <c r="B621" t="str">
        <f>_xlfn.XLOOKUP(A621,[1]Municipios!$B:$B,[1]Municipios!$C:$C)</f>
        <v>Noroeste</v>
      </c>
      <c r="C621" t="str">
        <f>_xlfn.XLOOKUP(A621,[1]Municipios!$B:$B,[1]Municipios!$D:$D)</f>
        <v>Médio Noroeste</v>
      </c>
      <c r="D621">
        <v>2025</v>
      </c>
      <c r="E621" t="s">
        <v>215</v>
      </c>
      <c r="F621">
        <v>0.6</v>
      </c>
      <c r="G621">
        <v>77.91</v>
      </c>
    </row>
    <row r="622" spans="1:7" x14ac:dyDescent="0.25">
      <c r="A622" t="s">
        <v>506</v>
      </c>
      <c r="B622" t="str">
        <f>_xlfn.XLOOKUP(A622,[1]Municipios!$B:$B,[1]Municipios!$C:$C)</f>
        <v>Noroeste</v>
      </c>
      <c r="C622" t="str">
        <f>_xlfn.XLOOKUP(A622,[1]Municipios!$B:$B,[1]Municipios!$D:$D)</f>
        <v>Médio Noroeste</v>
      </c>
      <c r="D622">
        <v>2025</v>
      </c>
      <c r="E622" t="s">
        <v>234</v>
      </c>
      <c r="F622">
        <v>0.88890000000000002</v>
      </c>
      <c r="G622">
        <v>77.91</v>
      </c>
    </row>
    <row r="623" spans="1:7" x14ac:dyDescent="0.25">
      <c r="A623" t="s">
        <v>506</v>
      </c>
      <c r="B623" t="str">
        <f>_xlfn.XLOOKUP(A623,[1]Municipios!$B:$B,[1]Municipios!$C:$C)</f>
        <v>Noroeste</v>
      </c>
      <c r="C623" t="str">
        <f>_xlfn.XLOOKUP(A623,[1]Municipios!$B:$B,[1]Municipios!$D:$D)</f>
        <v>Médio Noroeste</v>
      </c>
      <c r="D623">
        <v>2025</v>
      </c>
      <c r="E623" t="s">
        <v>235</v>
      </c>
      <c r="F623">
        <v>1</v>
      </c>
      <c r="G623">
        <v>77.91</v>
      </c>
    </row>
    <row r="624" spans="1:7" x14ac:dyDescent="0.25">
      <c r="A624" t="s">
        <v>506</v>
      </c>
      <c r="B624" t="str">
        <f>_xlfn.XLOOKUP(A624,[1]Municipios!$B:$B,[1]Municipios!$C:$C)</f>
        <v>Noroeste</v>
      </c>
      <c r="C624" t="str">
        <f>_xlfn.XLOOKUP(A624,[1]Municipios!$B:$B,[1]Municipios!$D:$D)</f>
        <v>Médio Noroeste</v>
      </c>
      <c r="D624">
        <v>2025</v>
      </c>
      <c r="E624" t="s">
        <v>236</v>
      </c>
      <c r="F624">
        <v>0.15379999999999999</v>
      </c>
      <c r="G624">
        <v>77.91</v>
      </c>
    </row>
    <row r="625" spans="1:7" x14ac:dyDescent="0.25">
      <c r="A625" t="s">
        <v>506</v>
      </c>
      <c r="B625" t="str">
        <f>_xlfn.XLOOKUP(A625,[1]Municipios!$B:$B,[1]Municipios!$C:$C)</f>
        <v>Noroeste</v>
      </c>
      <c r="C625" t="str">
        <f>_xlfn.XLOOKUP(A625,[1]Municipios!$B:$B,[1]Municipios!$D:$D)</f>
        <v>Médio Noroeste</v>
      </c>
      <c r="D625">
        <v>2025</v>
      </c>
      <c r="E625" t="s">
        <v>237</v>
      </c>
      <c r="F625">
        <v>1</v>
      </c>
      <c r="G625">
        <v>77.91</v>
      </c>
    </row>
    <row r="626" spans="1:7" x14ac:dyDescent="0.25">
      <c r="A626" t="s">
        <v>329</v>
      </c>
      <c r="B626" t="str">
        <f>_xlfn.XLOOKUP(A626,[1]Municipios!$B:$B,[1]Municipios!$C:$C)</f>
        <v>Sul</v>
      </c>
      <c r="C626" t="str">
        <f>_xlfn.XLOOKUP(A626,[1]Municipios!$B:$B,[1]Municipios!$D:$D)</f>
        <v>Sudoeste Pioneiro</v>
      </c>
      <c r="D626">
        <v>2025</v>
      </c>
      <c r="E626" t="s">
        <v>231</v>
      </c>
      <c r="F626">
        <v>0.55559999999999998</v>
      </c>
      <c r="G626">
        <v>34.22</v>
      </c>
    </row>
    <row r="627" spans="1:7" x14ac:dyDescent="0.25">
      <c r="A627" t="s">
        <v>329</v>
      </c>
      <c r="B627" t="str">
        <f>_xlfn.XLOOKUP(A627,[1]Municipios!$B:$B,[1]Municipios!$C:$C)</f>
        <v>Sul</v>
      </c>
      <c r="C627" t="str">
        <f>_xlfn.XLOOKUP(A627,[1]Municipios!$B:$B,[1]Municipios!$D:$D)</f>
        <v>Sudoeste Pioneiro</v>
      </c>
      <c r="D627">
        <v>2025</v>
      </c>
      <c r="E627" t="s">
        <v>232</v>
      </c>
      <c r="F627">
        <v>0.69230000000000003</v>
      </c>
      <c r="G627">
        <v>34.22</v>
      </c>
    </row>
    <row r="628" spans="1:7" x14ac:dyDescent="0.25">
      <c r="A628" t="s">
        <v>329</v>
      </c>
      <c r="B628" t="str">
        <f>_xlfn.XLOOKUP(A628,[1]Municipios!$B:$B,[1]Municipios!$C:$C)</f>
        <v>Sul</v>
      </c>
      <c r="C628" t="str">
        <f>_xlfn.XLOOKUP(A628,[1]Municipios!$B:$B,[1]Municipios!$D:$D)</f>
        <v>Sudoeste Pioneiro</v>
      </c>
      <c r="D628">
        <v>2025</v>
      </c>
      <c r="E628" t="s">
        <v>233</v>
      </c>
      <c r="F628">
        <v>0.5</v>
      </c>
      <c r="G628">
        <v>34.22</v>
      </c>
    </row>
    <row r="629" spans="1:7" x14ac:dyDescent="0.25">
      <c r="A629" t="s">
        <v>329</v>
      </c>
      <c r="B629" t="str">
        <f>_xlfn.XLOOKUP(A629,[1]Municipios!$B:$B,[1]Municipios!$C:$C)</f>
        <v>Sul</v>
      </c>
      <c r="C629" t="str">
        <f>_xlfn.XLOOKUP(A629,[1]Municipios!$B:$B,[1]Municipios!$D:$D)</f>
        <v>Sudoeste Pioneiro</v>
      </c>
      <c r="D629">
        <v>2025</v>
      </c>
      <c r="E629" t="s">
        <v>215</v>
      </c>
      <c r="F629">
        <v>0</v>
      </c>
      <c r="G629">
        <v>34.22</v>
      </c>
    </row>
    <row r="630" spans="1:7" x14ac:dyDescent="0.25">
      <c r="A630" t="s">
        <v>329</v>
      </c>
      <c r="B630" t="str">
        <f>_xlfn.XLOOKUP(A630,[1]Municipios!$B:$B,[1]Municipios!$C:$C)</f>
        <v>Sul</v>
      </c>
      <c r="C630" t="str">
        <f>_xlfn.XLOOKUP(A630,[1]Municipios!$B:$B,[1]Municipios!$D:$D)</f>
        <v>Sudoeste Pioneiro</v>
      </c>
      <c r="D630">
        <v>2025</v>
      </c>
      <c r="E630" t="s">
        <v>234</v>
      </c>
      <c r="F630">
        <v>0.44440000000000002</v>
      </c>
      <c r="G630">
        <v>34.22</v>
      </c>
    </row>
    <row r="631" spans="1:7" x14ac:dyDescent="0.25">
      <c r="A631" t="s">
        <v>329</v>
      </c>
      <c r="B631" t="str">
        <f>_xlfn.XLOOKUP(A631,[1]Municipios!$B:$B,[1]Municipios!$C:$C)</f>
        <v>Sul</v>
      </c>
      <c r="C631" t="str">
        <f>_xlfn.XLOOKUP(A631,[1]Municipios!$B:$B,[1]Municipios!$D:$D)</f>
        <v>Sudoeste Pioneiro</v>
      </c>
      <c r="D631">
        <v>2025</v>
      </c>
      <c r="E631" t="s">
        <v>235</v>
      </c>
      <c r="F631">
        <v>0</v>
      </c>
      <c r="G631">
        <v>34.22</v>
      </c>
    </row>
    <row r="632" spans="1:7" x14ac:dyDescent="0.25">
      <c r="A632" t="s">
        <v>329</v>
      </c>
      <c r="B632" t="str">
        <f>_xlfn.XLOOKUP(A632,[1]Municipios!$B:$B,[1]Municipios!$C:$C)</f>
        <v>Sul</v>
      </c>
      <c r="C632" t="str">
        <f>_xlfn.XLOOKUP(A632,[1]Municipios!$B:$B,[1]Municipios!$D:$D)</f>
        <v>Sudoeste Pioneiro</v>
      </c>
      <c r="D632">
        <v>2025</v>
      </c>
      <c r="E632" t="s">
        <v>236</v>
      </c>
      <c r="F632">
        <v>7.6999999999999999E-2</v>
      </c>
      <c r="G632">
        <v>34.22</v>
      </c>
    </row>
    <row r="633" spans="1:7" x14ac:dyDescent="0.25">
      <c r="A633" t="s">
        <v>329</v>
      </c>
      <c r="B633" t="str">
        <f>_xlfn.XLOOKUP(A633,[1]Municipios!$B:$B,[1]Municipios!$C:$C)</f>
        <v>Sul</v>
      </c>
      <c r="C633" t="str">
        <f>_xlfn.XLOOKUP(A633,[1]Municipios!$B:$B,[1]Municipios!$D:$D)</f>
        <v>Sudoeste Pioneiro</v>
      </c>
      <c r="D633">
        <v>2025</v>
      </c>
      <c r="E633" t="s">
        <v>237</v>
      </c>
      <c r="F633">
        <v>0.5</v>
      </c>
      <c r="G633">
        <v>34.22</v>
      </c>
    </row>
    <row r="634" spans="1:7" x14ac:dyDescent="0.25">
      <c r="A634" t="s">
        <v>317</v>
      </c>
      <c r="B634" t="str">
        <f>_xlfn.XLOOKUP(A634,[1]Municipios!$B:$B,[1]Municipios!$C:$C)</f>
        <v>Leste</v>
      </c>
      <c r="C634" t="str">
        <f>_xlfn.XLOOKUP(A634,[1]Municipios!$B:$B,[1]Municipios!$D:$D)</f>
        <v>RMC</v>
      </c>
      <c r="D634">
        <v>2025</v>
      </c>
      <c r="E634" t="s">
        <v>231</v>
      </c>
      <c r="F634">
        <v>0.55559999999999998</v>
      </c>
      <c r="G634">
        <v>87.58</v>
      </c>
    </row>
    <row r="635" spans="1:7" x14ac:dyDescent="0.25">
      <c r="A635" t="s">
        <v>317</v>
      </c>
      <c r="B635" t="str">
        <f>_xlfn.XLOOKUP(A635,[1]Municipios!$B:$B,[1]Municipios!$C:$C)</f>
        <v>Leste</v>
      </c>
      <c r="C635" t="str">
        <f>_xlfn.XLOOKUP(A635,[1]Municipios!$B:$B,[1]Municipios!$D:$D)</f>
        <v>RMC</v>
      </c>
      <c r="D635">
        <v>2025</v>
      </c>
      <c r="E635" t="s">
        <v>232</v>
      </c>
      <c r="F635">
        <v>0.76929999999999998</v>
      </c>
      <c r="G635">
        <v>87.58</v>
      </c>
    </row>
    <row r="636" spans="1:7" x14ac:dyDescent="0.25">
      <c r="A636" t="s">
        <v>317</v>
      </c>
      <c r="B636" t="str">
        <f>_xlfn.XLOOKUP(A636,[1]Municipios!$B:$B,[1]Municipios!$C:$C)</f>
        <v>Leste</v>
      </c>
      <c r="C636" t="str">
        <f>_xlfn.XLOOKUP(A636,[1]Municipios!$B:$B,[1]Municipios!$D:$D)</f>
        <v>RMC</v>
      </c>
      <c r="D636">
        <v>2025</v>
      </c>
      <c r="E636" t="s">
        <v>233</v>
      </c>
      <c r="F636">
        <v>0.875</v>
      </c>
      <c r="G636">
        <v>87.58</v>
      </c>
    </row>
    <row r="637" spans="1:7" x14ac:dyDescent="0.25">
      <c r="A637" t="s">
        <v>317</v>
      </c>
      <c r="B637" t="str">
        <f>_xlfn.XLOOKUP(A637,[1]Municipios!$B:$B,[1]Municipios!$C:$C)</f>
        <v>Leste</v>
      </c>
      <c r="C637" t="str">
        <f>_xlfn.XLOOKUP(A637,[1]Municipios!$B:$B,[1]Municipios!$D:$D)</f>
        <v>RMC</v>
      </c>
      <c r="D637">
        <v>2025</v>
      </c>
      <c r="E637" t="s">
        <v>215</v>
      </c>
      <c r="F637">
        <v>1</v>
      </c>
      <c r="G637">
        <v>87.58</v>
      </c>
    </row>
    <row r="638" spans="1:7" x14ac:dyDescent="0.25">
      <c r="A638" t="s">
        <v>317</v>
      </c>
      <c r="B638" t="str">
        <f>_xlfn.XLOOKUP(A638,[1]Municipios!$B:$B,[1]Municipios!$C:$C)</f>
        <v>Leste</v>
      </c>
      <c r="C638" t="str">
        <f>_xlfn.XLOOKUP(A638,[1]Municipios!$B:$B,[1]Municipios!$D:$D)</f>
        <v>RMC</v>
      </c>
      <c r="D638">
        <v>2025</v>
      </c>
      <c r="E638" t="s">
        <v>234</v>
      </c>
      <c r="F638">
        <v>1</v>
      </c>
      <c r="G638">
        <v>87.58</v>
      </c>
    </row>
    <row r="639" spans="1:7" x14ac:dyDescent="0.25">
      <c r="A639" t="s">
        <v>317</v>
      </c>
      <c r="B639" t="str">
        <f>_xlfn.XLOOKUP(A639,[1]Municipios!$B:$B,[1]Municipios!$C:$C)</f>
        <v>Leste</v>
      </c>
      <c r="C639" t="str">
        <f>_xlfn.XLOOKUP(A639,[1]Municipios!$B:$B,[1]Municipios!$D:$D)</f>
        <v>RMC</v>
      </c>
      <c r="D639">
        <v>2025</v>
      </c>
      <c r="E639" t="s">
        <v>235</v>
      </c>
      <c r="F639">
        <v>1</v>
      </c>
      <c r="G639">
        <v>87.58</v>
      </c>
    </row>
    <row r="640" spans="1:7" x14ac:dyDescent="0.25">
      <c r="A640" t="s">
        <v>317</v>
      </c>
      <c r="B640" t="str">
        <f>_xlfn.XLOOKUP(A640,[1]Municipios!$B:$B,[1]Municipios!$C:$C)</f>
        <v>Leste</v>
      </c>
      <c r="C640" t="str">
        <f>_xlfn.XLOOKUP(A640,[1]Municipios!$B:$B,[1]Municipios!$D:$D)</f>
        <v>RMC</v>
      </c>
      <c r="D640">
        <v>2025</v>
      </c>
      <c r="E640" t="s">
        <v>236</v>
      </c>
      <c r="F640">
        <v>0.76929999999999987</v>
      </c>
      <c r="G640">
        <v>87.58</v>
      </c>
    </row>
    <row r="641" spans="1:7" x14ac:dyDescent="0.25">
      <c r="A641" t="s">
        <v>317</v>
      </c>
      <c r="B641" t="str">
        <f>_xlfn.XLOOKUP(A641,[1]Municipios!$B:$B,[1]Municipios!$C:$C)</f>
        <v>Leste</v>
      </c>
      <c r="C641" t="str">
        <f>_xlfn.XLOOKUP(A641,[1]Municipios!$B:$B,[1]Municipios!$D:$D)</f>
        <v>RMC</v>
      </c>
      <c r="D641">
        <v>2025</v>
      </c>
      <c r="E641" t="s">
        <v>237</v>
      </c>
      <c r="F641">
        <v>1</v>
      </c>
      <c r="G641">
        <v>87.58</v>
      </c>
    </row>
    <row r="642" spans="1:7" x14ac:dyDescent="0.25">
      <c r="A642" t="s">
        <v>366</v>
      </c>
      <c r="B642" t="str">
        <f>_xlfn.XLOOKUP(A642,[1]Municipios!$B:$B,[1]Municipios!$C:$C)</f>
        <v>Noroeste</v>
      </c>
      <c r="C642" t="str">
        <f>_xlfn.XLOOKUP(A642,[1]Municipios!$B:$B,[1]Municipios!$D:$D)</f>
        <v>Terra Roxa</v>
      </c>
      <c r="D642">
        <v>2025</v>
      </c>
      <c r="E642" t="s">
        <v>231</v>
      </c>
      <c r="F642">
        <v>0.77779999999999994</v>
      </c>
      <c r="G642">
        <v>73.75</v>
      </c>
    </row>
    <row r="643" spans="1:7" x14ac:dyDescent="0.25">
      <c r="A643" t="s">
        <v>366</v>
      </c>
      <c r="B643" t="str">
        <f>_xlfn.XLOOKUP(A643,[1]Municipios!$B:$B,[1]Municipios!$C:$C)</f>
        <v>Noroeste</v>
      </c>
      <c r="C643" t="str">
        <f>_xlfn.XLOOKUP(A643,[1]Municipios!$B:$B,[1]Municipios!$D:$D)</f>
        <v>Terra Roxa</v>
      </c>
      <c r="D643">
        <v>2025</v>
      </c>
      <c r="E643" t="s">
        <v>232</v>
      </c>
      <c r="F643">
        <v>0.92310000000000003</v>
      </c>
      <c r="G643">
        <v>73.75</v>
      </c>
    </row>
    <row r="644" spans="1:7" x14ac:dyDescent="0.25">
      <c r="A644" t="s">
        <v>366</v>
      </c>
      <c r="B644" t="str">
        <f>_xlfn.XLOOKUP(A644,[1]Municipios!$B:$B,[1]Municipios!$C:$C)</f>
        <v>Noroeste</v>
      </c>
      <c r="C644" t="str">
        <f>_xlfn.XLOOKUP(A644,[1]Municipios!$B:$B,[1]Municipios!$D:$D)</f>
        <v>Terra Roxa</v>
      </c>
      <c r="D644">
        <v>2025</v>
      </c>
      <c r="E644" t="s">
        <v>233</v>
      </c>
      <c r="F644">
        <v>0.75</v>
      </c>
      <c r="G644">
        <v>73.75</v>
      </c>
    </row>
    <row r="645" spans="1:7" x14ac:dyDescent="0.25">
      <c r="A645" t="s">
        <v>366</v>
      </c>
      <c r="B645" t="str">
        <f>_xlfn.XLOOKUP(A645,[1]Municipios!$B:$B,[1]Municipios!$C:$C)</f>
        <v>Noroeste</v>
      </c>
      <c r="C645" t="str">
        <f>_xlfn.XLOOKUP(A645,[1]Municipios!$B:$B,[1]Municipios!$D:$D)</f>
        <v>Terra Roxa</v>
      </c>
      <c r="D645">
        <v>2025</v>
      </c>
      <c r="E645" t="s">
        <v>215</v>
      </c>
      <c r="F645">
        <v>0.5</v>
      </c>
      <c r="G645">
        <v>73.75</v>
      </c>
    </row>
    <row r="646" spans="1:7" x14ac:dyDescent="0.25">
      <c r="A646" t="s">
        <v>366</v>
      </c>
      <c r="B646" t="str">
        <f>_xlfn.XLOOKUP(A646,[1]Municipios!$B:$B,[1]Municipios!$C:$C)</f>
        <v>Noroeste</v>
      </c>
      <c r="C646" t="str">
        <f>_xlfn.XLOOKUP(A646,[1]Municipios!$B:$B,[1]Municipios!$D:$D)</f>
        <v>Terra Roxa</v>
      </c>
      <c r="D646">
        <v>2025</v>
      </c>
      <c r="E646" t="s">
        <v>234</v>
      </c>
      <c r="F646">
        <v>0.88890000000000002</v>
      </c>
      <c r="G646">
        <v>73.75</v>
      </c>
    </row>
    <row r="647" spans="1:7" x14ac:dyDescent="0.25">
      <c r="A647" t="s">
        <v>366</v>
      </c>
      <c r="B647" t="str">
        <f>_xlfn.XLOOKUP(A647,[1]Municipios!$B:$B,[1]Municipios!$C:$C)</f>
        <v>Noroeste</v>
      </c>
      <c r="C647" t="str">
        <f>_xlfn.XLOOKUP(A647,[1]Municipios!$B:$B,[1]Municipios!$D:$D)</f>
        <v>Terra Roxa</v>
      </c>
      <c r="D647">
        <v>2025</v>
      </c>
      <c r="E647" t="s">
        <v>235</v>
      </c>
      <c r="F647">
        <v>0.85720000000000007</v>
      </c>
      <c r="G647">
        <v>73.75</v>
      </c>
    </row>
    <row r="648" spans="1:7" x14ac:dyDescent="0.25">
      <c r="A648" t="s">
        <v>366</v>
      </c>
      <c r="B648" t="str">
        <f>_xlfn.XLOOKUP(A648,[1]Municipios!$B:$B,[1]Municipios!$C:$C)</f>
        <v>Noroeste</v>
      </c>
      <c r="C648" t="str">
        <f>_xlfn.XLOOKUP(A648,[1]Municipios!$B:$B,[1]Municipios!$D:$D)</f>
        <v>Terra Roxa</v>
      </c>
      <c r="D648">
        <v>2025</v>
      </c>
      <c r="E648" t="s">
        <v>236</v>
      </c>
      <c r="F648">
        <v>7.6999999999999999E-2</v>
      </c>
      <c r="G648">
        <v>73.75</v>
      </c>
    </row>
    <row r="649" spans="1:7" x14ac:dyDescent="0.25">
      <c r="A649" t="s">
        <v>366</v>
      </c>
      <c r="B649" t="str">
        <f>_xlfn.XLOOKUP(A649,[1]Municipios!$B:$B,[1]Municipios!$C:$C)</f>
        <v>Noroeste</v>
      </c>
      <c r="C649" t="str">
        <f>_xlfn.XLOOKUP(A649,[1]Municipios!$B:$B,[1]Municipios!$D:$D)</f>
        <v>Terra Roxa</v>
      </c>
      <c r="D649">
        <v>2025</v>
      </c>
      <c r="E649" t="s">
        <v>237</v>
      </c>
      <c r="F649">
        <v>1</v>
      </c>
      <c r="G649">
        <v>73.75</v>
      </c>
    </row>
    <row r="650" spans="1:7" x14ac:dyDescent="0.25">
      <c r="A650" t="s">
        <v>293</v>
      </c>
      <c r="B650" t="str">
        <f>_xlfn.XLOOKUP(A650,[1]Municipios!$B:$B,[1]Municipios!$C:$C)</f>
        <v>Norte</v>
      </c>
      <c r="C650" t="str">
        <f>_xlfn.XLOOKUP(A650,[1]Municipios!$B:$B,[1]Municipios!$D:$D)</f>
        <v>Norte Pioneiro</v>
      </c>
      <c r="D650">
        <v>2025</v>
      </c>
      <c r="E650" t="s">
        <v>231</v>
      </c>
      <c r="F650">
        <v>0.66669999999999996</v>
      </c>
      <c r="G650">
        <v>79.650000000000006</v>
      </c>
    </row>
    <row r="651" spans="1:7" x14ac:dyDescent="0.25">
      <c r="A651" t="s">
        <v>293</v>
      </c>
      <c r="B651" t="str">
        <f>_xlfn.XLOOKUP(A651,[1]Municipios!$B:$B,[1]Municipios!$C:$C)</f>
        <v>Norte</v>
      </c>
      <c r="C651" t="str">
        <f>_xlfn.XLOOKUP(A651,[1]Municipios!$B:$B,[1]Municipios!$D:$D)</f>
        <v>Norte Pioneiro</v>
      </c>
      <c r="D651">
        <v>2025</v>
      </c>
      <c r="E651" t="s">
        <v>232</v>
      </c>
      <c r="F651">
        <v>0.84619999999999995</v>
      </c>
      <c r="G651">
        <v>79.650000000000006</v>
      </c>
    </row>
    <row r="652" spans="1:7" x14ac:dyDescent="0.25">
      <c r="A652" t="s">
        <v>293</v>
      </c>
      <c r="B652" t="str">
        <f>_xlfn.XLOOKUP(A652,[1]Municipios!$B:$B,[1]Municipios!$C:$C)</f>
        <v>Norte</v>
      </c>
      <c r="C652" t="str">
        <f>_xlfn.XLOOKUP(A652,[1]Municipios!$B:$B,[1]Municipios!$D:$D)</f>
        <v>Norte Pioneiro</v>
      </c>
      <c r="D652">
        <v>2025</v>
      </c>
      <c r="E652" t="s">
        <v>233</v>
      </c>
      <c r="F652">
        <v>0.75</v>
      </c>
      <c r="G652">
        <v>79.650000000000006</v>
      </c>
    </row>
    <row r="653" spans="1:7" x14ac:dyDescent="0.25">
      <c r="A653" t="s">
        <v>293</v>
      </c>
      <c r="B653" t="str">
        <f>_xlfn.XLOOKUP(A653,[1]Municipios!$B:$B,[1]Municipios!$C:$C)</f>
        <v>Norte</v>
      </c>
      <c r="C653" t="str">
        <f>_xlfn.XLOOKUP(A653,[1]Municipios!$B:$B,[1]Municipios!$D:$D)</f>
        <v>Norte Pioneiro</v>
      </c>
      <c r="D653">
        <v>2025</v>
      </c>
      <c r="E653" t="s">
        <v>215</v>
      </c>
      <c r="F653">
        <v>0.79999999999999993</v>
      </c>
      <c r="G653">
        <v>79.650000000000006</v>
      </c>
    </row>
    <row r="654" spans="1:7" x14ac:dyDescent="0.25">
      <c r="A654" t="s">
        <v>293</v>
      </c>
      <c r="B654" t="str">
        <f>_xlfn.XLOOKUP(A654,[1]Municipios!$B:$B,[1]Municipios!$C:$C)</f>
        <v>Norte</v>
      </c>
      <c r="C654" t="str">
        <f>_xlfn.XLOOKUP(A654,[1]Municipios!$B:$B,[1]Municipios!$D:$D)</f>
        <v>Norte Pioneiro</v>
      </c>
      <c r="D654">
        <v>2025</v>
      </c>
      <c r="E654" t="s">
        <v>234</v>
      </c>
      <c r="F654">
        <v>0.77780000000000005</v>
      </c>
      <c r="G654">
        <v>79.650000000000006</v>
      </c>
    </row>
    <row r="655" spans="1:7" x14ac:dyDescent="0.25">
      <c r="A655" t="s">
        <v>293</v>
      </c>
      <c r="B655" t="str">
        <f>_xlfn.XLOOKUP(A655,[1]Municipios!$B:$B,[1]Municipios!$C:$C)</f>
        <v>Norte</v>
      </c>
      <c r="C655" t="str">
        <f>_xlfn.XLOOKUP(A655,[1]Municipios!$B:$B,[1]Municipios!$D:$D)</f>
        <v>Norte Pioneiro</v>
      </c>
      <c r="D655">
        <v>2025</v>
      </c>
      <c r="E655" t="s">
        <v>235</v>
      </c>
      <c r="F655">
        <v>1</v>
      </c>
      <c r="G655">
        <v>79.650000000000006</v>
      </c>
    </row>
    <row r="656" spans="1:7" x14ac:dyDescent="0.25">
      <c r="A656" t="s">
        <v>293</v>
      </c>
      <c r="B656" t="str">
        <f>_xlfn.XLOOKUP(A656,[1]Municipios!$B:$B,[1]Municipios!$C:$C)</f>
        <v>Norte</v>
      </c>
      <c r="C656" t="str">
        <f>_xlfn.XLOOKUP(A656,[1]Municipios!$B:$B,[1]Municipios!$D:$D)</f>
        <v>Norte Pioneiro</v>
      </c>
      <c r="D656">
        <v>2025</v>
      </c>
      <c r="E656" t="s">
        <v>236</v>
      </c>
      <c r="F656">
        <v>0.46159999999999995</v>
      </c>
      <c r="G656">
        <v>79.650000000000006</v>
      </c>
    </row>
    <row r="657" spans="1:7" x14ac:dyDescent="0.25">
      <c r="A657" t="s">
        <v>293</v>
      </c>
      <c r="B657" t="str">
        <f>_xlfn.XLOOKUP(A657,[1]Municipios!$B:$B,[1]Municipios!$C:$C)</f>
        <v>Norte</v>
      </c>
      <c r="C657" t="str">
        <f>_xlfn.XLOOKUP(A657,[1]Municipios!$B:$B,[1]Municipios!$D:$D)</f>
        <v>Norte Pioneiro</v>
      </c>
      <c r="D657">
        <v>2025</v>
      </c>
      <c r="E657" t="s">
        <v>237</v>
      </c>
      <c r="F657">
        <v>1</v>
      </c>
      <c r="G657">
        <v>79.650000000000006</v>
      </c>
    </row>
    <row r="658" spans="1:7" x14ac:dyDescent="0.25">
      <c r="A658" t="s">
        <v>294</v>
      </c>
      <c r="B658" t="str">
        <f>_xlfn.XLOOKUP(A658,[1]Municipios!$B:$B,[1]Municipios!$C:$C)</f>
        <v>Norte</v>
      </c>
      <c r="C658" t="str">
        <f>_xlfn.XLOOKUP(A658,[1]Municipios!$B:$B,[1]Municipios!$D:$D)</f>
        <v>Norte Pioneiro</v>
      </c>
      <c r="D658">
        <v>2025</v>
      </c>
      <c r="E658" t="s">
        <v>231</v>
      </c>
      <c r="F658">
        <v>0.77769999999999995</v>
      </c>
      <c r="G658">
        <v>79.83</v>
      </c>
    </row>
    <row r="659" spans="1:7" x14ac:dyDescent="0.25">
      <c r="A659" t="s">
        <v>294</v>
      </c>
      <c r="B659" t="str">
        <f>_xlfn.XLOOKUP(A659,[1]Municipios!$B:$B,[1]Municipios!$C:$C)</f>
        <v>Norte</v>
      </c>
      <c r="C659" t="str">
        <f>_xlfn.XLOOKUP(A659,[1]Municipios!$B:$B,[1]Municipios!$D:$D)</f>
        <v>Norte Pioneiro</v>
      </c>
      <c r="D659">
        <v>2025</v>
      </c>
      <c r="E659" t="s">
        <v>232</v>
      </c>
      <c r="F659">
        <v>0.92300000000000004</v>
      </c>
      <c r="G659">
        <v>79.83</v>
      </c>
    </row>
    <row r="660" spans="1:7" x14ac:dyDescent="0.25">
      <c r="A660" t="s">
        <v>294</v>
      </c>
      <c r="B660" t="str">
        <f>_xlfn.XLOOKUP(A660,[1]Municipios!$B:$B,[1]Municipios!$C:$C)</f>
        <v>Norte</v>
      </c>
      <c r="C660" t="str">
        <f>_xlfn.XLOOKUP(A660,[1]Municipios!$B:$B,[1]Municipios!$D:$D)</f>
        <v>Norte Pioneiro</v>
      </c>
      <c r="D660">
        <v>2025</v>
      </c>
      <c r="E660" t="s">
        <v>233</v>
      </c>
      <c r="F660">
        <v>0.75</v>
      </c>
      <c r="G660">
        <v>79.83</v>
      </c>
    </row>
    <row r="661" spans="1:7" x14ac:dyDescent="0.25">
      <c r="A661" t="s">
        <v>294</v>
      </c>
      <c r="B661" t="str">
        <f>_xlfn.XLOOKUP(A661,[1]Municipios!$B:$B,[1]Municipios!$C:$C)</f>
        <v>Norte</v>
      </c>
      <c r="C661" t="str">
        <f>_xlfn.XLOOKUP(A661,[1]Municipios!$B:$B,[1]Municipios!$D:$D)</f>
        <v>Norte Pioneiro</v>
      </c>
      <c r="D661">
        <v>2025</v>
      </c>
      <c r="E661" t="s">
        <v>215</v>
      </c>
      <c r="F661">
        <v>0.85</v>
      </c>
      <c r="G661">
        <v>79.83</v>
      </c>
    </row>
    <row r="662" spans="1:7" x14ac:dyDescent="0.25">
      <c r="A662" t="s">
        <v>294</v>
      </c>
      <c r="B662" t="str">
        <f>_xlfn.XLOOKUP(A662,[1]Municipios!$B:$B,[1]Municipios!$C:$C)</f>
        <v>Norte</v>
      </c>
      <c r="C662" t="str">
        <f>_xlfn.XLOOKUP(A662,[1]Municipios!$B:$B,[1]Municipios!$D:$D)</f>
        <v>Norte Pioneiro</v>
      </c>
      <c r="D662">
        <v>2025</v>
      </c>
      <c r="E662" t="s">
        <v>234</v>
      </c>
      <c r="F662">
        <v>1</v>
      </c>
      <c r="G662">
        <v>79.83</v>
      </c>
    </row>
    <row r="663" spans="1:7" x14ac:dyDescent="0.25">
      <c r="A663" t="s">
        <v>294</v>
      </c>
      <c r="B663" t="str">
        <f>_xlfn.XLOOKUP(A663,[1]Municipios!$B:$B,[1]Municipios!$C:$C)</f>
        <v>Norte</v>
      </c>
      <c r="C663" t="str">
        <f>_xlfn.XLOOKUP(A663,[1]Municipios!$B:$B,[1]Municipios!$D:$D)</f>
        <v>Norte Pioneiro</v>
      </c>
      <c r="D663">
        <v>2025</v>
      </c>
      <c r="E663" t="s">
        <v>235</v>
      </c>
      <c r="F663">
        <v>0.85720000000000007</v>
      </c>
      <c r="G663">
        <v>79.83</v>
      </c>
    </row>
    <row r="664" spans="1:7" x14ac:dyDescent="0.25">
      <c r="A664" t="s">
        <v>294</v>
      </c>
      <c r="B664" t="str">
        <f>_xlfn.XLOOKUP(A664,[1]Municipios!$B:$B,[1]Municipios!$C:$C)</f>
        <v>Norte</v>
      </c>
      <c r="C664" t="str">
        <f>_xlfn.XLOOKUP(A664,[1]Municipios!$B:$B,[1]Municipios!$D:$D)</f>
        <v>Norte Pioneiro</v>
      </c>
      <c r="D664">
        <v>2025</v>
      </c>
      <c r="E664" t="s">
        <v>236</v>
      </c>
      <c r="F664">
        <v>7.690000000000001E-2</v>
      </c>
      <c r="G664">
        <v>79.83</v>
      </c>
    </row>
    <row r="665" spans="1:7" x14ac:dyDescent="0.25">
      <c r="A665" t="s">
        <v>294</v>
      </c>
      <c r="B665" t="str">
        <f>_xlfn.XLOOKUP(A665,[1]Municipios!$B:$B,[1]Municipios!$C:$C)</f>
        <v>Norte</v>
      </c>
      <c r="C665" t="str">
        <f>_xlfn.XLOOKUP(A665,[1]Municipios!$B:$B,[1]Municipios!$D:$D)</f>
        <v>Norte Pioneiro</v>
      </c>
      <c r="D665">
        <v>2025</v>
      </c>
      <c r="E665" t="s">
        <v>237</v>
      </c>
      <c r="F665">
        <v>1</v>
      </c>
      <c r="G665">
        <v>79.83</v>
      </c>
    </row>
    <row r="666" spans="1:7" x14ac:dyDescent="0.25">
      <c r="A666" t="s">
        <v>542</v>
      </c>
      <c r="B666" t="str">
        <f>_xlfn.XLOOKUP(A666,[1]Municipios!$B:$B,[1]Municipios!$C:$C)</f>
        <v>Leste</v>
      </c>
      <c r="C666" t="str">
        <f>_xlfn.XLOOKUP(A666,[1]Municipios!$B:$B,[1]Municipios!$D:$D)</f>
        <v>Gralha Azul</v>
      </c>
      <c r="D666">
        <v>2025</v>
      </c>
      <c r="E666" t="s">
        <v>231</v>
      </c>
      <c r="F666">
        <v>0.55549999999999988</v>
      </c>
      <c r="G666">
        <v>43.6</v>
      </c>
    </row>
    <row r="667" spans="1:7" x14ac:dyDescent="0.25">
      <c r="A667" t="s">
        <v>542</v>
      </c>
      <c r="B667" t="str">
        <f>_xlfn.XLOOKUP(A667,[1]Municipios!$B:$B,[1]Municipios!$C:$C)</f>
        <v>Leste</v>
      </c>
      <c r="C667" t="str">
        <f>_xlfn.XLOOKUP(A667,[1]Municipios!$B:$B,[1]Municipios!$D:$D)</f>
        <v>Gralha Azul</v>
      </c>
      <c r="D667">
        <v>2025</v>
      </c>
      <c r="E667" t="s">
        <v>232</v>
      </c>
      <c r="F667">
        <v>0.76919999999999999</v>
      </c>
      <c r="G667">
        <v>43.6</v>
      </c>
    </row>
    <row r="668" spans="1:7" x14ac:dyDescent="0.25">
      <c r="A668" t="s">
        <v>542</v>
      </c>
      <c r="B668" t="str">
        <f>_xlfn.XLOOKUP(A668,[1]Municipios!$B:$B,[1]Municipios!$C:$C)</f>
        <v>Leste</v>
      </c>
      <c r="C668" t="str">
        <f>_xlfn.XLOOKUP(A668,[1]Municipios!$B:$B,[1]Municipios!$D:$D)</f>
        <v>Gralha Azul</v>
      </c>
      <c r="D668">
        <v>2025</v>
      </c>
      <c r="E668" t="s">
        <v>233</v>
      </c>
      <c r="F668">
        <v>0.5</v>
      </c>
      <c r="G668">
        <v>43.6</v>
      </c>
    </row>
    <row r="669" spans="1:7" x14ac:dyDescent="0.25">
      <c r="A669" t="s">
        <v>542</v>
      </c>
      <c r="B669" t="str">
        <f>_xlfn.XLOOKUP(A669,[1]Municipios!$B:$B,[1]Municipios!$C:$C)</f>
        <v>Leste</v>
      </c>
      <c r="C669" t="str">
        <f>_xlfn.XLOOKUP(A669,[1]Municipios!$B:$B,[1]Municipios!$D:$D)</f>
        <v>Gralha Azul</v>
      </c>
      <c r="D669">
        <v>2025</v>
      </c>
      <c r="E669" t="s">
        <v>215</v>
      </c>
      <c r="F669">
        <v>0.70000000000000007</v>
      </c>
      <c r="G669">
        <v>43.6</v>
      </c>
    </row>
    <row r="670" spans="1:7" x14ac:dyDescent="0.25">
      <c r="A670" t="s">
        <v>542</v>
      </c>
      <c r="B670" t="str">
        <f>_xlfn.XLOOKUP(A670,[1]Municipios!$B:$B,[1]Municipios!$C:$C)</f>
        <v>Leste</v>
      </c>
      <c r="C670" t="str">
        <f>_xlfn.XLOOKUP(A670,[1]Municipios!$B:$B,[1]Municipios!$D:$D)</f>
        <v>Gralha Azul</v>
      </c>
      <c r="D670">
        <v>2025</v>
      </c>
      <c r="E670" t="s">
        <v>234</v>
      </c>
      <c r="F670">
        <v>0.55549999999999999</v>
      </c>
      <c r="G670">
        <v>43.6</v>
      </c>
    </row>
    <row r="671" spans="1:7" x14ac:dyDescent="0.25">
      <c r="A671" t="s">
        <v>542</v>
      </c>
      <c r="B671" t="str">
        <f>_xlfn.XLOOKUP(A671,[1]Municipios!$B:$B,[1]Municipios!$C:$C)</f>
        <v>Leste</v>
      </c>
      <c r="C671" t="str">
        <f>_xlfn.XLOOKUP(A671,[1]Municipios!$B:$B,[1]Municipios!$D:$D)</f>
        <v>Gralha Azul</v>
      </c>
      <c r="D671">
        <v>2025</v>
      </c>
      <c r="E671" t="s">
        <v>235</v>
      </c>
      <c r="F671">
        <v>0.28570000000000001</v>
      </c>
      <c r="G671">
        <v>43.6</v>
      </c>
    </row>
    <row r="672" spans="1:7" x14ac:dyDescent="0.25">
      <c r="A672" t="s">
        <v>542</v>
      </c>
      <c r="B672" t="str">
        <f>_xlfn.XLOOKUP(A672,[1]Municipios!$B:$B,[1]Municipios!$C:$C)</f>
        <v>Leste</v>
      </c>
      <c r="C672" t="str">
        <f>_xlfn.XLOOKUP(A672,[1]Municipios!$B:$B,[1]Municipios!$D:$D)</f>
        <v>Gralha Azul</v>
      </c>
      <c r="D672">
        <v>2025</v>
      </c>
      <c r="E672" t="s">
        <v>236</v>
      </c>
      <c r="F672">
        <v>0</v>
      </c>
      <c r="G672">
        <v>43.6</v>
      </c>
    </row>
    <row r="673" spans="1:7" x14ac:dyDescent="0.25">
      <c r="A673" t="s">
        <v>542</v>
      </c>
      <c r="B673" t="str">
        <f>_xlfn.XLOOKUP(A673,[1]Municipios!$B:$B,[1]Municipios!$C:$C)</f>
        <v>Leste</v>
      </c>
      <c r="C673" t="str">
        <f>_xlfn.XLOOKUP(A673,[1]Municipios!$B:$B,[1]Municipios!$D:$D)</f>
        <v>Gralha Azul</v>
      </c>
      <c r="D673">
        <v>2025</v>
      </c>
      <c r="E673" t="s">
        <v>237</v>
      </c>
      <c r="F673">
        <v>0</v>
      </c>
      <c r="G673">
        <v>43.6</v>
      </c>
    </row>
    <row r="674" spans="1:7" x14ac:dyDescent="0.25">
      <c r="A674" t="s">
        <v>423</v>
      </c>
      <c r="B674" t="str">
        <f>_xlfn.XLOOKUP(A674,[1]Municipios!$B:$B,[1]Municipios!$C:$C)</f>
        <v>Oeste</v>
      </c>
      <c r="C674" t="str">
        <f>_xlfn.XLOOKUP(A674,[1]Municipios!$B:$B,[1]Municipios!$D:$D)</f>
        <v>Oeste Integrado</v>
      </c>
      <c r="D674">
        <v>2025</v>
      </c>
      <c r="E674" t="s">
        <v>231</v>
      </c>
      <c r="F674">
        <v>0.77779999999999994</v>
      </c>
      <c r="G674">
        <v>76.55</v>
      </c>
    </row>
    <row r="675" spans="1:7" x14ac:dyDescent="0.25">
      <c r="A675" t="s">
        <v>423</v>
      </c>
      <c r="B675" t="str">
        <f>_xlfn.XLOOKUP(A675,[1]Municipios!$B:$B,[1]Municipios!$C:$C)</f>
        <v>Oeste</v>
      </c>
      <c r="C675" t="str">
        <f>_xlfn.XLOOKUP(A675,[1]Municipios!$B:$B,[1]Municipios!$D:$D)</f>
        <v>Oeste Integrado</v>
      </c>
      <c r="D675">
        <v>2025</v>
      </c>
      <c r="E675" t="s">
        <v>232</v>
      </c>
      <c r="F675">
        <v>0.84619999999999995</v>
      </c>
      <c r="G675">
        <v>76.55</v>
      </c>
    </row>
    <row r="676" spans="1:7" x14ac:dyDescent="0.25">
      <c r="A676" t="s">
        <v>423</v>
      </c>
      <c r="B676" t="str">
        <f>_xlfn.XLOOKUP(A676,[1]Municipios!$B:$B,[1]Municipios!$C:$C)</f>
        <v>Oeste</v>
      </c>
      <c r="C676" t="str">
        <f>_xlfn.XLOOKUP(A676,[1]Municipios!$B:$B,[1]Municipios!$D:$D)</f>
        <v>Oeste Integrado</v>
      </c>
      <c r="D676">
        <v>2025</v>
      </c>
      <c r="E676" t="s">
        <v>233</v>
      </c>
      <c r="F676">
        <v>1</v>
      </c>
      <c r="G676">
        <v>76.55</v>
      </c>
    </row>
    <row r="677" spans="1:7" x14ac:dyDescent="0.25">
      <c r="A677" t="s">
        <v>423</v>
      </c>
      <c r="B677" t="str">
        <f>_xlfn.XLOOKUP(A677,[1]Municipios!$B:$B,[1]Municipios!$C:$C)</f>
        <v>Oeste</v>
      </c>
      <c r="C677" t="str">
        <f>_xlfn.XLOOKUP(A677,[1]Municipios!$B:$B,[1]Municipios!$D:$D)</f>
        <v>Oeste Integrado</v>
      </c>
      <c r="D677">
        <v>2025</v>
      </c>
      <c r="E677" t="s">
        <v>215</v>
      </c>
      <c r="F677">
        <v>0.39999999999999997</v>
      </c>
      <c r="G677">
        <v>76.55</v>
      </c>
    </row>
    <row r="678" spans="1:7" x14ac:dyDescent="0.25">
      <c r="A678" t="s">
        <v>423</v>
      </c>
      <c r="B678" t="str">
        <f>_xlfn.XLOOKUP(A678,[1]Municipios!$B:$B,[1]Municipios!$C:$C)</f>
        <v>Oeste</v>
      </c>
      <c r="C678" t="str">
        <f>_xlfn.XLOOKUP(A678,[1]Municipios!$B:$B,[1]Municipios!$D:$D)</f>
        <v>Oeste Integrado</v>
      </c>
      <c r="D678">
        <v>2025</v>
      </c>
      <c r="E678" t="s">
        <v>234</v>
      </c>
      <c r="F678">
        <v>0.88880000000000003</v>
      </c>
      <c r="G678">
        <v>76.55</v>
      </c>
    </row>
    <row r="679" spans="1:7" x14ac:dyDescent="0.25">
      <c r="A679" t="s">
        <v>423</v>
      </c>
      <c r="B679" t="str">
        <f>_xlfn.XLOOKUP(A679,[1]Municipios!$B:$B,[1]Municipios!$C:$C)</f>
        <v>Oeste</v>
      </c>
      <c r="C679" t="str">
        <f>_xlfn.XLOOKUP(A679,[1]Municipios!$B:$B,[1]Municipios!$D:$D)</f>
        <v>Oeste Integrado</v>
      </c>
      <c r="D679">
        <v>2025</v>
      </c>
      <c r="E679" t="s">
        <v>235</v>
      </c>
      <c r="F679">
        <v>1</v>
      </c>
      <c r="G679">
        <v>76.55</v>
      </c>
    </row>
    <row r="680" spans="1:7" x14ac:dyDescent="0.25">
      <c r="A680" t="s">
        <v>423</v>
      </c>
      <c r="B680" t="str">
        <f>_xlfn.XLOOKUP(A680,[1]Municipios!$B:$B,[1]Municipios!$C:$C)</f>
        <v>Oeste</v>
      </c>
      <c r="C680" t="str">
        <f>_xlfn.XLOOKUP(A680,[1]Municipios!$B:$B,[1]Municipios!$D:$D)</f>
        <v>Oeste Integrado</v>
      </c>
      <c r="D680">
        <v>2025</v>
      </c>
      <c r="E680" t="s">
        <v>236</v>
      </c>
      <c r="F680">
        <v>0.23080000000000001</v>
      </c>
      <c r="G680">
        <v>76.55</v>
      </c>
    </row>
    <row r="681" spans="1:7" x14ac:dyDescent="0.25">
      <c r="A681" t="s">
        <v>423</v>
      </c>
      <c r="B681" t="str">
        <f>_xlfn.XLOOKUP(A681,[1]Municipios!$B:$B,[1]Municipios!$C:$C)</f>
        <v>Oeste</v>
      </c>
      <c r="C681" t="str">
        <f>_xlfn.XLOOKUP(A681,[1]Municipios!$B:$B,[1]Municipios!$D:$D)</f>
        <v>Oeste Integrado</v>
      </c>
      <c r="D681">
        <v>2025</v>
      </c>
      <c r="E681" t="s">
        <v>237</v>
      </c>
      <c r="F681">
        <v>1</v>
      </c>
      <c r="G681">
        <v>76.55</v>
      </c>
    </row>
    <row r="682" spans="1:7" x14ac:dyDescent="0.25">
      <c r="A682" t="s">
        <v>504</v>
      </c>
      <c r="B682" t="str">
        <f>_xlfn.XLOOKUP(A682,[1]Municipios!$B:$B,[1]Municipios!$C:$C)</f>
        <v>Norte</v>
      </c>
      <c r="C682" t="str">
        <f>_xlfn.XLOOKUP(A682,[1]Municipios!$B:$B,[1]Municipios!$D:$D)</f>
        <v>Norte Central</v>
      </c>
      <c r="D682">
        <v>2025</v>
      </c>
      <c r="E682" t="s">
        <v>231</v>
      </c>
      <c r="F682">
        <v>0.77779999999999994</v>
      </c>
      <c r="G682">
        <v>82.8</v>
      </c>
    </row>
    <row r="683" spans="1:7" x14ac:dyDescent="0.25">
      <c r="A683" t="s">
        <v>504</v>
      </c>
      <c r="B683" t="str">
        <f>_xlfn.XLOOKUP(A683,[1]Municipios!$B:$B,[1]Municipios!$C:$C)</f>
        <v>Norte</v>
      </c>
      <c r="C683" t="str">
        <f>_xlfn.XLOOKUP(A683,[1]Municipios!$B:$B,[1]Municipios!$D:$D)</f>
        <v>Norte Central</v>
      </c>
      <c r="D683">
        <v>2025</v>
      </c>
      <c r="E683" t="s">
        <v>232</v>
      </c>
      <c r="F683">
        <v>0.92310000000000003</v>
      </c>
      <c r="G683">
        <v>82.8</v>
      </c>
    </row>
    <row r="684" spans="1:7" x14ac:dyDescent="0.25">
      <c r="A684" t="s">
        <v>504</v>
      </c>
      <c r="B684" t="str">
        <f>_xlfn.XLOOKUP(A684,[1]Municipios!$B:$B,[1]Municipios!$C:$C)</f>
        <v>Norte</v>
      </c>
      <c r="C684" t="str">
        <f>_xlfn.XLOOKUP(A684,[1]Municipios!$B:$B,[1]Municipios!$D:$D)</f>
        <v>Norte Central</v>
      </c>
      <c r="D684">
        <v>2025</v>
      </c>
      <c r="E684" t="s">
        <v>233</v>
      </c>
      <c r="F684">
        <v>0.75</v>
      </c>
      <c r="G684">
        <v>82.8</v>
      </c>
    </row>
    <row r="685" spans="1:7" x14ac:dyDescent="0.25">
      <c r="A685" t="s">
        <v>504</v>
      </c>
      <c r="B685" t="str">
        <f>_xlfn.XLOOKUP(A685,[1]Municipios!$B:$B,[1]Municipios!$C:$C)</f>
        <v>Norte</v>
      </c>
      <c r="C685" t="str">
        <f>_xlfn.XLOOKUP(A685,[1]Municipios!$B:$B,[1]Municipios!$D:$D)</f>
        <v>Norte Central</v>
      </c>
      <c r="D685">
        <v>2025</v>
      </c>
      <c r="E685" t="s">
        <v>215</v>
      </c>
      <c r="F685">
        <v>0.79999999999999993</v>
      </c>
      <c r="G685">
        <v>82.8</v>
      </c>
    </row>
    <row r="686" spans="1:7" x14ac:dyDescent="0.25">
      <c r="A686" t="s">
        <v>504</v>
      </c>
      <c r="B686" t="str">
        <f>_xlfn.XLOOKUP(A686,[1]Municipios!$B:$B,[1]Municipios!$C:$C)</f>
        <v>Norte</v>
      </c>
      <c r="C686" t="str">
        <f>_xlfn.XLOOKUP(A686,[1]Municipios!$B:$B,[1]Municipios!$D:$D)</f>
        <v>Norte Central</v>
      </c>
      <c r="D686">
        <v>2025</v>
      </c>
      <c r="E686" t="s">
        <v>234</v>
      </c>
      <c r="F686">
        <v>0.66659999999999997</v>
      </c>
      <c r="G686">
        <v>82.8</v>
      </c>
    </row>
    <row r="687" spans="1:7" x14ac:dyDescent="0.25">
      <c r="A687" t="s">
        <v>504</v>
      </c>
      <c r="B687" t="str">
        <f>_xlfn.XLOOKUP(A687,[1]Municipios!$B:$B,[1]Municipios!$C:$C)</f>
        <v>Norte</v>
      </c>
      <c r="C687" t="str">
        <f>_xlfn.XLOOKUP(A687,[1]Municipios!$B:$B,[1]Municipios!$D:$D)</f>
        <v>Norte Central</v>
      </c>
      <c r="D687">
        <v>2025</v>
      </c>
      <c r="E687" t="s">
        <v>235</v>
      </c>
      <c r="F687">
        <v>0.85720000000000007</v>
      </c>
      <c r="G687">
        <v>82.8</v>
      </c>
    </row>
    <row r="688" spans="1:7" x14ac:dyDescent="0.25">
      <c r="A688" t="s">
        <v>504</v>
      </c>
      <c r="B688" t="str">
        <f>_xlfn.XLOOKUP(A688,[1]Municipios!$B:$B,[1]Municipios!$C:$C)</f>
        <v>Norte</v>
      </c>
      <c r="C688" t="str">
        <f>_xlfn.XLOOKUP(A688,[1]Municipios!$B:$B,[1]Municipios!$D:$D)</f>
        <v>Norte Central</v>
      </c>
      <c r="D688">
        <v>2025</v>
      </c>
      <c r="E688" t="s">
        <v>236</v>
      </c>
      <c r="F688">
        <v>0.84620000000000006</v>
      </c>
      <c r="G688">
        <v>82.8</v>
      </c>
    </row>
    <row r="689" spans="1:7" x14ac:dyDescent="0.25">
      <c r="A689" t="s">
        <v>504</v>
      </c>
      <c r="B689" t="str">
        <f>_xlfn.XLOOKUP(A689,[1]Municipios!$B:$B,[1]Municipios!$C:$C)</f>
        <v>Norte</v>
      </c>
      <c r="C689" t="str">
        <f>_xlfn.XLOOKUP(A689,[1]Municipios!$B:$B,[1]Municipios!$D:$D)</f>
        <v>Norte Central</v>
      </c>
      <c r="D689">
        <v>2025</v>
      </c>
      <c r="E689" t="s">
        <v>237</v>
      </c>
      <c r="F689">
        <v>1</v>
      </c>
      <c r="G689">
        <v>82.8</v>
      </c>
    </row>
    <row r="690" spans="1:7" x14ac:dyDescent="0.25">
      <c r="A690" t="s">
        <v>330</v>
      </c>
      <c r="B690" t="str">
        <f>_xlfn.XLOOKUP(A690,[1]Municipios!$B:$B,[1]Municipios!$C:$C)</f>
        <v>Sul</v>
      </c>
      <c r="C690" t="str">
        <f>_xlfn.XLOOKUP(A690,[1]Municipios!$B:$B,[1]Municipios!$D:$D)</f>
        <v>Sudoeste Pioneiro</v>
      </c>
      <c r="D690">
        <v>2025</v>
      </c>
      <c r="E690" t="s">
        <v>231</v>
      </c>
      <c r="F690">
        <v>0.77779999999999994</v>
      </c>
      <c r="G690">
        <v>59.15</v>
      </c>
    </row>
    <row r="691" spans="1:7" x14ac:dyDescent="0.25">
      <c r="A691" t="s">
        <v>330</v>
      </c>
      <c r="B691" t="str">
        <f>_xlfn.XLOOKUP(A691,[1]Municipios!$B:$B,[1]Municipios!$C:$C)</f>
        <v>Sul</v>
      </c>
      <c r="C691" t="str">
        <f>_xlfn.XLOOKUP(A691,[1]Municipios!$B:$B,[1]Municipios!$D:$D)</f>
        <v>Sudoeste Pioneiro</v>
      </c>
      <c r="D691">
        <v>2025</v>
      </c>
      <c r="E691" t="s">
        <v>232</v>
      </c>
      <c r="F691">
        <v>0.76929999999999998</v>
      </c>
      <c r="G691">
        <v>59.15</v>
      </c>
    </row>
    <row r="692" spans="1:7" x14ac:dyDescent="0.25">
      <c r="A692" t="s">
        <v>330</v>
      </c>
      <c r="B692" t="str">
        <f>_xlfn.XLOOKUP(A692,[1]Municipios!$B:$B,[1]Municipios!$C:$C)</f>
        <v>Sul</v>
      </c>
      <c r="C692" t="str">
        <f>_xlfn.XLOOKUP(A692,[1]Municipios!$B:$B,[1]Municipios!$D:$D)</f>
        <v>Sudoeste Pioneiro</v>
      </c>
      <c r="D692">
        <v>2025</v>
      </c>
      <c r="E692" t="s">
        <v>233</v>
      </c>
      <c r="F692">
        <v>0.5</v>
      </c>
      <c r="G692">
        <v>59.15</v>
      </c>
    </row>
    <row r="693" spans="1:7" x14ac:dyDescent="0.25">
      <c r="A693" t="s">
        <v>330</v>
      </c>
      <c r="B693" t="str">
        <f>_xlfn.XLOOKUP(A693,[1]Municipios!$B:$B,[1]Municipios!$C:$C)</f>
        <v>Sul</v>
      </c>
      <c r="C693" t="str">
        <f>_xlfn.XLOOKUP(A693,[1]Municipios!$B:$B,[1]Municipios!$D:$D)</f>
        <v>Sudoeste Pioneiro</v>
      </c>
      <c r="D693">
        <v>2025</v>
      </c>
      <c r="E693" t="s">
        <v>215</v>
      </c>
      <c r="F693">
        <v>0.79999999999999993</v>
      </c>
      <c r="G693">
        <v>59.15</v>
      </c>
    </row>
    <row r="694" spans="1:7" x14ac:dyDescent="0.25">
      <c r="A694" t="s">
        <v>330</v>
      </c>
      <c r="B694" t="str">
        <f>_xlfn.XLOOKUP(A694,[1]Municipios!$B:$B,[1]Municipios!$C:$C)</f>
        <v>Sul</v>
      </c>
      <c r="C694" t="str">
        <f>_xlfn.XLOOKUP(A694,[1]Municipios!$B:$B,[1]Municipios!$D:$D)</f>
        <v>Sudoeste Pioneiro</v>
      </c>
      <c r="D694">
        <v>2025</v>
      </c>
      <c r="E694" t="s">
        <v>234</v>
      </c>
      <c r="F694">
        <v>0.66659999999999997</v>
      </c>
      <c r="G694">
        <v>59.15</v>
      </c>
    </row>
    <row r="695" spans="1:7" x14ac:dyDescent="0.25">
      <c r="A695" t="s">
        <v>330</v>
      </c>
      <c r="B695" t="str">
        <f>_xlfn.XLOOKUP(A695,[1]Municipios!$B:$B,[1]Municipios!$C:$C)</f>
        <v>Sul</v>
      </c>
      <c r="C695" t="str">
        <f>_xlfn.XLOOKUP(A695,[1]Municipios!$B:$B,[1]Municipios!$D:$D)</f>
        <v>Sudoeste Pioneiro</v>
      </c>
      <c r="D695">
        <v>2025</v>
      </c>
      <c r="E695" t="s">
        <v>235</v>
      </c>
      <c r="F695">
        <v>0.57150000000000001</v>
      </c>
      <c r="G695">
        <v>59.15</v>
      </c>
    </row>
    <row r="696" spans="1:7" x14ac:dyDescent="0.25">
      <c r="A696" t="s">
        <v>330</v>
      </c>
      <c r="B696" t="str">
        <f>_xlfn.XLOOKUP(A696,[1]Municipios!$B:$B,[1]Municipios!$C:$C)</f>
        <v>Sul</v>
      </c>
      <c r="C696" t="str">
        <f>_xlfn.XLOOKUP(A696,[1]Municipios!$B:$B,[1]Municipios!$D:$D)</f>
        <v>Sudoeste Pioneiro</v>
      </c>
      <c r="D696">
        <v>2025</v>
      </c>
      <c r="E696" t="s">
        <v>236</v>
      </c>
      <c r="F696">
        <v>0</v>
      </c>
      <c r="G696">
        <v>59.15</v>
      </c>
    </row>
    <row r="697" spans="1:7" x14ac:dyDescent="0.25">
      <c r="A697" t="s">
        <v>330</v>
      </c>
      <c r="B697" t="str">
        <f>_xlfn.XLOOKUP(A697,[1]Municipios!$B:$B,[1]Municipios!$C:$C)</f>
        <v>Sul</v>
      </c>
      <c r="C697" t="str">
        <f>_xlfn.XLOOKUP(A697,[1]Municipios!$B:$B,[1]Municipios!$D:$D)</f>
        <v>Sudoeste Pioneiro</v>
      </c>
      <c r="D697">
        <v>2025</v>
      </c>
      <c r="E697" t="s">
        <v>237</v>
      </c>
      <c r="F697">
        <v>0.5</v>
      </c>
      <c r="G697">
        <v>59.15</v>
      </c>
    </row>
    <row r="698" spans="1:7" x14ac:dyDescent="0.25">
      <c r="A698" t="s">
        <v>331</v>
      </c>
      <c r="B698" t="str">
        <f>_xlfn.XLOOKUP(A698,[1]Municipios!$B:$B,[1]Municipios!$C:$C)</f>
        <v>Sul</v>
      </c>
      <c r="C698" t="str">
        <f>_xlfn.XLOOKUP(A698,[1]Municipios!$B:$B,[1]Municipios!$D:$D)</f>
        <v>Sudoeste Pioneiro</v>
      </c>
      <c r="D698">
        <v>2025</v>
      </c>
      <c r="E698" t="s">
        <v>231</v>
      </c>
      <c r="F698">
        <v>0.88890000000000002</v>
      </c>
      <c r="G698">
        <v>79.760000000000005</v>
      </c>
    </row>
    <row r="699" spans="1:7" x14ac:dyDescent="0.25">
      <c r="A699" t="s">
        <v>331</v>
      </c>
      <c r="B699" t="str">
        <f>_xlfn.XLOOKUP(A699,[1]Municipios!$B:$B,[1]Municipios!$C:$C)</f>
        <v>Sul</v>
      </c>
      <c r="C699" t="str">
        <f>_xlfn.XLOOKUP(A699,[1]Municipios!$B:$B,[1]Municipios!$D:$D)</f>
        <v>Sudoeste Pioneiro</v>
      </c>
      <c r="D699">
        <v>2025</v>
      </c>
      <c r="E699" t="s">
        <v>232</v>
      </c>
      <c r="F699">
        <v>0.84619999999999995</v>
      </c>
      <c r="G699">
        <v>79.760000000000005</v>
      </c>
    </row>
    <row r="700" spans="1:7" x14ac:dyDescent="0.25">
      <c r="A700" t="s">
        <v>331</v>
      </c>
      <c r="B700" t="str">
        <f>_xlfn.XLOOKUP(A700,[1]Municipios!$B:$B,[1]Municipios!$C:$C)</f>
        <v>Sul</v>
      </c>
      <c r="C700" t="str">
        <f>_xlfn.XLOOKUP(A700,[1]Municipios!$B:$B,[1]Municipios!$D:$D)</f>
        <v>Sudoeste Pioneiro</v>
      </c>
      <c r="D700">
        <v>2025</v>
      </c>
      <c r="E700" t="s">
        <v>233</v>
      </c>
      <c r="F700">
        <v>0.875</v>
      </c>
      <c r="G700">
        <v>79.760000000000005</v>
      </c>
    </row>
    <row r="701" spans="1:7" x14ac:dyDescent="0.25">
      <c r="A701" t="s">
        <v>331</v>
      </c>
      <c r="B701" t="str">
        <f>_xlfn.XLOOKUP(A701,[1]Municipios!$B:$B,[1]Municipios!$C:$C)</f>
        <v>Sul</v>
      </c>
      <c r="C701" t="str">
        <f>_xlfn.XLOOKUP(A701,[1]Municipios!$B:$B,[1]Municipios!$D:$D)</f>
        <v>Sudoeste Pioneiro</v>
      </c>
      <c r="D701">
        <v>2025</v>
      </c>
      <c r="E701" t="s">
        <v>215</v>
      </c>
      <c r="F701">
        <v>1</v>
      </c>
      <c r="G701">
        <v>79.760000000000005</v>
      </c>
    </row>
    <row r="702" spans="1:7" x14ac:dyDescent="0.25">
      <c r="A702" t="s">
        <v>331</v>
      </c>
      <c r="B702" t="str">
        <f>_xlfn.XLOOKUP(A702,[1]Municipios!$B:$B,[1]Municipios!$C:$C)</f>
        <v>Sul</v>
      </c>
      <c r="C702" t="str">
        <f>_xlfn.XLOOKUP(A702,[1]Municipios!$B:$B,[1]Municipios!$D:$D)</f>
        <v>Sudoeste Pioneiro</v>
      </c>
      <c r="D702">
        <v>2025</v>
      </c>
      <c r="E702" t="s">
        <v>234</v>
      </c>
      <c r="F702">
        <v>0.66659999999999997</v>
      </c>
      <c r="G702">
        <v>79.760000000000005</v>
      </c>
    </row>
    <row r="703" spans="1:7" x14ac:dyDescent="0.25">
      <c r="A703" t="s">
        <v>331</v>
      </c>
      <c r="B703" t="str">
        <f>_xlfn.XLOOKUP(A703,[1]Municipios!$B:$B,[1]Municipios!$C:$C)</f>
        <v>Sul</v>
      </c>
      <c r="C703" t="str">
        <f>_xlfn.XLOOKUP(A703,[1]Municipios!$B:$B,[1]Municipios!$D:$D)</f>
        <v>Sudoeste Pioneiro</v>
      </c>
      <c r="D703">
        <v>2025</v>
      </c>
      <c r="E703" t="s">
        <v>235</v>
      </c>
      <c r="F703">
        <v>1</v>
      </c>
      <c r="G703">
        <v>79.760000000000005</v>
      </c>
    </row>
    <row r="704" spans="1:7" x14ac:dyDescent="0.25">
      <c r="A704" t="s">
        <v>331</v>
      </c>
      <c r="B704" t="str">
        <f>_xlfn.XLOOKUP(A704,[1]Municipios!$B:$B,[1]Municipios!$C:$C)</f>
        <v>Sul</v>
      </c>
      <c r="C704" t="str">
        <f>_xlfn.XLOOKUP(A704,[1]Municipios!$B:$B,[1]Municipios!$D:$D)</f>
        <v>Sudoeste Pioneiro</v>
      </c>
      <c r="D704">
        <v>2025</v>
      </c>
      <c r="E704" t="s">
        <v>236</v>
      </c>
      <c r="F704">
        <v>0.15390000000000001</v>
      </c>
      <c r="G704">
        <v>79.760000000000005</v>
      </c>
    </row>
    <row r="705" spans="1:7" x14ac:dyDescent="0.25">
      <c r="A705" t="s">
        <v>331</v>
      </c>
      <c r="B705" t="str">
        <f>_xlfn.XLOOKUP(A705,[1]Municipios!$B:$B,[1]Municipios!$C:$C)</f>
        <v>Sul</v>
      </c>
      <c r="C705" t="str">
        <f>_xlfn.XLOOKUP(A705,[1]Municipios!$B:$B,[1]Municipios!$D:$D)</f>
        <v>Sudoeste Pioneiro</v>
      </c>
      <c r="D705">
        <v>2025</v>
      </c>
      <c r="E705" t="s">
        <v>237</v>
      </c>
      <c r="F705">
        <v>1</v>
      </c>
      <c r="G705">
        <v>79.760000000000005</v>
      </c>
    </row>
    <row r="706" spans="1:7" x14ac:dyDescent="0.25">
      <c r="A706" t="s">
        <v>325</v>
      </c>
      <c r="B706" t="str">
        <f>_xlfn.XLOOKUP(A706,[1]Municipios!$B:$B,[1]Municipios!$C:$C)</f>
        <v>Noroeste</v>
      </c>
      <c r="C706" t="str">
        <f>_xlfn.XLOOKUP(A706,[1]Municipios!$B:$B,[1]Municipios!$D:$D)</f>
        <v>Centro Ocidental</v>
      </c>
      <c r="D706">
        <v>2025</v>
      </c>
      <c r="E706" t="s">
        <v>231</v>
      </c>
      <c r="F706">
        <v>0.33329999999999999</v>
      </c>
      <c r="G706">
        <v>19.079999999999998</v>
      </c>
    </row>
    <row r="707" spans="1:7" x14ac:dyDescent="0.25">
      <c r="A707" t="s">
        <v>325</v>
      </c>
      <c r="B707" t="str">
        <f>_xlfn.XLOOKUP(A707,[1]Municipios!$B:$B,[1]Municipios!$C:$C)</f>
        <v>Noroeste</v>
      </c>
      <c r="C707" t="str">
        <f>_xlfn.XLOOKUP(A707,[1]Municipios!$B:$B,[1]Municipios!$D:$D)</f>
        <v>Centro Ocidental</v>
      </c>
      <c r="D707">
        <v>2025</v>
      </c>
      <c r="E707" t="s">
        <v>232</v>
      </c>
      <c r="F707">
        <v>0.30760000000000004</v>
      </c>
      <c r="G707">
        <v>19.079999999999998</v>
      </c>
    </row>
    <row r="708" spans="1:7" x14ac:dyDescent="0.25">
      <c r="A708" t="s">
        <v>325</v>
      </c>
      <c r="B708" t="str">
        <f>_xlfn.XLOOKUP(A708,[1]Municipios!$B:$B,[1]Municipios!$C:$C)</f>
        <v>Noroeste</v>
      </c>
      <c r="C708" t="str">
        <f>_xlfn.XLOOKUP(A708,[1]Municipios!$B:$B,[1]Municipios!$D:$D)</f>
        <v>Centro Ocidental</v>
      </c>
      <c r="D708">
        <v>2025</v>
      </c>
      <c r="E708" t="s">
        <v>233</v>
      </c>
      <c r="F708">
        <v>0.125</v>
      </c>
      <c r="G708">
        <v>19.079999999999998</v>
      </c>
    </row>
    <row r="709" spans="1:7" x14ac:dyDescent="0.25">
      <c r="A709" t="s">
        <v>325</v>
      </c>
      <c r="B709" t="str">
        <f>_xlfn.XLOOKUP(A709,[1]Municipios!$B:$B,[1]Municipios!$C:$C)</f>
        <v>Noroeste</v>
      </c>
      <c r="C709" t="str">
        <f>_xlfn.XLOOKUP(A709,[1]Municipios!$B:$B,[1]Municipios!$D:$D)</f>
        <v>Centro Ocidental</v>
      </c>
      <c r="D709">
        <v>2025</v>
      </c>
      <c r="E709" t="s">
        <v>215</v>
      </c>
      <c r="F709">
        <v>0</v>
      </c>
      <c r="G709">
        <v>19.079999999999998</v>
      </c>
    </row>
    <row r="710" spans="1:7" x14ac:dyDescent="0.25">
      <c r="A710" t="s">
        <v>325</v>
      </c>
      <c r="B710" t="str">
        <f>_xlfn.XLOOKUP(A710,[1]Municipios!$B:$B,[1]Municipios!$C:$C)</f>
        <v>Noroeste</v>
      </c>
      <c r="C710" t="str">
        <f>_xlfn.XLOOKUP(A710,[1]Municipios!$B:$B,[1]Municipios!$D:$D)</f>
        <v>Centro Ocidental</v>
      </c>
      <c r="D710">
        <v>2025</v>
      </c>
      <c r="E710" t="s">
        <v>234</v>
      </c>
      <c r="F710">
        <v>0.1111</v>
      </c>
      <c r="G710">
        <v>19.079999999999998</v>
      </c>
    </row>
    <row r="711" spans="1:7" x14ac:dyDescent="0.25">
      <c r="A711" t="s">
        <v>325</v>
      </c>
      <c r="B711" t="str">
        <f>_xlfn.XLOOKUP(A711,[1]Municipios!$B:$B,[1]Municipios!$C:$C)</f>
        <v>Noroeste</v>
      </c>
      <c r="C711" t="str">
        <f>_xlfn.XLOOKUP(A711,[1]Municipios!$B:$B,[1]Municipios!$D:$D)</f>
        <v>Centro Ocidental</v>
      </c>
      <c r="D711">
        <v>2025</v>
      </c>
      <c r="E711" t="s">
        <v>235</v>
      </c>
      <c r="F711">
        <v>0.1429</v>
      </c>
      <c r="G711">
        <v>19.079999999999998</v>
      </c>
    </row>
    <row r="712" spans="1:7" x14ac:dyDescent="0.25">
      <c r="A712" t="s">
        <v>325</v>
      </c>
      <c r="B712" t="str">
        <f>_xlfn.XLOOKUP(A712,[1]Municipios!$B:$B,[1]Municipios!$C:$C)</f>
        <v>Noroeste</v>
      </c>
      <c r="C712" t="str">
        <f>_xlfn.XLOOKUP(A712,[1]Municipios!$B:$B,[1]Municipios!$D:$D)</f>
        <v>Centro Ocidental</v>
      </c>
      <c r="D712">
        <v>2025</v>
      </c>
      <c r="E712" t="s">
        <v>236</v>
      </c>
      <c r="F712">
        <v>0</v>
      </c>
      <c r="G712">
        <v>19.079999999999998</v>
      </c>
    </row>
    <row r="713" spans="1:7" x14ac:dyDescent="0.25">
      <c r="A713" t="s">
        <v>325</v>
      </c>
      <c r="B713" t="str">
        <f>_xlfn.XLOOKUP(A713,[1]Municipios!$B:$B,[1]Municipios!$C:$C)</f>
        <v>Noroeste</v>
      </c>
      <c r="C713" t="str">
        <f>_xlfn.XLOOKUP(A713,[1]Municipios!$B:$B,[1]Municipios!$D:$D)</f>
        <v>Centro Ocidental</v>
      </c>
      <c r="D713">
        <v>2025</v>
      </c>
      <c r="E713" t="s">
        <v>237</v>
      </c>
      <c r="F713">
        <v>0.5</v>
      </c>
      <c r="G713">
        <v>19.079999999999998</v>
      </c>
    </row>
    <row r="714" spans="1:7" x14ac:dyDescent="0.25">
      <c r="A714" t="s">
        <v>408</v>
      </c>
      <c r="B714" t="str">
        <f>_xlfn.XLOOKUP(A714,[1]Municipios!$B:$B,[1]Municipios!$C:$C)</f>
        <v>Sul</v>
      </c>
      <c r="C714" t="str">
        <f>_xlfn.XLOOKUP(A714,[1]Municipios!$B:$B,[1]Municipios!$D:$D)</f>
        <v>Sul do Paraná</v>
      </c>
      <c r="D714">
        <v>2025</v>
      </c>
      <c r="E714" t="s">
        <v>231</v>
      </c>
      <c r="F714">
        <v>0.55559999999999998</v>
      </c>
      <c r="G714">
        <v>80.48</v>
      </c>
    </row>
    <row r="715" spans="1:7" x14ac:dyDescent="0.25">
      <c r="A715" t="s">
        <v>408</v>
      </c>
      <c r="B715" t="str">
        <f>_xlfn.XLOOKUP(A715,[1]Municipios!$B:$B,[1]Municipios!$C:$C)</f>
        <v>Sul</v>
      </c>
      <c r="C715" t="str">
        <f>_xlfn.XLOOKUP(A715,[1]Municipios!$B:$B,[1]Municipios!$D:$D)</f>
        <v>Sul do Paraná</v>
      </c>
      <c r="D715">
        <v>2025</v>
      </c>
      <c r="E715" t="s">
        <v>232</v>
      </c>
      <c r="F715">
        <v>0.84619999999999995</v>
      </c>
      <c r="G715">
        <v>80.48</v>
      </c>
    </row>
    <row r="716" spans="1:7" x14ac:dyDescent="0.25">
      <c r="A716" t="s">
        <v>408</v>
      </c>
      <c r="B716" t="str">
        <f>_xlfn.XLOOKUP(A716,[1]Municipios!$B:$B,[1]Municipios!$C:$C)</f>
        <v>Sul</v>
      </c>
      <c r="C716" t="str">
        <f>_xlfn.XLOOKUP(A716,[1]Municipios!$B:$B,[1]Municipios!$D:$D)</f>
        <v>Sul do Paraná</v>
      </c>
      <c r="D716">
        <v>2025</v>
      </c>
      <c r="E716" t="s">
        <v>233</v>
      </c>
      <c r="F716">
        <v>0.5</v>
      </c>
      <c r="G716">
        <v>80.48</v>
      </c>
    </row>
    <row r="717" spans="1:7" x14ac:dyDescent="0.25">
      <c r="A717" t="s">
        <v>408</v>
      </c>
      <c r="B717" t="str">
        <f>_xlfn.XLOOKUP(A717,[1]Municipios!$B:$B,[1]Municipios!$C:$C)</f>
        <v>Sul</v>
      </c>
      <c r="C717" t="str">
        <f>_xlfn.XLOOKUP(A717,[1]Municipios!$B:$B,[1]Municipios!$D:$D)</f>
        <v>Sul do Paraná</v>
      </c>
      <c r="D717">
        <v>2025</v>
      </c>
      <c r="E717" t="s">
        <v>215</v>
      </c>
      <c r="F717">
        <v>1</v>
      </c>
      <c r="G717">
        <v>80.48</v>
      </c>
    </row>
    <row r="718" spans="1:7" x14ac:dyDescent="0.25">
      <c r="A718" t="s">
        <v>408</v>
      </c>
      <c r="B718" t="str">
        <f>_xlfn.XLOOKUP(A718,[1]Municipios!$B:$B,[1]Municipios!$C:$C)</f>
        <v>Sul</v>
      </c>
      <c r="C718" t="str">
        <f>_xlfn.XLOOKUP(A718,[1]Municipios!$B:$B,[1]Municipios!$D:$D)</f>
        <v>Sul do Paraná</v>
      </c>
      <c r="D718">
        <v>2025</v>
      </c>
      <c r="E718" t="s">
        <v>234</v>
      </c>
      <c r="F718">
        <v>1</v>
      </c>
      <c r="G718">
        <v>80.48</v>
      </c>
    </row>
    <row r="719" spans="1:7" x14ac:dyDescent="0.25">
      <c r="A719" t="s">
        <v>408</v>
      </c>
      <c r="B719" t="str">
        <f>_xlfn.XLOOKUP(A719,[1]Municipios!$B:$B,[1]Municipios!$C:$C)</f>
        <v>Sul</v>
      </c>
      <c r="C719" t="str">
        <f>_xlfn.XLOOKUP(A719,[1]Municipios!$B:$B,[1]Municipios!$D:$D)</f>
        <v>Sul do Paraná</v>
      </c>
      <c r="D719">
        <v>2025</v>
      </c>
      <c r="E719" t="s">
        <v>235</v>
      </c>
      <c r="F719">
        <v>1</v>
      </c>
      <c r="G719">
        <v>80.48</v>
      </c>
    </row>
    <row r="720" spans="1:7" x14ac:dyDescent="0.25">
      <c r="A720" t="s">
        <v>408</v>
      </c>
      <c r="B720" t="str">
        <f>_xlfn.XLOOKUP(A720,[1]Municipios!$B:$B,[1]Municipios!$C:$C)</f>
        <v>Sul</v>
      </c>
      <c r="C720" t="str">
        <f>_xlfn.XLOOKUP(A720,[1]Municipios!$B:$B,[1]Municipios!$D:$D)</f>
        <v>Sul do Paraná</v>
      </c>
      <c r="D720">
        <v>2025</v>
      </c>
      <c r="E720" t="s">
        <v>236</v>
      </c>
      <c r="F720">
        <v>0.23089999999999999</v>
      </c>
      <c r="G720">
        <v>80.48</v>
      </c>
    </row>
    <row r="721" spans="1:7" x14ac:dyDescent="0.25">
      <c r="A721" t="s">
        <v>408</v>
      </c>
      <c r="B721" t="str">
        <f>_xlfn.XLOOKUP(A721,[1]Municipios!$B:$B,[1]Municipios!$C:$C)</f>
        <v>Sul</v>
      </c>
      <c r="C721" t="str">
        <f>_xlfn.XLOOKUP(A721,[1]Municipios!$B:$B,[1]Municipios!$D:$D)</f>
        <v>Sul do Paraná</v>
      </c>
      <c r="D721">
        <v>2025</v>
      </c>
      <c r="E721" t="s">
        <v>237</v>
      </c>
      <c r="F721">
        <v>1</v>
      </c>
      <c r="G721">
        <v>80.48</v>
      </c>
    </row>
    <row r="722" spans="1:7" x14ac:dyDescent="0.25">
      <c r="A722" t="s">
        <v>332</v>
      </c>
      <c r="B722" t="str">
        <f>_xlfn.XLOOKUP(A722,[1]Municipios!$B:$B,[1]Municipios!$C:$C)</f>
        <v>Sul</v>
      </c>
      <c r="C722" t="str">
        <f>_xlfn.XLOOKUP(A722,[1]Municipios!$B:$B,[1]Municipios!$D:$D)</f>
        <v>Sudoeste Pioneiro</v>
      </c>
      <c r="D722">
        <v>2025</v>
      </c>
      <c r="E722" t="s">
        <v>231</v>
      </c>
      <c r="F722">
        <v>0.44439999999999996</v>
      </c>
      <c r="G722">
        <v>42.29</v>
      </c>
    </row>
    <row r="723" spans="1:7" x14ac:dyDescent="0.25">
      <c r="A723" t="s">
        <v>332</v>
      </c>
      <c r="B723" t="str">
        <f>_xlfn.XLOOKUP(A723,[1]Municipios!$B:$B,[1]Municipios!$C:$C)</f>
        <v>Sul</v>
      </c>
      <c r="C723" t="str">
        <f>_xlfn.XLOOKUP(A723,[1]Municipios!$B:$B,[1]Municipios!$D:$D)</f>
        <v>Sudoeste Pioneiro</v>
      </c>
      <c r="D723">
        <v>2025</v>
      </c>
      <c r="E723" t="s">
        <v>232</v>
      </c>
      <c r="F723">
        <v>0.38450000000000006</v>
      </c>
      <c r="G723">
        <v>42.29</v>
      </c>
    </row>
    <row r="724" spans="1:7" x14ac:dyDescent="0.25">
      <c r="A724" t="s">
        <v>332</v>
      </c>
      <c r="B724" t="str">
        <f>_xlfn.XLOOKUP(A724,[1]Municipios!$B:$B,[1]Municipios!$C:$C)</f>
        <v>Sul</v>
      </c>
      <c r="C724" t="str">
        <f>_xlfn.XLOOKUP(A724,[1]Municipios!$B:$B,[1]Municipios!$D:$D)</f>
        <v>Sudoeste Pioneiro</v>
      </c>
      <c r="D724">
        <v>2025</v>
      </c>
      <c r="E724" t="s">
        <v>233</v>
      </c>
      <c r="F724">
        <v>0.5</v>
      </c>
      <c r="G724">
        <v>42.29</v>
      </c>
    </row>
    <row r="725" spans="1:7" x14ac:dyDescent="0.25">
      <c r="A725" t="s">
        <v>332</v>
      </c>
      <c r="B725" t="str">
        <f>_xlfn.XLOOKUP(A725,[1]Municipios!$B:$B,[1]Municipios!$C:$C)</f>
        <v>Sul</v>
      </c>
      <c r="C725" t="str">
        <f>_xlfn.XLOOKUP(A725,[1]Municipios!$B:$B,[1]Municipios!$D:$D)</f>
        <v>Sudoeste Pioneiro</v>
      </c>
      <c r="D725">
        <v>2025</v>
      </c>
      <c r="E725" t="s">
        <v>215</v>
      </c>
      <c r="F725">
        <v>0.70000000000000007</v>
      </c>
      <c r="G725">
        <v>42.29</v>
      </c>
    </row>
    <row r="726" spans="1:7" x14ac:dyDescent="0.25">
      <c r="A726" t="s">
        <v>332</v>
      </c>
      <c r="B726" t="str">
        <f>_xlfn.XLOOKUP(A726,[1]Municipios!$B:$B,[1]Municipios!$C:$C)</f>
        <v>Sul</v>
      </c>
      <c r="C726" t="str">
        <f>_xlfn.XLOOKUP(A726,[1]Municipios!$B:$B,[1]Municipios!$D:$D)</f>
        <v>Sudoeste Pioneiro</v>
      </c>
      <c r="D726">
        <v>2025</v>
      </c>
      <c r="E726" t="s">
        <v>234</v>
      </c>
      <c r="F726">
        <v>0.66659999999999997</v>
      </c>
      <c r="G726">
        <v>42.29</v>
      </c>
    </row>
    <row r="727" spans="1:7" x14ac:dyDescent="0.25">
      <c r="A727" t="s">
        <v>332</v>
      </c>
      <c r="B727" t="str">
        <f>_xlfn.XLOOKUP(A727,[1]Municipios!$B:$B,[1]Municipios!$C:$C)</f>
        <v>Sul</v>
      </c>
      <c r="C727" t="str">
        <f>_xlfn.XLOOKUP(A727,[1]Municipios!$B:$B,[1]Municipios!$D:$D)</f>
        <v>Sudoeste Pioneiro</v>
      </c>
      <c r="D727">
        <v>2025</v>
      </c>
      <c r="E727" t="s">
        <v>235</v>
      </c>
      <c r="F727">
        <v>0.57150000000000001</v>
      </c>
      <c r="G727">
        <v>42.29</v>
      </c>
    </row>
    <row r="728" spans="1:7" x14ac:dyDescent="0.25">
      <c r="A728" t="s">
        <v>332</v>
      </c>
      <c r="B728" t="str">
        <f>_xlfn.XLOOKUP(A728,[1]Municipios!$B:$B,[1]Municipios!$C:$C)</f>
        <v>Sul</v>
      </c>
      <c r="C728" t="str">
        <f>_xlfn.XLOOKUP(A728,[1]Municipios!$B:$B,[1]Municipios!$D:$D)</f>
        <v>Sudoeste Pioneiro</v>
      </c>
      <c r="D728">
        <v>2025</v>
      </c>
      <c r="E728" t="s">
        <v>236</v>
      </c>
      <c r="F728">
        <v>0</v>
      </c>
      <c r="G728">
        <v>42.29</v>
      </c>
    </row>
    <row r="729" spans="1:7" x14ac:dyDescent="0.25">
      <c r="A729" t="s">
        <v>332</v>
      </c>
      <c r="B729" t="str">
        <f>_xlfn.XLOOKUP(A729,[1]Municipios!$B:$B,[1]Municipios!$C:$C)</f>
        <v>Sul</v>
      </c>
      <c r="C729" t="str">
        <f>_xlfn.XLOOKUP(A729,[1]Municipios!$B:$B,[1]Municipios!$D:$D)</f>
        <v>Sudoeste Pioneiro</v>
      </c>
      <c r="D729">
        <v>2025</v>
      </c>
      <c r="E729" t="s">
        <v>237</v>
      </c>
      <c r="F729">
        <v>0</v>
      </c>
      <c r="G729">
        <v>42.29</v>
      </c>
    </row>
    <row r="730" spans="1:7" x14ac:dyDescent="0.25">
      <c r="A730" t="s">
        <v>305</v>
      </c>
      <c r="B730" t="str">
        <f>_xlfn.XLOOKUP(A730,[1]Municipios!$B:$B,[1]Municipios!$C:$C)</f>
        <v>Noroeste</v>
      </c>
      <c r="C730" t="str">
        <f>_xlfn.XLOOKUP(A730,[1]Municipios!$B:$B,[1]Municipios!$D:$D)</f>
        <v>Arenito-Caiuá</v>
      </c>
      <c r="D730">
        <v>2025</v>
      </c>
      <c r="E730" t="s">
        <v>231</v>
      </c>
      <c r="F730">
        <v>0.66669999999999996</v>
      </c>
      <c r="G730">
        <v>83.86</v>
      </c>
    </row>
    <row r="731" spans="1:7" x14ac:dyDescent="0.25">
      <c r="A731" t="s">
        <v>305</v>
      </c>
      <c r="B731" t="str">
        <f>_xlfn.XLOOKUP(A731,[1]Municipios!$B:$B,[1]Municipios!$C:$C)</f>
        <v>Noroeste</v>
      </c>
      <c r="C731" t="str">
        <f>_xlfn.XLOOKUP(A731,[1]Municipios!$B:$B,[1]Municipios!$D:$D)</f>
        <v>Arenito-Caiuá</v>
      </c>
      <c r="D731">
        <v>2025</v>
      </c>
      <c r="E731" t="s">
        <v>232</v>
      </c>
      <c r="F731">
        <v>0.92310000000000003</v>
      </c>
      <c r="G731">
        <v>83.86</v>
      </c>
    </row>
    <row r="732" spans="1:7" x14ac:dyDescent="0.25">
      <c r="A732" t="s">
        <v>305</v>
      </c>
      <c r="B732" t="str">
        <f>_xlfn.XLOOKUP(A732,[1]Municipios!$B:$B,[1]Municipios!$C:$C)</f>
        <v>Noroeste</v>
      </c>
      <c r="C732" t="str">
        <f>_xlfn.XLOOKUP(A732,[1]Municipios!$B:$B,[1]Municipios!$D:$D)</f>
        <v>Arenito-Caiuá</v>
      </c>
      <c r="D732">
        <v>2025</v>
      </c>
      <c r="E732" t="s">
        <v>233</v>
      </c>
      <c r="F732">
        <v>0.875</v>
      </c>
      <c r="G732">
        <v>83.86</v>
      </c>
    </row>
    <row r="733" spans="1:7" x14ac:dyDescent="0.25">
      <c r="A733" t="s">
        <v>305</v>
      </c>
      <c r="B733" t="str">
        <f>_xlfn.XLOOKUP(A733,[1]Municipios!$B:$B,[1]Municipios!$C:$C)</f>
        <v>Noroeste</v>
      </c>
      <c r="C733" t="str">
        <f>_xlfn.XLOOKUP(A733,[1]Municipios!$B:$B,[1]Municipios!$D:$D)</f>
        <v>Arenito-Caiuá</v>
      </c>
      <c r="D733">
        <v>2025</v>
      </c>
      <c r="E733" t="s">
        <v>215</v>
      </c>
      <c r="F733">
        <v>1</v>
      </c>
      <c r="G733">
        <v>83.86</v>
      </c>
    </row>
    <row r="734" spans="1:7" x14ac:dyDescent="0.25">
      <c r="A734" t="s">
        <v>305</v>
      </c>
      <c r="B734" t="str">
        <f>_xlfn.XLOOKUP(A734,[1]Municipios!$B:$B,[1]Municipios!$C:$C)</f>
        <v>Noroeste</v>
      </c>
      <c r="C734" t="str">
        <f>_xlfn.XLOOKUP(A734,[1]Municipios!$B:$B,[1]Municipios!$D:$D)</f>
        <v>Arenito-Caiuá</v>
      </c>
      <c r="D734">
        <v>2025</v>
      </c>
      <c r="E734" t="s">
        <v>234</v>
      </c>
      <c r="F734">
        <v>0.66669999999999996</v>
      </c>
      <c r="G734">
        <v>83.86</v>
      </c>
    </row>
    <row r="735" spans="1:7" x14ac:dyDescent="0.25">
      <c r="A735" t="s">
        <v>305</v>
      </c>
      <c r="B735" t="str">
        <f>_xlfn.XLOOKUP(A735,[1]Municipios!$B:$B,[1]Municipios!$C:$C)</f>
        <v>Noroeste</v>
      </c>
      <c r="C735" t="str">
        <f>_xlfn.XLOOKUP(A735,[1]Municipios!$B:$B,[1]Municipios!$D:$D)</f>
        <v>Arenito-Caiuá</v>
      </c>
      <c r="D735">
        <v>2025</v>
      </c>
      <c r="E735" t="s">
        <v>235</v>
      </c>
      <c r="F735">
        <v>1</v>
      </c>
      <c r="G735">
        <v>83.86</v>
      </c>
    </row>
    <row r="736" spans="1:7" x14ac:dyDescent="0.25">
      <c r="A736" t="s">
        <v>305</v>
      </c>
      <c r="B736" t="str">
        <f>_xlfn.XLOOKUP(A736,[1]Municipios!$B:$B,[1]Municipios!$C:$C)</f>
        <v>Noroeste</v>
      </c>
      <c r="C736" t="str">
        <f>_xlfn.XLOOKUP(A736,[1]Municipios!$B:$B,[1]Municipios!$D:$D)</f>
        <v>Arenito-Caiuá</v>
      </c>
      <c r="D736">
        <v>2025</v>
      </c>
      <c r="E736" t="s">
        <v>236</v>
      </c>
      <c r="F736">
        <v>0.61549999999999994</v>
      </c>
      <c r="G736">
        <v>83.86</v>
      </c>
    </row>
    <row r="737" spans="1:7" x14ac:dyDescent="0.25">
      <c r="A737" t="s">
        <v>305</v>
      </c>
      <c r="B737" t="str">
        <f>_xlfn.XLOOKUP(A737,[1]Municipios!$B:$B,[1]Municipios!$C:$C)</f>
        <v>Noroeste</v>
      </c>
      <c r="C737" t="str">
        <f>_xlfn.XLOOKUP(A737,[1]Municipios!$B:$B,[1]Municipios!$D:$D)</f>
        <v>Arenito-Caiuá</v>
      </c>
      <c r="D737">
        <v>2025</v>
      </c>
      <c r="E737" t="s">
        <v>237</v>
      </c>
      <c r="F737">
        <v>1</v>
      </c>
      <c r="G737">
        <v>83.86</v>
      </c>
    </row>
    <row r="738" spans="1:7" x14ac:dyDescent="0.25">
      <c r="A738" t="s">
        <v>502</v>
      </c>
      <c r="B738" t="str">
        <f>_xlfn.XLOOKUP(A738,[1]Municipios!$B:$B,[1]Municipios!$C:$C)</f>
        <v>Noroeste</v>
      </c>
      <c r="C738" t="str">
        <f>_xlfn.XLOOKUP(A738,[1]Municipios!$B:$B,[1]Municipios!$D:$D)</f>
        <v>Costa Noroeste</v>
      </c>
      <c r="D738">
        <v>2025</v>
      </c>
      <c r="E738" t="s">
        <v>231</v>
      </c>
      <c r="F738">
        <v>0.77779999999999994</v>
      </c>
      <c r="G738">
        <v>71.13</v>
      </c>
    </row>
    <row r="739" spans="1:7" x14ac:dyDescent="0.25">
      <c r="A739" t="s">
        <v>502</v>
      </c>
      <c r="B739" t="str">
        <f>_xlfn.XLOOKUP(A739,[1]Municipios!$B:$B,[1]Municipios!$C:$C)</f>
        <v>Noroeste</v>
      </c>
      <c r="C739" t="str">
        <f>_xlfn.XLOOKUP(A739,[1]Municipios!$B:$B,[1]Municipios!$D:$D)</f>
        <v>Costa Noroeste</v>
      </c>
      <c r="D739">
        <v>2025</v>
      </c>
      <c r="E739" t="s">
        <v>232</v>
      </c>
      <c r="F739">
        <v>0.76929999999999998</v>
      </c>
      <c r="G739">
        <v>71.13</v>
      </c>
    </row>
    <row r="740" spans="1:7" x14ac:dyDescent="0.25">
      <c r="A740" t="s">
        <v>502</v>
      </c>
      <c r="B740" t="str">
        <f>_xlfn.XLOOKUP(A740,[1]Municipios!$B:$B,[1]Municipios!$C:$C)</f>
        <v>Noroeste</v>
      </c>
      <c r="C740" t="str">
        <f>_xlfn.XLOOKUP(A740,[1]Municipios!$B:$B,[1]Municipios!$D:$D)</f>
        <v>Costa Noroeste</v>
      </c>
      <c r="D740">
        <v>2025</v>
      </c>
      <c r="E740" t="s">
        <v>233</v>
      </c>
      <c r="F740">
        <v>1</v>
      </c>
      <c r="G740">
        <v>71.13</v>
      </c>
    </row>
    <row r="741" spans="1:7" x14ac:dyDescent="0.25">
      <c r="A741" t="s">
        <v>502</v>
      </c>
      <c r="B741" t="str">
        <f>_xlfn.XLOOKUP(A741,[1]Municipios!$B:$B,[1]Municipios!$C:$C)</f>
        <v>Noroeste</v>
      </c>
      <c r="C741" t="str">
        <f>_xlfn.XLOOKUP(A741,[1]Municipios!$B:$B,[1]Municipios!$D:$D)</f>
        <v>Costa Noroeste</v>
      </c>
      <c r="D741">
        <v>2025</v>
      </c>
      <c r="E741" t="s">
        <v>215</v>
      </c>
      <c r="F741">
        <v>0.6</v>
      </c>
      <c r="G741">
        <v>71.13</v>
      </c>
    </row>
    <row r="742" spans="1:7" x14ac:dyDescent="0.25">
      <c r="A742" t="s">
        <v>502</v>
      </c>
      <c r="B742" t="str">
        <f>_xlfn.XLOOKUP(A742,[1]Municipios!$B:$B,[1]Municipios!$C:$C)</f>
        <v>Noroeste</v>
      </c>
      <c r="C742" t="str">
        <f>_xlfn.XLOOKUP(A742,[1]Municipios!$B:$B,[1]Municipios!$D:$D)</f>
        <v>Costa Noroeste</v>
      </c>
      <c r="D742">
        <v>2025</v>
      </c>
      <c r="E742" t="s">
        <v>234</v>
      </c>
      <c r="F742">
        <v>0.55549999999999999</v>
      </c>
      <c r="G742">
        <v>71.13</v>
      </c>
    </row>
    <row r="743" spans="1:7" x14ac:dyDescent="0.25">
      <c r="A743" t="s">
        <v>502</v>
      </c>
      <c r="B743" t="str">
        <f>_xlfn.XLOOKUP(A743,[1]Municipios!$B:$B,[1]Municipios!$C:$C)</f>
        <v>Noroeste</v>
      </c>
      <c r="C743" t="str">
        <f>_xlfn.XLOOKUP(A743,[1]Municipios!$B:$B,[1]Municipios!$D:$D)</f>
        <v>Costa Noroeste</v>
      </c>
      <c r="D743">
        <v>2025</v>
      </c>
      <c r="E743" t="s">
        <v>235</v>
      </c>
      <c r="F743">
        <v>1</v>
      </c>
      <c r="G743">
        <v>71.13</v>
      </c>
    </row>
    <row r="744" spans="1:7" x14ac:dyDescent="0.25">
      <c r="A744" t="s">
        <v>502</v>
      </c>
      <c r="B744" t="str">
        <f>_xlfn.XLOOKUP(A744,[1]Municipios!$B:$B,[1]Municipios!$C:$C)</f>
        <v>Noroeste</v>
      </c>
      <c r="C744" t="str">
        <f>_xlfn.XLOOKUP(A744,[1]Municipios!$B:$B,[1]Municipios!$D:$D)</f>
        <v>Costa Noroeste</v>
      </c>
      <c r="D744">
        <v>2025</v>
      </c>
      <c r="E744" t="s">
        <v>236</v>
      </c>
      <c r="F744">
        <v>0.154</v>
      </c>
      <c r="G744">
        <v>71.13</v>
      </c>
    </row>
    <row r="745" spans="1:7" x14ac:dyDescent="0.25">
      <c r="A745" t="s">
        <v>502</v>
      </c>
      <c r="B745" t="str">
        <f>_xlfn.XLOOKUP(A745,[1]Municipios!$B:$B,[1]Municipios!$C:$C)</f>
        <v>Noroeste</v>
      </c>
      <c r="C745" t="str">
        <f>_xlfn.XLOOKUP(A745,[1]Municipios!$B:$B,[1]Municipios!$D:$D)</f>
        <v>Costa Noroeste</v>
      </c>
      <c r="D745">
        <v>2025</v>
      </c>
      <c r="E745" t="s">
        <v>237</v>
      </c>
      <c r="F745">
        <v>1</v>
      </c>
      <c r="G745">
        <v>71.13</v>
      </c>
    </row>
    <row r="746" spans="1:7" x14ac:dyDescent="0.25">
      <c r="A746" t="s">
        <v>376</v>
      </c>
      <c r="B746" t="str">
        <f>_xlfn.XLOOKUP(A746,[1]Municipios!$B:$B,[1]Municipios!$C:$C)</f>
        <v>Norte</v>
      </c>
      <c r="C746" t="str">
        <f>_xlfn.XLOOKUP(A746,[1]Municipios!$B:$B,[1]Municipios!$D:$D)</f>
        <v>Vale Do Ivaí</v>
      </c>
      <c r="D746">
        <v>2025</v>
      </c>
      <c r="E746" t="s">
        <v>231</v>
      </c>
      <c r="F746">
        <v>0.11120000000000001</v>
      </c>
      <c r="G746">
        <v>36.18</v>
      </c>
    </row>
    <row r="747" spans="1:7" x14ac:dyDescent="0.25">
      <c r="A747" t="s">
        <v>376</v>
      </c>
      <c r="B747" t="str">
        <f>_xlfn.XLOOKUP(A747,[1]Municipios!$B:$B,[1]Municipios!$C:$C)</f>
        <v>Norte</v>
      </c>
      <c r="C747" t="str">
        <f>_xlfn.XLOOKUP(A747,[1]Municipios!$B:$B,[1]Municipios!$D:$D)</f>
        <v>Vale Do Ivaí</v>
      </c>
      <c r="D747">
        <v>2025</v>
      </c>
      <c r="E747" t="s">
        <v>232</v>
      </c>
      <c r="F747">
        <v>0.84619999999999995</v>
      </c>
      <c r="G747">
        <v>36.18</v>
      </c>
    </row>
    <row r="748" spans="1:7" x14ac:dyDescent="0.25">
      <c r="A748" t="s">
        <v>376</v>
      </c>
      <c r="B748" t="str">
        <f>_xlfn.XLOOKUP(A748,[1]Municipios!$B:$B,[1]Municipios!$C:$C)</f>
        <v>Norte</v>
      </c>
      <c r="C748" t="str">
        <f>_xlfn.XLOOKUP(A748,[1]Municipios!$B:$B,[1]Municipios!$D:$D)</f>
        <v>Vale Do Ivaí</v>
      </c>
      <c r="D748">
        <v>2025</v>
      </c>
      <c r="E748" t="s">
        <v>233</v>
      </c>
      <c r="F748">
        <v>0.25</v>
      </c>
      <c r="G748">
        <v>36.18</v>
      </c>
    </row>
    <row r="749" spans="1:7" x14ac:dyDescent="0.25">
      <c r="A749" t="s">
        <v>376</v>
      </c>
      <c r="B749" t="str">
        <f>_xlfn.XLOOKUP(A749,[1]Municipios!$B:$B,[1]Municipios!$C:$C)</f>
        <v>Norte</v>
      </c>
      <c r="C749" t="str">
        <f>_xlfn.XLOOKUP(A749,[1]Municipios!$B:$B,[1]Municipios!$D:$D)</f>
        <v>Vale Do Ivaí</v>
      </c>
      <c r="D749">
        <v>2025</v>
      </c>
      <c r="E749" t="s">
        <v>215</v>
      </c>
      <c r="F749">
        <v>0.4499999999999999</v>
      </c>
      <c r="G749">
        <v>36.18</v>
      </c>
    </row>
    <row r="750" spans="1:7" x14ac:dyDescent="0.25">
      <c r="A750" t="s">
        <v>376</v>
      </c>
      <c r="B750" t="str">
        <f>_xlfn.XLOOKUP(A750,[1]Municipios!$B:$B,[1]Municipios!$C:$C)</f>
        <v>Norte</v>
      </c>
      <c r="C750" t="str">
        <f>_xlfn.XLOOKUP(A750,[1]Municipios!$B:$B,[1]Municipios!$D:$D)</f>
        <v>Vale Do Ivaí</v>
      </c>
      <c r="D750">
        <v>2025</v>
      </c>
      <c r="E750" t="s">
        <v>234</v>
      </c>
      <c r="F750">
        <v>0.55549999999999999</v>
      </c>
      <c r="G750">
        <v>36.18</v>
      </c>
    </row>
    <row r="751" spans="1:7" x14ac:dyDescent="0.25">
      <c r="A751" t="s">
        <v>376</v>
      </c>
      <c r="B751" t="str">
        <f>_xlfn.XLOOKUP(A751,[1]Municipios!$B:$B,[1]Municipios!$C:$C)</f>
        <v>Norte</v>
      </c>
      <c r="C751" t="str">
        <f>_xlfn.XLOOKUP(A751,[1]Municipios!$B:$B,[1]Municipios!$D:$D)</f>
        <v>Vale Do Ivaí</v>
      </c>
      <c r="D751">
        <v>2025</v>
      </c>
      <c r="E751" t="s">
        <v>235</v>
      </c>
      <c r="F751">
        <v>0.28570000000000001</v>
      </c>
      <c r="G751">
        <v>36.18</v>
      </c>
    </row>
    <row r="752" spans="1:7" x14ac:dyDescent="0.25">
      <c r="A752" t="s">
        <v>376</v>
      </c>
      <c r="B752" t="str">
        <f>_xlfn.XLOOKUP(A752,[1]Municipios!$B:$B,[1]Municipios!$C:$C)</f>
        <v>Norte</v>
      </c>
      <c r="C752" t="str">
        <f>_xlfn.XLOOKUP(A752,[1]Municipios!$B:$B,[1]Municipios!$D:$D)</f>
        <v>Vale Do Ivaí</v>
      </c>
      <c r="D752">
        <v>2025</v>
      </c>
      <c r="E752" t="s">
        <v>236</v>
      </c>
      <c r="F752">
        <v>7.6999999999999999E-2</v>
      </c>
      <c r="G752">
        <v>36.18</v>
      </c>
    </row>
    <row r="753" spans="1:7" x14ac:dyDescent="0.25">
      <c r="A753" t="s">
        <v>376</v>
      </c>
      <c r="B753" t="str">
        <f>_xlfn.XLOOKUP(A753,[1]Municipios!$B:$B,[1]Municipios!$C:$C)</f>
        <v>Norte</v>
      </c>
      <c r="C753" t="str">
        <f>_xlfn.XLOOKUP(A753,[1]Municipios!$B:$B,[1]Municipios!$D:$D)</f>
        <v>Vale Do Ivaí</v>
      </c>
      <c r="D753">
        <v>2025</v>
      </c>
      <c r="E753" t="s">
        <v>237</v>
      </c>
      <c r="F753">
        <v>0</v>
      </c>
      <c r="G753">
        <v>36.18</v>
      </c>
    </row>
    <row r="754" spans="1:7" x14ac:dyDescent="0.25">
      <c r="A754" t="s">
        <v>635</v>
      </c>
      <c r="B754" t="str">
        <f>_xlfn.XLOOKUP(A754,[1]Municipios!$B:$B,[1]Municipios!$C:$C)</f>
        <v>Curitiba</v>
      </c>
      <c r="C754" t="str">
        <f>_xlfn.XLOOKUP(A754,[1]Municipios!$B:$B,[1]Municipios!$D:$D)</f>
        <v>Curitiba</v>
      </c>
      <c r="D754">
        <v>2025</v>
      </c>
      <c r="E754" t="s">
        <v>231</v>
      </c>
      <c r="F754">
        <v>0.66669999999999996</v>
      </c>
      <c r="G754">
        <v>90.22</v>
      </c>
    </row>
    <row r="755" spans="1:7" x14ac:dyDescent="0.25">
      <c r="A755" t="s">
        <v>635</v>
      </c>
      <c r="B755" t="str">
        <f>_xlfn.XLOOKUP(A755,[1]Municipios!$B:$B,[1]Municipios!$C:$C)</f>
        <v>Curitiba</v>
      </c>
      <c r="C755" t="str">
        <f>_xlfn.XLOOKUP(A755,[1]Municipios!$B:$B,[1]Municipios!$D:$D)</f>
        <v>Curitiba</v>
      </c>
      <c r="D755">
        <v>2025</v>
      </c>
      <c r="E755" t="s">
        <v>232</v>
      </c>
      <c r="F755">
        <v>0.84619999999999995</v>
      </c>
      <c r="G755">
        <v>90.22</v>
      </c>
    </row>
    <row r="756" spans="1:7" x14ac:dyDescent="0.25">
      <c r="A756" t="s">
        <v>635</v>
      </c>
      <c r="B756" t="str">
        <f>_xlfn.XLOOKUP(A756,[1]Municipios!$B:$B,[1]Municipios!$C:$C)</f>
        <v>Curitiba</v>
      </c>
      <c r="C756" t="str">
        <f>_xlfn.XLOOKUP(A756,[1]Municipios!$B:$B,[1]Municipios!$D:$D)</f>
        <v>Curitiba</v>
      </c>
      <c r="D756">
        <v>2025</v>
      </c>
      <c r="E756" t="s">
        <v>233</v>
      </c>
      <c r="F756">
        <v>1</v>
      </c>
      <c r="G756">
        <v>90.22</v>
      </c>
    </row>
    <row r="757" spans="1:7" x14ac:dyDescent="0.25">
      <c r="A757" t="s">
        <v>635</v>
      </c>
      <c r="B757" t="str">
        <f>_xlfn.XLOOKUP(A757,[1]Municipios!$B:$B,[1]Municipios!$C:$C)</f>
        <v>Curitiba</v>
      </c>
      <c r="C757" t="str">
        <f>_xlfn.XLOOKUP(A757,[1]Municipios!$B:$B,[1]Municipios!$D:$D)</f>
        <v>Curitiba</v>
      </c>
      <c r="D757">
        <v>2025</v>
      </c>
      <c r="E757" t="s">
        <v>215</v>
      </c>
      <c r="F757">
        <v>0.79999999999999993</v>
      </c>
      <c r="G757">
        <v>90.22</v>
      </c>
    </row>
    <row r="758" spans="1:7" x14ac:dyDescent="0.25">
      <c r="A758" t="s">
        <v>635</v>
      </c>
      <c r="B758" t="str">
        <f>_xlfn.XLOOKUP(A758,[1]Municipios!$B:$B,[1]Municipios!$C:$C)</f>
        <v>Curitiba</v>
      </c>
      <c r="C758" t="str">
        <f>_xlfn.XLOOKUP(A758,[1]Municipios!$B:$B,[1]Municipios!$D:$D)</f>
        <v>Curitiba</v>
      </c>
      <c r="D758">
        <v>2025</v>
      </c>
      <c r="E758" t="s">
        <v>234</v>
      </c>
      <c r="F758">
        <v>1</v>
      </c>
      <c r="G758">
        <v>90.22</v>
      </c>
    </row>
    <row r="759" spans="1:7" x14ac:dyDescent="0.25">
      <c r="A759" t="s">
        <v>635</v>
      </c>
      <c r="B759" t="str">
        <f>_xlfn.XLOOKUP(A759,[1]Municipios!$B:$B,[1]Municipios!$C:$C)</f>
        <v>Curitiba</v>
      </c>
      <c r="C759" t="str">
        <f>_xlfn.XLOOKUP(A759,[1]Municipios!$B:$B,[1]Municipios!$D:$D)</f>
        <v>Curitiba</v>
      </c>
      <c r="D759">
        <v>2025</v>
      </c>
      <c r="E759" t="s">
        <v>235</v>
      </c>
      <c r="F759">
        <v>1</v>
      </c>
      <c r="G759">
        <v>90.22</v>
      </c>
    </row>
    <row r="760" spans="1:7" x14ac:dyDescent="0.25">
      <c r="A760" t="s">
        <v>635</v>
      </c>
      <c r="B760" t="str">
        <f>_xlfn.XLOOKUP(A760,[1]Municipios!$B:$B,[1]Municipios!$C:$C)</f>
        <v>Curitiba</v>
      </c>
      <c r="C760" t="str">
        <f>_xlfn.XLOOKUP(A760,[1]Municipios!$B:$B,[1]Municipios!$D:$D)</f>
        <v>Curitiba</v>
      </c>
      <c r="D760">
        <v>2025</v>
      </c>
      <c r="E760" t="s">
        <v>236</v>
      </c>
      <c r="F760">
        <v>0.92309999999999992</v>
      </c>
      <c r="G760">
        <v>90.22</v>
      </c>
    </row>
    <row r="761" spans="1:7" x14ac:dyDescent="0.25">
      <c r="A761" t="s">
        <v>635</v>
      </c>
      <c r="B761" t="str">
        <f>_xlfn.XLOOKUP(A761,[1]Municipios!$B:$B,[1]Municipios!$C:$C)</f>
        <v>Curitiba</v>
      </c>
      <c r="C761" t="str">
        <f>_xlfn.XLOOKUP(A761,[1]Municipios!$B:$B,[1]Municipios!$D:$D)</f>
        <v>Curitiba</v>
      </c>
      <c r="D761">
        <v>2025</v>
      </c>
      <c r="E761" t="s">
        <v>237</v>
      </c>
      <c r="F761">
        <v>1</v>
      </c>
      <c r="G761">
        <v>90.22</v>
      </c>
    </row>
    <row r="762" spans="1:7" x14ac:dyDescent="0.25">
      <c r="A762" t="s">
        <v>485</v>
      </c>
      <c r="B762" t="str">
        <f>_xlfn.XLOOKUP(A762,[1]Municipios!$B:$B,[1]Municipios!$C:$C)</f>
        <v>Centro</v>
      </c>
      <c r="C762" t="str">
        <f>_xlfn.XLOOKUP(A762,[1]Municipios!$B:$B,[1]Municipios!$D:$D)</f>
        <v>Vale Do Tibagi</v>
      </c>
      <c r="D762">
        <v>2025</v>
      </c>
      <c r="E762" t="s">
        <v>231</v>
      </c>
      <c r="F762">
        <v>0.66669999999999996</v>
      </c>
      <c r="G762">
        <v>87</v>
      </c>
    </row>
    <row r="763" spans="1:7" x14ac:dyDescent="0.25">
      <c r="A763" t="s">
        <v>485</v>
      </c>
      <c r="B763" t="str">
        <f>_xlfn.XLOOKUP(A763,[1]Municipios!$B:$B,[1]Municipios!$C:$C)</f>
        <v>Centro</v>
      </c>
      <c r="C763" t="str">
        <f>_xlfn.XLOOKUP(A763,[1]Municipios!$B:$B,[1]Municipios!$D:$D)</f>
        <v>Vale Do Tibagi</v>
      </c>
      <c r="D763">
        <v>2025</v>
      </c>
      <c r="E763" t="s">
        <v>232</v>
      </c>
      <c r="F763">
        <v>1</v>
      </c>
      <c r="G763">
        <v>87</v>
      </c>
    </row>
    <row r="764" spans="1:7" x14ac:dyDescent="0.25">
      <c r="A764" t="s">
        <v>485</v>
      </c>
      <c r="B764" t="str">
        <f>_xlfn.XLOOKUP(A764,[1]Municipios!$B:$B,[1]Municipios!$C:$C)</f>
        <v>Centro</v>
      </c>
      <c r="C764" t="str">
        <f>_xlfn.XLOOKUP(A764,[1]Municipios!$B:$B,[1]Municipios!$D:$D)</f>
        <v>Vale Do Tibagi</v>
      </c>
      <c r="D764">
        <v>2025</v>
      </c>
      <c r="E764" t="s">
        <v>233</v>
      </c>
      <c r="F764">
        <v>0.75</v>
      </c>
      <c r="G764">
        <v>87</v>
      </c>
    </row>
    <row r="765" spans="1:7" x14ac:dyDescent="0.25">
      <c r="A765" t="s">
        <v>485</v>
      </c>
      <c r="B765" t="str">
        <f>_xlfn.XLOOKUP(A765,[1]Municipios!$B:$B,[1]Municipios!$C:$C)</f>
        <v>Centro</v>
      </c>
      <c r="C765" t="str">
        <f>_xlfn.XLOOKUP(A765,[1]Municipios!$B:$B,[1]Municipios!$D:$D)</f>
        <v>Vale Do Tibagi</v>
      </c>
      <c r="D765">
        <v>2025</v>
      </c>
      <c r="E765" t="s">
        <v>215</v>
      </c>
      <c r="F765">
        <v>0.9</v>
      </c>
      <c r="G765">
        <v>87</v>
      </c>
    </row>
    <row r="766" spans="1:7" x14ac:dyDescent="0.25">
      <c r="A766" t="s">
        <v>485</v>
      </c>
      <c r="B766" t="str">
        <f>_xlfn.XLOOKUP(A766,[1]Municipios!$B:$B,[1]Municipios!$C:$C)</f>
        <v>Centro</v>
      </c>
      <c r="C766" t="str">
        <f>_xlfn.XLOOKUP(A766,[1]Municipios!$B:$B,[1]Municipios!$D:$D)</f>
        <v>Vale Do Tibagi</v>
      </c>
      <c r="D766">
        <v>2025</v>
      </c>
      <c r="E766" t="s">
        <v>234</v>
      </c>
      <c r="F766">
        <v>0.77780000000000005</v>
      </c>
      <c r="G766">
        <v>87</v>
      </c>
    </row>
    <row r="767" spans="1:7" x14ac:dyDescent="0.25">
      <c r="A767" t="s">
        <v>485</v>
      </c>
      <c r="B767" t="str">
        <f>_xlfn.XLOOKUP(A767,[1]Municipios!$B:$B,[1]Municipios!$C:$C)</f>
        <v>Centro</v>
      </c>
      <c r="C767" t="str">
        <f>_xlfn.XLOOKUP(A767,[1]Municipios!$B:$B,[1]Municipios!$D:$D)</f>
        <v>Vale Do Tibagi</v>
      </c>
      <c r="D767">
        <v>2025</v>
      </c>
      <c r="E767" t="s">
        <v>235</v>
      </c>
      <c r="F767">
        <v>1</v>
      </c>
      <c r="G767">
        <v>87</v>
      </c>
    </row>
    <row r="768" spans="1:7" x14ac:dyDescent="0.25">
      <c r="A768" t="s">
        <v>485</v>
      </c>
      <c r="B768" t="str">
        <f>_xlfn.XLOOKUP(A768,[1]Municipios!$B:$B,[1]Municipios!$C:$C)</f>
        <v>Centro</v>
      </c>
      <c r="C768" t="str">
        <f>_xlfn.XLOOKUP(A768,[1]Municipios!$B:$B,[1]Municipios!$D:$D)</f>
        <v>Vale Do Tibagi</v>
      </c>
      <c r="D768">
        <v>2025</v>
      </c>
      <c r="E768" t="s">
        <v>236</v>
      </c>
      <c r="F768">
        <v>0.76929999999999987</v>
      </c>
      <c r="G768">
        <v>87</v>
      </c>
    </row>
    <row r="769" spans="1:7" x14ac:dyDescent="0.25">
      <c r="A769" t="s">
        <v>485</v>
      </c>
      <c r="B769" t="str">
        <f>_xlfn.XLOOKUP(A769,[1]Municipios!$B:$B,[1]Municipios!$C:$C)</f>
        <v>Centro</v>
      </c>
      <c r="C769" t="str">
        <f>_xlfn.XLOOKUP(A769,[1]Municipios!$B:$B,[1]Municipios!$D:$D)</f>
        <v>Vale Do Tibagi</v>
      </c>
      <c r="D769">
        <v>2025</v>
      </c>
      <c r="E769" t="s">
        <v>237</v>
      </c>
      <c r="F769">
        <v>1</v>
      </c>
      <c r="G769">
        <v>87</v>
      </c>
    </row>
    <row r="770" spans="1:7" x14ac:dyDescent="0.25">
      <c r="A770" t="s">
        <v>545</v>
      </c>
      <c r="B770" t="str">
        <f>_xlfn.XLOOKUP(A770,[1]Municipios!$B:$B,[1]Municipios!$C:$C)</f>
        <v>Noroeste</v>
      </c>
      <c r="C770" t="str">
        <f>_xlfn.XLOOKUP(A770,[1]Municipios!$B:$B,[1]Municipios!$D:$D)</f>
        <v>Costa Noroeste</v>
      </c>
      <c r="D770">
        <v>2025</v>
      </c>
      <c r="E770" t="s">
        <v>231</v>
      </c>
      <c r="F770">
        <v>0.22219999999999998</v>
      </c>
      <c r="G770">
        <v>0</v>
      </c>
    </row>
    <row r="771" spans="1:7" x14ac:dyDescent="0.25">
      <c r="A771" t="s">
        <v>545</v>
      </c>
      <c r="B771" t="str">
        <f>_xlfn.XLOOKUP(A771,[1]Municipios!$B:$B,[1]Municipios!$C:$C)</f>
        <v>Noroeste</v>
      </c>
      <c r="C771" t="str">
        <f>_xlfn.XLOOKUP(A771,[1]Municipios!$B:$B,[1]Municipios!$D:$D)</f>
        <v>Costa Noroeste</v>
      </c>
      <c r="D771">
        <v>2025</v>
      </c>
      <c r="E771" t="s">
        <v>232</v>
      </c>
      <c r="F771">
        <v>7.6899999999999996E-2</v>
      </c>
      <c r="G771">
        <v>0</v>
      </c>
    </row>
    <row r="772" spans="1:7" x14ac:dyDescent="0.25">
      <c r="A772" t="s">
        <v>545</v>
      </c>
      <c r="B772" t="str">
        <f>_xlfn.XLOOKUP(A772,[1]Municipios!$B:$B,[1]Municipios!$C:$C)</f>
        <v>Noroeste</v>
      </c>
      <c r="C772" t="str">
        <f>_xlfn.XLOOKUP(A772,[1]Municipios!$B:$B,[1]Municipios!$D:$D)</f>
        <v>Costa Noroeste</v>
      </c>
      <c r="D772">
        <v>2025</v>
      </c>
      <c r="E772" t="s">
        <v>233</v>
      </c>
      <c r="F772">
        <v>0.125</v>
      </c>
      <c r="G772">
        <v>0</v>
      </c>
    </row>
    <row r="773" spans="1:7" x14ac:dyDescent="0.25">
      <c r="A773" t="s">
        <v>545</v>
      </c>
      <c r="B773" t="str">
        <f>_xlfn.XLOOKUP(A773,[1]Municipios!$B:$B,[1]Municipios!$C:$C)</f>
        <v>Noroeste</v>
      </c>
      <c r="C773" t="str">
        <f>_xlfn.XLOOKUP(A773,[1]Municipios!$B:$B,[1]Municipios!$D:$D)</f>
        <v>Costa Noroeste</v>
      </c>
      <c r="D773">
        <v>2025</v>
      </c>
      <c r="E773" t="s">
        <v>215</v>
      </c>
      <c r="F773">
        <v>0</v>
      </c>
      <c r="G773">
        <v>0</v>
      </c>
    </row>
    <row r="774" spans="1:7" x14ac:dyDescent="0.25">
      <c r="A774" t="s">
        <v>545</v>
      </c>
      <c r="B774" t="str">
        <f>_xlfn.XLOOKUP(A774,[1]Municipios!$B:$B,[1]Municipios!$C:$C)</f>
        <v>Noroeste</v>
      </c>
      <c r="C774" t="str">
        <f>_xlfn.XLOOKUP(A774,[1]Municipios!$B:$B,[1]Municipios!$D:$D)</f>
        <v>Costa Noroeste</v>
      </c>
      <c r="D774">
        <v>2025</v>
      </c>
      <c r="E774" t="s">
        <v>234</v>
      </c>
      <c r="F774">
        <v>0.22220000000000001</v>
      </c>
      <c r="G774">
        <v>0</v>
      </c>
    </row>
    <row r="775" spans="1:7" x14ac:dyDescent="0.25">
      <c r="A775" t="s">
        <v>545</v>
      </c>
      <c r="B775" t="str">
        <f>_xlfn.XLOOKUP(A775,[1]Municipios!$B:$B,[1]Municipios!$C:$C)</f>
        <v>Noroeste</v>
      </c>
      <c r="C775" t="str">
        <f>_xlfn.XLOOKUP(A775,[1]Municipios!$B:$B,[1]Municipios!$D:$D)</f>
        <v>Costa Noroeste</v>
      </c>
      <c r="D775">
        <v>2025</v>
      </c>
      <c r="E775" t="s">
        <v>235</v>
      </c>
      <c r="F775">
        <v>0.1429</v>
      </c>
      <c r="G775">
        <v>0</v>
      </c>
    </row>
    <row r="776" spans="1:7" x14ac:dyDescent="0.25">
      <c r="A776" t="s">
        <v>545</v>
      </c>
      <c r="B776" t="str">
        <f>_xlfn.XLOOKUP(A776,[1]Municipios!$B:$B,[1]Municipios!$C:$C)</f>
        <v>Noroeste</v>
      </c>
      <c r="C776" t="str">
        <f>_xlfn.XLOOKUP(A776,[1]Municipios!$B:$B,[1]Municipios!$D:$D)</f>
        <v>Costa Noroeste</v>
      </c>
      <c r="D776">
        <v>2025</v>
      </c>
      <c r="E776" t="s">
        <v>236</v>
      </c>
      <c r="F776">
        <v>0</v>
      </c>
      <c r="G776">
        <v>0</v>
      </c>
    </row>
    <row r="777" spans="1:7" x14ac:dyDescent="0.25">
      <c r="A777" t="s">
        <v>545</v>
      </c>
      <c r="B777" t="str">
        <f>_xlfn.XLOOKUP(A777,[1]Municipios!$B:$B,[1]Municipios!$C:$C)</f>
        <v>Noroeste</v>
      </c>
      <c r="C777" t="str">
        <f>_xlfn.XLOOKUP(A777,[1]Municipios!$B:$B,[1]Municipios!$D:$D)</f>
        <v>Costa Noroeste</v>
      </c>
      <c r="D777">
        <v>2025</v>
      </c>
      <c r="E777" t="s">
        <v>237</v>
      </c>
      <c r="F777">
        <v>0</v>
      </c>
      <c r="G777">
        <v>0</v>
      </c>
    </row>
    <row r="778" spans="1:7" x14ac:dyDescent="0.25">
      <c r="A778" t="s">
        <v>521</v>
      </c>
      <c r="B778" t="str">
        <f>_xlfn.XLOOKUP(A778,[1]Municipios!$B:$B,[1]Municipios!$C:$C)</f>
        <v>Oeste</v>
      </c>
      <c r="C778" t="str">
        <f>_xlfn.XLOOKUP(A778,[1]Municipios!$B:$B,[1]Municipios!$D:$D)</f>
        <v>Cantuquiriguaçu</v>
      </c>
      <c r="D778">
        <v>2025</v>
      </c>
      <c r="E778" t="s">
        <v>231</v>
      </c>
      <c r="F778">
        <v>0.11109999999999999</v>
      </c>
      <c r="G778">
        <v>26.54</v>
      </c>
    </row>
    <row r="779" spans="1:7" x14ac:dyDescent="0.25">
      <c r="A779" t="s">
        <v>521</v>
      </c>
      <c r="B779" t="str">
        <f>_xlfn.XLOOKUP(A779,[1]Municipios!$B:$B,[1]Municipios!$C:$C)</f>
        <v>Oeste</v>
      </c>
      <c r="C779" t="str">
        <f>_xlfn.XLOOKUP(A779,[1]Municipios!$B:$B,[1]Municipios!$D:$D)</f>
        <v>Cantuquiriguaçu</v>
      </c>
      <c r="D779">
        <v>2025</v>
      </c>
      <c r="E779" t="s">
        <v>232</v>
      </c>
      <c r="F779">
        <v>0.61539999999999995</v>
      </c>
      <c r="G779">
        <v>26.54</v>
      </c>
    </row>
    <row r="780" spans="1:7" x14ac:dyDescent="0.25">
      <c r="A780" t="s">
        <v>521</v>
      </c>
      <c r="B780" t="str">
        <f>_xlfn.XLOOKUP(A780,[1]Municipios!$B:$B,[1]Municipios!$C:$C)</f>
        <v>Oeste</v>
      </c>
      <c r="C780" t="str">
        <f>_xlfn.XLOOKUP(A780,[1]Municipios!$B:$B,[1]Municipios!$D:$D)</f>
        <v>Cantuquiriguaçu</v>
      </c>
      <c r="D780">
        <v>2025</v>
      </c>
      <c r="E780" t="s">
        <v>233</v>
      </c>
      <c r="F780">
        <v>0.5</v>
      </c>
      <c r="G780">
        <v>26.54</v>
      </c>
    </row>
    <row r="781" spans="1:7" x14ac:dyDescent="0.25">
      <c r="A781" t="s">
        <v>521</v>
      </c>
      <c r="B781" t="str">
        <f>_xlfn.XLOOKUP(A781,[1]Municipios!$B:$B,[1]Municipios!$C:$C)</f>
        <v>Oeste</v>
      </c>
      <c r="C781" t="str">
        <f>_xlfn.XLOOKUP(A781,[1]Municipios!$B:$B,[1]Municipios!$D:$D)</f>
        <v>Cantuquiriguaçu</v>
      </c>
      <c r="D781">
        <v>2025</v>
      </c>
      <c r="E781" t="s">
        <v>215</v>
      </c>
      <c r="F781">
        <v>0.39999999999999997</v>
      </c>
      <c r="G781">
        <v>26.54</v>
      </c>
    </row>
    <row r="782" spans="1:7" x14ac:dyDescent="0.25">
      <c r="A782" t="s">
        <v>521</v>
      </c>
      <c r="B782" t="str">
        <f>_xlfn.XLOOKUP(A782,[1]Municipios!$B:$B,[1]Municipios!$C:$C)</f>
        <v>Oeste</v>
      </c>
      <c r="C782" t="str">
        <f>_xlfn.XLOOKUP(A782,[1]Municipios!$B:$B,[1]Municipios!$D:$D)</f>
        <v>Cantuquiriguaçu</v>
      </c>
      <c r="D782">
        <v>2025</v>
      </c>
      <c r="E782" t="s">
        <v>234</v>
      </c>
      <c r="F782">
        <v>0.22220000000000001</v>
      </c>
      <c r="G782">
        <v>26.54</v>
      </c>
    </row>
    <row r="783" spans="1:7" x14ac:dyDescent="0.25">
      <c r="A783" t="s">
        <v>521</v>
      </c>
      <c r="B783" t="str">
        <f>_xlfn.XLOOKUP(A783,[1]Municipios!$B:$B,[1]Municipios!$C:$C)</f>
        <v>Oeste</v>
      </c>
      <c r="C783" t="str">
        <f>_xlfn.XLOOKUP(A783,[1]Municipios!$B:$B,[1]Municipios!$D:$D)</f>
        <v>Cantuquiriguaçu</v>
      </c>
      <c r="D783">
        <v>2025</v>
      </c>
      <c r="E783" t="s">
        <v>235</v>
      </c>
      <c r="F783">
        <v>0.28559999999999997</v>
      </c>
      <c r="G783">
        <v>26.54</v>
      </c>
    </row>
    <row r="784" spans="1:7" x14ac:dyDescent="0.25">
      <c r="A784" t="s">
        <v>521</v>
      </c>
      <c r="B784" t="str">
        <f>_xlfn.XLOOKUP(A784,[1]Municipios!$B:$B,[1]Municipios!$C:$C)</f>
        <v>Oeste</v>
      </c>
      <c r="C784" t="str">
        <f>_xlfn.XLOOKUP(A784,[1]Municipios!$B:$B,[1]Municipios!$D:$D)</f>
        <v>Cantuquiriguaçu</v>
      </c>
      <c r="D784">
        <v>2025</v>
      </c>
      <c r="E784" t="s">
        <v>236</v>
      </c>
      <c r="F784">
        <v>0</v>
      </c>
      <c r="G784">
        <v>26.54</v>
      </c>
    </row>
    <row r="785" spans="1:7" x14ac:dyDescent="0.25">
      <c r="A785" t="s">
        <v>521</v>
      </c>
      <c r="B785" t="str">
        <f>_xlfn.XLOOKUP(A785,[1]Municipios!$B:$B,[1]Municipios!$C:$C)</f>
        <v>Oeste</v>
      </c>
      <c r="C785" t="str">
        <f>_xlfn.XLOOKUP(A785,[1]Municipios!$B:$B,[1]Municipios!$D:$D)</f>
        <v>Cantuquiriguaçu</v>
      </c>
      <c r="D785">
        <v>2025</v>
      </c>
      <c r="E785" t="s">
        <v>237</v>
      </c>
      <c r="F785">
        <v>0</v>
      </c>
      <c r="G785">
        <v>26.54</v>
      </c>
    </row>
    <row r="786" spans="1:7" x14ac:dyDescent="0.25">
      <c r="A786" t="s">
        <v>438</v>
      </c>
      <c r="B786" t="str">
        <f>_xlfn.XLOOKUP(A786,[1]Municipios!$B:$B,[1]Municipios!$C:$C)</f>
        <v>Oeste</v>
      </c>
      <c r="C786" t="str">
        <f>_xlfn.XLOOKUP(A786,[1]Municipios!$B:$B,[1]Municipios!$D:$D)</f>
        <v>Oeste Integrado</v>
      </c>
      <c r="D786">
        <v>2025</v>
      </c>
      <c r="E786" t="s">
        <v>231</v>
      </c>
      <c r="F786">
        <v>0.77779999999999994</v>
      </c>
      <c r="G786">
        <v>76.06</v>
      </c>
    </row>
    <row r="787" spans="1:7" x14ac:dyDescent="0.25">
      <c r="A787" t="s">
        <v>438</v>
      </c>
      <c r="B787" t="str">
        <f>_xlfn.XLOOKUP(A787,[1]Municipios!$B:$B,[1]Municipios!$C:$C)</f>
        <v>Oeste</v>
      </c>
      <c r="C787" t="str">
        <f>_xlfn.XLOOKUP(A787,[1]Municipios!$B:$B,[1]Municipios!$D:$D)</f>
        <v>Oeste Integrado</v>
      </c>
      <c r="D787">
        <v>2025</v>
      </c>
      <c r="E787" t="s">
        <v>232</v>
      </c>
      <c r="F787">
        <v>0.92300000000000004</v>
      </c>
      <c r="G787">
        <v>76.06</v>
      </c>
    </row>
    <row r="788" spans="1:7" x14ac:dyDescent="0.25">
      <c r="A788" t="s">
        <v>438</v>
      </c>
      <c r="B788" t="str">
        <f>_xlfn.XLOOKUP(A788,[1]Municipios!$B:$B,[1]Municipios!$C:$C)</f>
        <v>Oeste</v>
      </c>
      <c r="C788" t="str">
        <f>_xlfn.XLOOKUP(A788,[1]Municipios!$B:$B,[1]Municipios!$D:$D)</f>
        <v>Oeste Integrado</v>
      </c>
      <c r="D788">
        <v>2025</v>
      </c>
      <c r="E788" t="s">
        <v>233</v>
      </c>
      <c r="F788">
        <v>1</v>
      </c>
      <c r="G788">
        <v>76.06</v>
      </c>
    </row>
    <row r="789" spans="1:7" x14ac:dyDescent="0.25">
      <c r="A789" t="s">
        <v>438</v>
      </c>
      <c r="B789" t="str">
        <f>_xlfn.XLOOKUP(A789,[1]Municipios!$B:$B,[1]Municipios!$C:$C)</f>
        <v>Oeste</v>
      </c>
      <c r="C789" t="str">
        <f>_xlfn.XLOOKUP(A789,[1]Municipios!$B:$B,[1]Municipios!$D:$D)</f>
        <v>Oeste Integrado</v>
      </c>
      <c r="D789">
        <v>2025</v>
      </c>
      <c r="E789" t="s">
        <v>215</v>
      </c>
      <c r="F789">
        <v>0.95000000000000007</v>
      </c>
      <c r="G789">
        <v>76.06</v>
      </c>
    </row>
    <row r="790" spans="1:7" x14ac:dyDescent="0.25">
      <c r="A790" t="s">
        <v>438</v>
      </c>
      <c r="B790" t="str">
        <f>_xlfn.XLOOKUP(A790,[1]Municipios!$B:$B,[1]Municipios!$C:$C)</f>
        <v>Oeste</v>
      </c>
      <c r="C790" t="str">
        <f>_xlfn.XLOOKUP(A790,[1]Municipios!$B:$B,[1]Municipios!$D:$D)</f>
        <v>Oeste Integrado</v>
      </c>
      <c r="D790">
        <v>2025</v>
      </c>
      <c r="E790" t="s">
        <v>234</v>
      </c>
      <c r="F790">
        <v>0.77780000000000005</v>
      </c>
      <c r="G790">
        <v>76.06</v>
      </c>
    </row>
    <row r="791" spans="1:7" x14ac:dyDescent="0.25">
      <c r="A791" t="s">
        <v>438</v>
      </c>
      <c r="B791" t="str">
        <f>_xlfn.XLOOKUP(A791,[1]Municipios!$B:$B,[1]Municipios!$C:$C)</f>
        <v>Oeste</v>
      </c>
      <c r="C791" t="str">
        <f>_xlfn.XLOOKUP(A791,[1]Municipios!$B:$B,[1]Municipios!$D:$D)</f>
        <v>Oeste Integrado</v>
      </c>
      <c r="D791">
        <v>2025</v>
      </c>
      <c r="E791" t="s">
        <v>235</v>
      </c>
      <c r="F791">
        <v>0.57140000000000002</v>
      </c>
      <c r="G791">
        <v>76.06</v>
      </c>
    </row>
    <row r="792" spans="1:7" x14ac:dyDescent="0.25">
      <c r="A792" t="s">
        <v>438</v>
      </c>
      <c r="B792" t="str">
        <f>_xlfn.XLOOKUP(A792,[1]Municipios!$B:$B,[1]Municipios!$C:$C)</f>
        <v>Oeste</v>
      </c>
      <c r="C792" t="str">
        <f>_xlfn.XLOOKUP(A792,[1]Municipios!$B:$B,[1]Municipios!$D:$D)</f>
        <v>Oeste Integrado</v>
      </c>
      <c r="D792">
        <v>2025</v>
      </c>
      <c r="E792" t="s">
        <v>236</v>
      </c>
      <c r="F792">
        <v>0.23080000000000001</v>
      </c>
      <c r="G792">
        <v>76.06</v>
      </c>
    </row>
    <row r="793" spans="1:7" x14ac:dyDescent="0.25">
      <c r="A793" t="s">
        <v>438</v>
      </c>
      <c r="B793" t="str">
        <f>_xlfn.XLOOKUP(A793,[1]Municipios!$B:$B,[1]Municipios!$C:$C)</f>
        <v>Oeste</v>
      </c>
      <c r="C793" t="str">
        <f>_xlfn.XLOOKUP(A793,[1]Municipios!$B:$B,[1]Municipios!$D:$D)</f>
        <v>Oeste Integrado</v>
      </c>
      <c r="D793">
        <v>2025</v>
      </c>
      <c r="E793" t="s">
        <v>237</v>
      </c>
      <c r="F793">
        <v>1</v>
      </c>
      <c r="G793">
        <v>76.06</v>
      </c>
    </row>
    <row r="794" spans="1:7" x14ac:dyDescent="0.25">
      <c r="A794" t="s">
        <v>250</v>
      </c>
      <c r="B794" t="str">
        <f>_xlfn.XLOOKUP(A794,[1]Municipios!$B:$B,[1]Municipios!$C:$C)</f>
        <v>Sul</v>
      </c>
      <c r="C794" t="str">
        <f>_xlfn.XLOOKUP(A794,[1]Municipios!$B:$B,[1]Municipios!$D:$D)</f>
        <v>Sudoeste Pioneiro</v>
      </c>
      <c r="D794">
        <v>2025</v>
      </c>
      <c r="E794" t="s">
        <v>231</v>
      </c>
      <c r="F794">
        <v>1</v>
      </c>
      <c r="G794">
        <v>89.16</v>
      </c>
    </row>
    <row r="795" spans="1:7" x14ac:dyDescent="0.25">
      <c r="A795" t="s">
        <v>250</v>
      </c>
      <c r="B795" t="str">
        <f>_xlfn.XLOOKUP(A795,[1]Municipios!$B:$B,[1]Municipios!$C:$C)</f>
        <v>Sul</v>
      </c>
      <c r="C795" t="str">
        <f>_xlfn.XLOOKUP(A795,[1]Municipios!$B:$B,[1]Municipios!$D:$D)</f>
        <v>Sudoeste Pioneiro</v>
      </c>
      <c r="D795">
        <v>2025</v>
      </c>
      <c r="E795" t="s">
        <v>232</v>
      </c>
      <c r="F795">
        <v>0.92310000000000003</v>
      </c>
      <c r="G795">
        <v>89.16</v>
      </c>
    </row>
    <row r="796" spans="1:7" x14ac:dyDescent="0.25">
      <c r="A796" t="s">
        <v>250</v>
      </c>
      <c r="B796" t="str">
        <f>_xlfn.XLOOKUP(A796,[1]Municipios!$B:$B,[1]Municipios!$C:$C)</f>
        <v>Sul</v>
      </c>
      <c r="C796" t="str">
        <f>_xlfn.XLOOKUP(A796,[1]Municipios!$B:$B,[1]Municipios!$D:$D)</f>
        <v>Sudoeste Pioneiro</v>
      </c>
      <c r="D796">
        <v>2025</v>
      </c>
      <c r="E796" t="s">
        <v>233</v>
      </c>
      <c r="F796">
        <v>0.875</v>
      </c>
      <c r="G796">
        <v>89.16</v>
      </c>
    </row>
    <row r="797" spans="1:7" x14ac:dyDescent="0.25">
      <c r="A797" t="s">
        <v>250</v>
      </c>
      <c r="B797" t="str">
        <f>_xlfn.XLOOKUP(A797,[1]Municipios!$B:$B,[1]Municipios!$C:$C)</f>
        <v>Sul</v>
      </c>
      <c r="C797" t="str">
        <f>_xlfn.XLOOKUP(A797,[1]Municipios!$B:$B,[1]Municipios!$D:$D)</f>
        <v>Sudoeste Pioneiro</v>
      </c>
      <c r="D797">
        <v>2025</v>
      </c>
      <c r="E797" t="s">
        <v>215</v>
      </c>
      <c r="F797">
        <v>0.79999999999999993</v>
      </c>
      <c r="G797">
        <v>89.16</v>
      </c>
    </row>
    <row r="798" spans="1:7" x14ac:dyDescent="0.25">
      <c r="A798" t="s">
        <v>250</v>
      </c>
      <c r="B798" t="str">
        <f>_xlfn.XLOOKUP(A798,[1]Municipios!$B:$B,[1]Municipios!$C:$C)</f>
        <v>Sul</v>
      </c>
      <c r="C798" t="str">
        <f>_xlfn.XLOOKUP(A798,[1]Municipios!$B:$B,[1]Municipios!$D:$D)</f>
        <v>Sudoeste Pioneiro</v>
      </c>
      <c r="D798">
        <v>2025</v>
      </c>
      <c r="E798" t="s">
        <v>234</v>
      </c>
      <c r="F798">
        <v>0.66669999999999996</v>
      </c>
      <c r="G798">
        <v>89.16</v>
      </c>
    </row>
    <row r="799" spans="1:7" x14ac:dyDescent="0.25">
      <c r="A799" t="s">
        <v>250</v>
      </c>
      <c r="B799" t="str">
        <f>_xlfn.XLOOKUP(A799,[1]Municipios!$B:$B,[1]Municipios!$C:$C)</f>
        <v>Sul</v>
      </c>
      <c r="C799" t="str">
        <f>_xlfn.XLOOKUP(A799,[1]Municipios!$B:$B,[1]Municipios!$D:$D)</f>
        <v>Sudoeste Pioneiro</v>
      </c>
      <c r="D799">
        <v>2025</v>
      </c>
      <c r="E799" t="s">
        <v>235</v>
      </c>
      <c r="F799">
        <v>1</v>
      </c>
      <c r="G799">
        <v>89.16</v>
      </c>
    </row>
    <row r="800" spans="1:7" x14ac:dyDescent="0.25">
      <c r="A800" t="s">
        <v>250</v>
      </c>
      <c r="B800" t="str">
        <f>_xlfn.XLOOKUP(A800,[1]Municipios!$B:$B,[1]Municipios!$C:$C)</f>
        <v>Sul</v>
      </c>
      <c r="C800" t="str">
        <f>_xlfn.XLOOKUP(A800,[1]Municipios!$B:$B,[1]Municipios!$D:$D)</f>
        <v>Sudoeste Pioneiro</v>
      </c>
      <c r="D800">
        <v>2025</v>
      </c>
      <c r="E800" t="s">
        <v>236</v>
      </c>
      <c r="F800">
        <v>0.92309999999999992</v>
      </c>
      <c r="G800">
        <v>89.16</v>
      </c>
    </row>
    <row r="801" spans="1:7" x14ac:dyDescent="0.25">
      <c r="A801" t="s">
        <v>250</v>
      </c>
      <c r="B801" t="str">
        <f>_xlfn.XLOOKUP(A801,[1]Municipios!$B:$B,[1]Municipios!$C:$C)</f>
        <v>Sul</v>
      </c>
      <c r="C801" t="str">
        <f>_xlfn.XLOOKUP(A801,[1]Municipios!$B:$B,[1]Municipios!$D:$D)</f>
        <v>Sudoeste Pioneiro</v>
      </c>
      <c r="D801">
        <v>2025</v>
      </c>
      <c r="E801" t="s">
        <v>237</v>
      </c>
      <c r="F801">
        <v>1</v>
      </c>
      <c r="G801">
        <v>89.16</v>
      </c>
    </row>
    <row r="802" spans="1:7" x14ac:dyDescent="0.25">
      <c r="A802" t="s">
        <v>546</v>
      </c>
      <c r="B802" t="str">
        <f>_xlfn.XLOOKUP(A802,[1]Municipios!$B:$B,[1]Municipios!$C:$C)</f>
        <v>Noroeste</v>
      </c>
      <c r="C802" t="str">
        <f>_xlfn.XLOOKUP(A802,[1]Municipios!$B:$B,[1]Municipios!$D:$D)</f>
        <v>Arenito-Caiuá</v>
      </c>
      <c r="D802">
        <v>2025</v>
      </c>
      <c r="E802" t="s">
        <v>231</v>
      </c>
      <c r="F802">
        <v>0.55559999999999998</v>
      </c>
      <c r="G802">
        <v>84.46</v>
      </c>
    </row>
    <row r="803" spans="1:7" x14ac:dyDescent="0.25">
      <c r="A803" t="s">
        <v>546</v>
      </c>
      <c r="B803" t="str">
        <f>_xlfn.XLOOKUP(A803,[1]Municipios!$B:$B,[1]Municipios!$C:$C)</f>
        <v>Noroeste</v>
      </c>
      <c r="C803" t="str">
        <f>_xlfn.XLOOKUP(A803,[1]Municipios!$B:$B,[1]Municipios!$D:$D)</f>
        <v>Arenito-Caiuá</v>
      </c>
      <c r="D803">
        <v>2025</v>
      </c>
      <c r="E803" t="s">
        <v>232</v>
      </c>
      <c r="F803">
        <v>0.92310000000000003</v>
      </c>
      <c r="G803">
        <v>84.46</v>
      </c>
    </row>
    <row r="804" spans="1:7" x14ac:dyDescent="0.25">
      <c r="A804" t="s">
        <v>546</v>
      </c>
      <c r="B804" t="str">
        <f>_xlfn.XLOOKUP(A804,[1]Municipios!$B:$B,[1]Municipios!$C:$C)</f>
        <v>Noroeste</v>
      </c>
      <c r="C804" t="str">
        <f>_xlfn.XLOOKUP(A804,[1]Municipios!$B:$B,[1]Municipios!$D:$D)</f>
        <v>Arenito-Caiuá</v>
      </c>
      <c r="D804">
        <v>2025</v>
      </c>
      <c r="E804" t="s">
        <v>233</v>
      </c>
      <c r="F804">
        <v>0.875</v>
      </c>
      <c r="G804">
        <v>84.46</v>
      </c>
    </row>
    <row r="805" spans="1:7" x14ac:dyDescent="0.25">
      <c r="A805" t="s">
        <v>546</v>
      </c>
      <c r="B805" t="str">
        <f>_xlfn.XLOOKUP(A805,[1]Municipios!$B:$B,[1]Municipios!$C:$C)</f>
        <v>Noroeste</v>
      </c>
      <c r="C805" t="str">
        <f>_xlfn.XLOOKUP(A805,[1]Municipios!$B:$B,[1]Municipios!$D:$D)</f>
        <v>Arenito-Caiuá</v>
      </c>
      <c r="D805">
        <v>2025</v>
      </c>
      <c r="E805" t="s">
        <v>215</v>
      </c>
      <c r="F805">
        <v>1</v>
      </c>
      <c r="G805">
        <v>84.46</v>
      </c>
    </row>
    <row r="806" spans="1:7" x14ac:dyDescent="0.25">
      <c r="A806" t="s">
        <v>546</v>
      </c>
      <c r="B806" t="str">
        <f>_xlfn.XLOOKUP(A806,[1]Municipios!$B:$B,[1]Municipios!$C:$C)</f>
        <v>Noroeste</v>
      </c>
      <c r="C806" t="str">
        <f>_xlfn.XLOOKUP(A806,[1]Municipios!$B:$B,[1]Municipios!$D:$D)</f>
        <v>Arenito-Caiuá</v>
      </c>
      <c r="D806">
        <v>2025</v>
      </c>
      <c r="E806" t="s">
        <v>234</v>
      </c>
      <c r="F806">
        <v>0.88890000000000002</v>
      </c>
      <c r="G806">
        <v>84.46</v>
      </c>
    </row>
    <row r="807" spans="1:7" x14ac:dyDescent="0.25">
      <c r="A807" t="s">
        <v>546</v>
      </c>
      <c r="B807" t="str">
        <f>_xlfn.XLOOKUP(A807,[1]Municipios!$B:$B,[1]Municipios!$C:$C)</f>
        <v>Noroeste</v>
      </c>
      <c r="C807" t="str">
        <f>_xlfn.XLOOKUP(A807,[1]Municipios!$B:$B,[1]Municipios!$D:$D)</f>
        <v>Arenito-Caiuá</v>
      </c>
      <c r="D807">
        <v>2025</v>
      </c>
      <c r="E807" t="s">
        <v>235</v>
      </c>
      <c r="F807">
        <v>1</v>
      </c>
      <c r="G807">
        <v>84.46</v>
      </c>
    </row>
    <row r="808" spans="1:7" x14ac:dyDescent="0.25">
      <c r="A808" t="s">
        <v>546</v>
      </c>
      <c r="B808" t="str">
        <f>_xlfn.XLOOKUP(A808,[1]Municipios!$B:$B,[1]Municipios!$C:$C)</f>
        <v>Noroeste</v>
      </c>
      <c r="C808" t="str">
        <f>_xlfn.XLOOKUP(A808,[1]Municipios!$B:$B,[1]Municipios!$D:$D)</f>
        <v>Arenito-Caiuá</v>
      </c>
      <c r="D808">
        <v>2025</v>
      </c>
      <c r="E808" t="s">
        <v>236</v>
      </c>
      <c r="F808">
        <v>0.46159999999999995</v>
      </c>
      <c r="G808">
        <v>84.46</v>
      </c>
    </row>
    <row r="809" spans="1:7" x14ac:dyDescent="0.25">
      <c r="A809" t="s">
        <v>546</v>
      </c>
      <c r="B809" t="str">
        <f>_xlfn.XLOOKUP(A809,[1]Municipios!$B:$B,[1]Municipios!$C:$C)</f>
        <v>Noroeste</v>
      </c>
      <c r="C809" t="str">
        <f>_xlfn.XLOOKUP(A809,[1]Municipios!$B:$B,[1]Municipios!$D:$D)</f>
        <v>Arenito-Caiuá</v>
      </c>
      <c r="D809">
        <v>2025</v>
      </c>
      <c r="E809" t="s">
        <v>237</v>
      </c>
      <c r="F809">
        <v>1</v>
      </c>
      <c r="G809">
        <v>84.46</v>
      </c>
    </row>
    <row r="810" spans="1:7" x14ac:dyDescent="0.25">
      <c r="A810" t="s">
        <v>424</v>
      </c>
      <c r="B810" t="str">
        <f>_xlfn.XLOOKUP(A810,[1]Municipios!$B:$B,[1]Municipios!$C:$C)</f>
        <v>Noroeste</v>
      </c>
      <c r="C810" t="str">
        <f>_xlfn.XLOOKUP(A810,[1]Municipios!$B:$B,[1]Municipios!$D:$D)</f>
        <v>Terra Roxa</v>
      </c>
      <c r="D810">
        <v>2025</v>
      </c>
      <c r="E810" t="s">
        <v>231</v>
      </c>
      <c r="F810">
        <v>0.55549999999999988</v>
      </c>
      <c r="G810">
        <v>51.93</v>
      </c>
    </row>
    <row r="811" spans="1:7" x14ac:dyDescent="0.25">
      <c r="A811" t="s">
        <v>424</v>
      </c>
      <c r="B811" t="str">
        <f>_xlfn.XLOOKUP(A811,[1]Municipios!$B:$B,[1]Municipios!$C:$C)</f>
        <v>Noroeste</v>
      </c>
      <c r="C811" t="str">
        <f>_xlfn.XLOOKUP(A811,[1]Municipios!$B:$B,[1]Municipios!$D:$D)</f>
        <v>Terra Roxa</v>
      </c>
      <c r="D811">
        <v>2025</v>
      </c>
      <c r="E811" t="s">
        <v>232</v>
      </c>
      <c r="F811">
        <v>0.61539999999999995</v>
      </c>
      <c r="G811">
        <v>51.93</v>
      </c>
    </row>
    <row r="812" spans="1:7" x14ac:dyDescent="0.25">
      <c r="A812" t="s">
        <v>424</v>
      </c>
      <c r="B812" t="str">
        <f>_xlfn.XLOOKUP(A812,[1]Municipios!$B:$B,[1]Municipios!$C:$C)</f>
        <v>Noroeste</v>
      </c>
      <c r="C812" t="str">
        <f>_xlfn.XLOOKUP(A812,[1]Municipios!$B:$B,[1]Municipios!$D:$D)</f>
        <v>Terra Roxa</v>
      </c>
      <c r="D812">
        <v>2025</v>
      </c>
      <c r="E812" t="s">
        <v>233</v>
      </c>
      <c r="F812">
        <v>0.5</v>
      </c>
      <c r="G812">
        <v>51.93</v>
      </c>
    </row>
    <row r="813" spans="1:7" x14ac:dyDescent="0.25">
      <c r="A813" t="s">
        <v>424</v>
      </c>
      <c r="B813" t="str">
        <f>_xlfn.XLOOKUP(A813,[1]Municipios!$B:$B,[1]Municipios!$C:$C)</f>
        <v>Noroeste</v>
      </c>
      <c r="C813" t="str">
        <f>_xlfn.XLOOKUP(A813,[1]Municipios!$B:$B,[1]Municipios!$D:$D)</f>
        <v>Terra Roxa</v>
      </c>
      <c r="D813">
        <v>2025</v>
      </c>
      <c r="E813" t="s">
        <v>215</v>
      </c>
      <c r="F813">
        <v>0.35000000000000003</v>
      </c>
      <c r="G813">
        <v>51.93</v>
      </c>
    </row>
    <row r="814" spans="1:7" x14ac:dyDescent="0.25">
      <c r="A814" t="s">
        <v>424</v>
      </c>
      <c r="B814" t="str">
        <f>_xlfn.XLOOKUP(A814,[1]Municipios!$B:$B,[1]Municipios!$C:$C)</f>
        <v>Noroeste</v>
      </c>
      <c r="C814" t="str">
        <f>_xlfn.XLOOKUP(A814,[1]Municipios!$B:$B,[1]Municipios!$D:$D)</f>
        <v>Terra Roxa</v>
      </c>
      <c r="D814">
        <v>2025</v>
      </c>
      <c r="E814" t="s">
        <v>234</v>
      </c>
      <c r="F814">
        <v>0.55549999999999999</v>
      </c>
      <c r="G814">
        <v>51.93</v>
      </c>
    </row>
    <row r="815" spans="1:7" x14ac:dyDescent="0.25">
      <c r="A815" t="s">
        <v>424</v>
      </c>
      <c r="B815" t="str">
        <f>_xlfn.XLOOKUP(A815,[1]Municipios!$B:$B,[1]Municipios!$C:$C)</f>
        <v>Noroeste</v>
      </c>
      <c r="C815" t="str">
        <f>_xlfn.XLOOKUP(A815,[1]Municipios!$B:$B,[1]Municipios!$D:$D)</f>
        <v>Terra Roxa</v>
      </c>
      <c r="D815">
        <v>2025</v>
      </c>
      <c r="E815" t="s">
        <v>235</v>
      </c>
      <c r="F815">
        <v>0.42859999999999998</v>
      </c>
      <c r="G815">
        <v>51.93</v>
      </c>
    </row>
    <row r="816" spans="1:7" x14ac:dyDescent="0.25">
      <c r="A816" t="s">
        <v>424</v>
      </c>
      <c r="B816" t="str">
        <f>_xlfn.XLOOKUP(A816,[1]Municipios!$B:$B,[1]Municipios!$C:$C)</f>
        <v>Noroeste</v>
      </c>
      <c r="C816" t="str">
        <f>_xlfn.XLOOKUP(A816,[1]Municipios!$B:$B,[1]Municipios!$D:$D)</f>
        <v>Terra Roxa</v>
      </c>
      <c r="D816">
        <v>2025</v>
      </c>
      <c r="E816" t="s">
        <v>236</v>
      </c>
      <c r="F816">
        <v>0.154</v>
      </c>
      <c r="G816">
        <v>51.93</v>
      </c>
    </row>
    <row r="817" spans="1:7" x14ac:dyDescent="0.25">
      <c r="A817" t="s">
        <v>424</v>
      </c>
      <c r="B817" t="str">
        <f>_xlfn.XLOOKUP(A817,[1]Municipios!$B:$B,[1]Municipios!$C:$C)</f>
        <v>Noroeste</v>
      </c>
      <c r="C817" t="str">
        <f>_xlfn.XLOOKUP(A817,[1]Municipios!$B:$B,[1]Municipios!$D:$D)</f>
        <v>Terra Roxa</v>
      </c>
      <c r="D817">
        <v>2025</v>
      </c>
      <c r="E817" t="s">
        <v>237</v>
      </c>
      <c r="F817">
        <v>1</v>
      </c>
      <c r="G817">
        <v>51.93</v>
      </c>
    </row>
    <row r="818" spans="1:7" x14ac:dyDescent="0.25">
      <c r="A818" t="s">
        <v>535</v>
      </c>
      <c r="B818" t="str">
        <f>_xlfn.XLOOKUP(A818,[1]Municipios!$B:$B,[1]Municipios!$C:$C)</f>
        <v>Leste</v>
      </c>
      <c r="C818" t="str">
        <f>_xlfn.XLOOKUP(A818,[1]Municipios!$B:$B,[1]Municipios!$D:$D)</f>
        <v>Vale Do Ribeira</v>
      </c>
      <c r="D818">
        <v>2025</v>
      </c>
      <c r="E818" t="s">
        <v>231</v>
      </c>
      <c r="F818">
        <v>0.44439999999999996</v>
      </c>
      <c r="G818">
        <v>21.69</v>
      </c>
    </row>
    <row r="819" spans="1:7" x14ac:dyDescent="0.25">
      <c r="A819" t="s">
        <v>535</v>
      </c>
      <c r="B819" t="str">
        <f>_xlfn.XLOOKUP(A819,[1]Municipios!$B:$B,[1]Municipios!$C:$C)</f>
        <v>Leste</v>
      </c>
      <c r="C819" t="str">
        <f>_xlfn.XLOOKUP(A819,[1]Municipios!$B:$B,[1]Municipios!$D:$D)</f>
        <v>Vale Do Ribeira</v>
      </c>
      <c r="D819">
        <v>2025</v>
      </c>
      <c r="E819" t="s">
        <v>232</v>
      </c>
      <c r="F819">
        <v>0.30760000000000004</v>
      </c>
      <c r="G819">
        <v>21.69</v>
      </c>
    </row>
    <row r="820" spans="1:7" x14ac:dyDescent="0.25">
      <c r="A820" t="s">
        <v>535</v>
      </c>
      <c r="B820" t="str">
        <f>_xlfn.XLOOKUP(A820,[1]Municipios!$B:$B,[1]Municipios!$C:$C)</f>
        <v>Leste</v>
      </c>
      <c r="C820" t="str">
        <f>_xlfn.XLOOKUP(A820,[1]Municipios!$B:$B,[1]Municipios!$D:$D)</f>
        <v>Vale Do Ribeira</v>
      </c>
      <c r="D820">
        <v>2025</v>
      </c>
      <c r="E820" t="s">
        <v>233</v>
      </c>
      <c r="F820">
        <v>0.125</v>
      </c>
      <c r="G820">
        <v>21.69</v>
      </c>
    </row>
    <row r="821" spans="1:7" x14ac:dyDescent="0.25">
      <c r="A821" t="s">
        <v>535</v>
      </c>
      <c r="B821" t="str">
        <f>_xlfn.XLOOKUP(A821,[1]Municipios!$B:$B,[1]Municipios!$C:$C)</f>
        <v>Leste</v>
      </c>
      <c r="C821" t="str">
        <f>_xlfn.XLOOKUP(A821,[1]Municipios!$B:$B,[1]Municipios!$D:$D)</f>
        <v>Vale Do Ribeira</v>
      </c>
      <c r="D821">
        <v>2025</v>
      </c>
      <c r="E821" t="s">
        <v>215</v>
      </c>
      <c r="F821">
        <v>0.25</v>
      </c>
      <c r="G821">
        <v>21.69</v>
      </c>
    </row>
    <row r="822" spans="1:7" x14ac:dyDescent="0.25">
      <c r="A822" t="s">
        <v>535</v>
      </c>
      <c r="B822" t="str">
        <f>_xlfn.XLOOKUP(A822,[1]Municipios!$B:$B,[1]Municipios!$C:$C)</f>
        <v>Leste</v>
      </c>
      <c r="C822" t="str">
        <f>_xlfn.XLOOKUP(A822,[1]Municipios!$B:$B,[1]Municipios!$D:$D)</f>
        <v>Vale Do Ribeira</v>
      </c>
      <c r="D822">
        <v>2025</v>
      </c>
      <c r="E822" t="s">
        <v>234</v>
      </c>
      <c r="F822">
        <v>0.33329999999999999</v>
      </c>
      <c r="G822">
        <v>21.69</v>
      </c>
    </row>
    <row r="823" spans="1:7" x14ac:dyDescent="0.25">
      <c r="A823" t="s">
        <v>535</v>
      </c>
      <c r="B823" t="str">
        <f>_xlfn.XLOOKUP(A823,[1]Municipios!$B:$B,[1]Municipios!$C:$C)</f>
        <v>Leste</v>
      </c>
      <c r="C823" t="str">
        <f>_xlfn.XLOOKUP(A823,[1]Municipios!$B:$B,[1]Municipios!$D:$D)</f>
        <v>Vale Do Ribeira</v>
      </c>
      <c r="D823">
        <v>2025</v>
      </c>
      <c r="E823" t="s">
        <v>235</v>
      </c>
      <c r="F823">
        <v>0.1429</v>
      </c>
      <c r="G823">
        <v>21.69</v>
      </c>
    </row>
    <row r="824" spans="1:7" x14ac:dyDescent="0.25">
      <c r="A824" t="s">
        <v>535</v>
      </c>
      <c r="B824" t="str">
        <f>_xlfn.XLOOKUP(A824,[1]Municipios!$B:$B,[1]Municipios!$C:$C)</f>
        <v>Leste</v>
      </c>
      <c r="C824" t="str">
        <f>_xlfn.XLOOKUP(A824,[1]Municipios!$B:$B,[1]Municipios!$D:$D)</f>
        <v>Vale Do Ribeira</v>
      </c>
      <c r="D824">
        <v>2025</v>
      </c>
      <c r="E824" t="s">
        <v>236</v>
      </c>
      <c r="F824">
        <v>0</v>
      </c>
      <c r="G824">
        <v>21.69</v>
      </c>
    </row>
    <row r="825" spans="1:7" x14ac:dyDescent="0.25">
      <c r="A825" t="s">
        <v>535</v>
      </c>
      <c r="B825" t="str">
        <f>_xlfn.XLOOKUP(A825,[1]Municipios!$B:$B,[1]Municipios!$C:$C)</f>
        <v>Leste</v>
      </c>
      <c r="C825" t="str">
        <f>_xlfn.XLOOKUP(A825,[1]Municipios!$B:$B,[1]Municipios!$D:$D)</f>
        <v>Vale Do Ribeira</v>
      </c>
      <c r="D825">
        <v>2025</v>
      </c>
      <c r="E825" t="s">
        <v>237</v>
      </c>
      <c r="F825">
        <v>0</v>
      </c>
      <c r="G825">
        <v>21.69</v>
      </c>
    </row>
    <row r="826" spans="1:7" x14ac:dyDescent="0.25">
      <c r="A826" t="s">
        <v>251</v>
      </c>
      <c r="B826" t="str">
        <f>_xlfn.XLOOKUP(A826,[1]Municipios!$B:$B,[1]Municipios!$C:$C)</f>
        <v>Sul</v>
      </c>
      <c r="C826" t="str">
        <f>_xlfn.XLOOKUP(A826,[1]Municipios!$B:$B,[1]Municipios!$D:$D)</f>
        <v>Sudoeste Pioneiro</v>
      </c>
      <c r="D826">
        <v>2025</v>
      </c>
      <c r="E826" t="s">
        <v>231</v>
      </c>
      <c r="F826">
        <v>0.33329999999999999</v>
      </c>
      <c r="G826">
        <v>32.81</v>
      </c>
    </row>
    <row r="827" spans="1:7" x14ac:dyDescent="0.25">
      <c r="A827" t="s">
        <v>251</v>
      </c>
      <c r="B827" t="str">
        <f>_xlfn.XLOOKUP(A827,[1]Municipios!$B:$B,[1]Municipios!$C:$C)</f>
        <v>Sul</v>
      </c>
      <c r="C827" t="str">
        <f>_xlfn.XLOOKUP(A827,[1]Municipios!$B:$B,[1]Municipios!$D:$D)</f>
        <v>Sudoeste Pioneiro</v>
      </c>
      <c r="D827">
        <v>2025</v>
      </c>
      <c r="E827" t="s">
        <v>232</v>
      </c>
      <c r="F827">
        <v>0.69220000000000004</v>
      </c>
      <c r="G827">
        <v>32.81</v>
      </c>
    </row>
    <row r="828" spans="1:7" x14ac:dyDescent="0.25">
      <c r="A828" t="s">
        <v>251</v>
      </c>
      <c r="B828" t="str">
        <f>_xlfn.XLOOKUP(A828,[1]Municipios!$B:$B,[1]Municipios!$C:$C)</f>
        <v>Sul</v>
      </c>
      <c r="C828" t="str">
        <f>_xlfn.XLOOKUP(A828,[1]Municipios!$B:$B,[1]Municipios!$D:$D)</f>
        <v>Sudoeste Pioneiro</v>
      </c>
      <c r="D828">
        <v>2025</v>
      </c>
      <c r="E828" t="s">
        <v>233</v>
      </c>
      <c r="F828">
        <v>0.75</v>
      </c>
      <c r="G828">
        <v>32.81</v>
      </c>
    </row>
    <row r="829" spans="1:7" x14ac:dyDescent="0.25">
      <c r="A829" t="s">
        <v>251</v>
      </c>
      <c r="B829" t="str">
        <f>_xlfn.XLOOKUP(A829,[1]Municipios!$B:$B,[1]Municipios!$C:$C)</f>
        <v>Sul</v>
      </c>
      <c r="C829" t="str">
        <f>_xlfn.XLOOKUP(A829,[1]Municipios!$B:$B,[1]Municipios!$D:$D)</f>
        <v>Sudoeste Pioneiro</v>
      </c>
      <c r="D829">
        <v>2025</v>
      </c>
      <c r="E829" t="s">
        <v>215</v>
      </c>
      <c r="F829">
        <v>0.19999999999999998</v>
      </c>
      <c r="G829">
        <v>32.81</v>
      </c>
    </row>
    <row r="830" spans="1:7" x14ac:dyDescent="0.25">
      <c r="A830" t="s">
        <v>251</v>
      </c>
      <c r="B830" t="str">
        <f>_xlfn.XLOOKUP(A830,[1]Municipios!$B:$B,[1]Municipios!$C:$C)</f>
        <v>Sul</v>
      </c>
      <c r="C830" t="str">
        <f>_xlfn.XLOOKUP(A830,[1]Municipios!$B:$B,[1]Municipios!$D:$D)</f>
        <v>Sudoeste Pioneiro</v>
      </c>
      <c r="D830">
        <v>2025</v>
      </c>
      <c r="E830" t="s">
        <v>234</v>
      </c>
      <c r="F830">
        <v>0.55559999999999998</v>
      </c>
      <c r="G830">
        <v>32.81</v>
      </c>
    </row>
    <row r="831" spans="1:7" x14ac:dyDescent="0.25">
      <c r="A831" t="s">
        <v>251</v>
      </c>
      <c r="B831" t="str">
        <f>_xlfn.XLOOKUP(A831,[1]Municipios!$B:$B,[1]Municipios!$C:$C)</f>
        <v>Sul</v>
      </c>
      <c r="C831" t="str">
        <f>_xlfn.XLOOKUP(A831,[1]Municipios!$B:$B,[1]Municipios!$D:$D)</f>
        <v>Sudoeste Pioneiro</v>
      </c>
      <c r="D831">
        <v>2025</v>
      </c>
      <c r="E831" t="s">
        <v>235</v>
      </c>
      <c r="F831">
        <v>0.14279999999999998</v>
      </c>
      <c r="G831">
        <v>32.81</v>
      </c>
    </row>
    <row r="832" spans="1:7" x14ac:dyDescent="0.25">
      <c r="A832" t="s">
        <v>251</v>
      </c>
      <c r="B832" t="str">
        <f>_xlfn.XLOOKUP(A832,[1]Municipios!$B:$B,[1]Municipios!$C:$C)</f>
        <v>Sul</v>
      </c>
      <c r="C832" t="str">
        <f>_xlfn.XLOOKUP(A832,[1]Municipios!$B:$B,[1]Municipios!$D:$D)</f>
        <v>Sudoeste Pioneiro</v>
      </c>
      <c r="D832">
        <v>2025</v>
      </c>
      <c r="E832" t="s">
        <v>236</v>
      </c>
      <c r="F832">
        <v>0</v>
      </c>
      <c r="G832">
        <v>32.81</v>
      </c>
    </row>
    <row r="833" spans="1:7" x14ac:dyDescent="0.25">
      <c r="A833" t="s">
        <v>251</v>
      </c>
      <c r="B833" t="str">
        <f>_xlfn.XLOOKUP(A833,[1]Municipios!$B:$B,[1]Municipios!$C:$C)</f>
        <v>Sul</v>
      </c>
      <c r="C833" t="str">
        <f>_xlfn.XLOOKUP(A833,[1]Municipios!$B:$B,[1]Municipios!$D:$D)</f>
        <v>Sudoeste Pioneiro</v>
      </c>
      <c r="D833">
        <v>2025</v>
      </c>
      <c r="E833" t="s">
        <v>237</v>
      </c>
      <c r="F833">
        <v>0</v>
      </c>
      <c r="G833">
        <v>32.81</v>
      </c>
    </row>
    <row r="834" spans="1:7" x14ac:dyDescent="0.25">
      <c r="A834" t="s">
        <v>547</v>
      </c>
      <c r="B834" t="str">
        <f>_xlfn.XLOOKUP(A834,[1]Municipios!$B:$B,[1]Municipios!$C:$C)</f>
        <v>Noroeste</v>
      </c>
      <c r="C834" t="str">
        <f>_xlfn.XLOOKUP(A834,[1]Municipios!$B:$B,[1]Municipios!$D:$D)</f>
        <v>Centro Ocidental</v>
      </c>
      <c r="D834">
        <v>2025</v>
      </c>
      <c r="E834" t="s">
        <v>231</v>
      </c>
      <c r="F834">
        <v>0.55549999999999988</v>
      </c>
      <c r="G834">
        <v>25.97</v>
      </c>
    </row>
    <row r="835" spans="1:7" x14ac:dyDescent="0.25">
      <c r="A835" t="s">
        <v>547</v>
      </c>
      <c r="B835" t="str">
        <f>_xlfn.XLOOKUP(A835,[1]Municipios!$B:$B,[1]Municipios!$C:$C)</f>
        <v>Noroeste</v>
      </c>
      <c r="C835" t="str">
        <f>_xlfn.XLOOKUP(A835,[1]Municipios!$B:$B,[1]Municipios!$D:$D)</f>
        <v>Centro Ocidental</v>
      </c>
      <c r="D835">
        <v>2025</v>
      </c>
      <c r="E835" t="s">
        <v>232</v>
      </c>
      <c r="F835">
        <v>0.53839999999999999</v>
      </c>
      <c r="G835">
        <v>25.97</v>
      </c>
    </row>
    <row r="836" spans="1:7" x14ac:dyDescent="0.25">
      <c r="A836" t="s">
        <v>547</v>
      </c>
      <c r="B836" t="str">
        <f>_xlfn.XLOOKUP(A836,[1]Municipios!$B:$B,[1]Municipios!$C:$C)</f>
        <v>Noroeste</v>
      </c>
      <c r="C836" t="str">
        <f>_xlfn.XLOOKUP(A836,[1]Municipios!$B:$B,[1]Municipios!$D:$D)</f>
        <v>Centro Ocidental</v>
      </c>
      <c r="D836">
        <v>2025</v>
      </c>
      <c r="E836" t="s">
        <v>233</v>
      </c>
      <c r="F836">
        <v>0.25</v>
      </c>
      <c r="G836">
        <v>25.97</v>
      </c>
    </row>
    <row r="837" spans="1:7" x14ac:dyDescent="0.25">
      <c r="A837" t="s">
        <v>547</v>
      </c>
      <c r="B837" t="str">
        <f>_xlfn.XLOOKUP(A837,[1]Municipios!$B:$B,[1]Municipios!$C:$C)</f>
        <v>Noroeste</v>
      </c>
      <c r="C837" t="str">
        <f>_xlfn.XLOOKUP(A837,[1]Municipios!$B:$B,[1]Municipios!$D:$D)</f>
        <v>Centro Ocidental</v>
      </c>
      <c r="D837">
        <v>2025</v>
      </c>
      <c r="E837" t="s">
        <v>215</v>
      </c>
      <c r="F837">
        <v>0</v>
      </c>
      <c r="G837">
        <v>25.97</v>
      </c>
    </row>
    <row r="838" spans="1:7" x14ac:dyDescent="0.25">
      <c r="A838" t="s">
        <v>547</v>
      </c>
      <c r="B838" t="str">
        <f>_xlfn.XLOOKUP(A838,[1]Municipios!$B:$B,[1]Municipios!$C:$C)</f>
        <v>Noroeste</v>
      </c>
      <c r="C838" t="str">
        <f>_xlfn.XLOOKUP(A838,[1]Municipios!$B:$B,[1]Municipios!$D:$D)</f>
        <v>Centro Ocidental</v>
      </c>
      <c r="D838">
        <v>2025</v>
      </c>
      <c r="E838" t="s">
        <v>234</v>
      </c>
      <c r="F838">
        <v>0.55549999999999999</v>
      </c>
      <c r="G838">
        <v>25.97</v>
      </c>
    </row>
    <row r="839" spans="1:7" x14ac:dyDescent="0.25">
      <c r="A839" t="s">
        <v>547</v>
      </c>
      <c r="B839" t="str">
        <f>_xlfn.XLOOKUP(A839,[1]Municipios!$B:$B,[1]Municipios!$C:$C)</f>
        <v>Noroeste</v>
      </c>
      <c r="C839" t="str">
        <f>_xlfn.XLOOKUP(A839,[1]Municipios!$B:$B,[1]Municipios!$D:$D)</f>
        <v>Centro Ocidental</v>
      </c>
      <c r="D839">
        <v>2025</v>
      </c>
      <c r="E839" t="s">
        <v>235</v>
      </c>
      <c r="F839">
        <v>0</v>
      </c>
      <c r="G839">
        <v>25.97</v>
      </c>
    </row>
    <row r="840" spans="1:7" x14ac:dyDescent="0.25">
      <c r="A840" t="s">
        <v>547</v>
      </c>
      <c r="B840" t="str">
        <f>_xlfn.XLOOKUP(A840,[1]Municipios!$B:$B,[1]Municipios!$C:$C)</f>
        <v>Noroeste</v>
      </c>
      <c r="C840" t="str">
        <f>_xlfn.XLOOKUP(A840,[1]Municipios!$B:$B,[1]Municipios!$D:$D)</f>
        <v>Centro Ocidental</v>
      </c>
      <c r="D840">
        <v>2025</v>
      </c>
      <c r="E840" t="s">
        <v>236</v>
      </c>
      <c r="F840">
        <v>0</v>
      </c>
      <c r="G840">
        <v>25.97</v>
      </c>
    </row>
    <row r="841" spans="1:7" x14ac:dyDescent="0.25">
      <c r="A841" t="s">
        <v>547</v>
      </c>
      <c r="B841" t="str">
        <f>_xlfn.XLOOKUP(A841,[1]Municipios!$B:$B,[1]Municipios!$C:$C)</f>
        <v>Noroeste</v>
      </c>
      <c r="C841" t="str">
        <f>_xlfn.XLOOKUP(A841,[1]Municipios!$B:$B,[1]Municipios!$D:$D)</f>
        <v>Centro Ocidental</v>
      </c>
      <c r="D841">
        <v>2025</v>
      </c>
      <c r="E841" t="s">
        <v>237</v>
      </c>
      <c r="F841">
        <v>0</v>
      </c>
      <c r="G841">
        <v>25.97</v>
      </c>
    </row>
    <row r="842" spans="1:7" x14ac:dyDescent="0.25">
      <c r="A842" t="s">
        <v>439</v>
      </c>
      <c r="B842" t="str">
        <f>_xlfn.XLOOKUP(A842,[1]Municipios!$B:$B,[1]Municipios!$C:$C)</f>
        <v>Oeste</v>
      </c>
      <c r="C842" t="str">
        <f>_xlfn.XLOOKUP(A842,[1]Municipios!$B:$B,[1]Municipios!$D:$D)</f>
        <v>Oeste Integrado</v>
      </c>
      <c r="D842">
        <v>2025</v>
      </c>
      <c r="E842" t="s">
        <v>231</v>
      </c>
      <c r="F842">
        <v>0.77779999999999994</v>
      </c>
      <c r="G842">
        <v>68.09</v>
      </c>
    </row>
    <row r="843" spans="1:7" x14ac:dyDescent="0.25">
      <c r="A843" t="s">
        <v>439</v>
      </c>
      <c r="B843" t="str">
        <f>_xlfn.XLOOKUP(A843,[1]Municipios!$B:$B,[1]Municipios!$C:$C)</f>
        <v>Oeste</v>
      </c>
      <c r="C843" t="str">
        <f>_xlfn.XLOOKUP(A843,[1]Municipios!$B:$B,[1]Municipios!$D:$D)</f>
        <v>Oeste Integrado</v>
      </c>
      <c r="D843">
        <v>2025</v>
      </c>
      <c r="E843" t="s">
        <v>232</v>
      </c>
      <c r="F843">
        <v>0.84619999999999995</v>
      </c>
      <c r="G843">
        <v>68.09</v>
      </c>
    </row>
    <row r="844" spans="1:7" x14ac:dyDescent="0.25">
      <c r="A844" t="s">
        <v>439</v>
      </c>
      <c r="B844" t="str">
        <f>_xlfn.XLOOKUP(A844,[1]Municipios!$B:$B,[1]Municipios!$C:$C)</f>
        <v>Oeste</v>
      </c>
      <c r="C844" t="str">
        <f>_xlfn.XLOOKUP(A844,[1]Municipios!$B:$B,[1]Municipios!$D:$D)</f>
        <v>Oeste Integrado</v>
      </c>
      <c r="D844">
        <v>2025</v>
      </c>
      <c r="E844" t="s">
        <v>233</v>
      </c>
      <c r="F844">
        <v>0.625</v>
      </c>
      <c r="G844">
        <v>68.09</v>
      </c>
    </row>
    <row r="845" spans="1:7" x14ac:dyDescent="0.25">
      <c r="A845" t="s">
        <v>439</v>
      </c>
      <c r="B845" t="str">
        <f>_xlfn.XLOOKUP(A845,[1]Municipios!$B:$B,[1]Municipios!$C:$C)</f>
        <v>Oeste</v>
      </c>
      <c r="C845" t="str">
        <f>_xlfn.XLOOKUP(A845,[1]Municipios!$B:$B,[1]Municipios!$D:$D)</f>
        <v>Oeste Integrado</v>
      </c>
      <c r="D845">
        <v>2025</v>
      </c>
      <c r="E845" t="s">
        <v>215</v>
      </c>
      <c r="F845">
        <v>0.39999999999999997</v>
      </c>
      <c r="G845">
        <v>68.09</v>
      </c>
    </row>
    <row r="846" spans="1:7" x14ac:dyDescent="0.25">
      <c r="A846" t="s">
        <v>439</v>
      </c>
      <c r="B846" t="str">
        <f>_xlfn.XLOOKUP(A846,[1]Municipios!$B:$B,[1]Municipios!$C:$C)</f>
        <v>Oeste</v>
      </c>
      <c r="C846" t="str">
        <f>_xlfn.XLOOKUP(A846,[1]Municipios!$B:$B,[1]Municipios!$D:$D)</f>
        <v>Oeste Integrado</v>
      </c>
      <c r="D846">
        <v>2025</v>
      </c>
      <c r="E846" t="s">
        <v>234</v>
      </c>
      <c r="F846">
        <v>0.55549999999999999</v>
      </c>
      <c r="G846">
        <v>68.09</v>
      </c>
    </row>
    <row r="847" spans="1:7" x14ac:dyDescent="0.25">
      <c r="A847" t="s">
        <v>439</v>
      </c>
      <c r="B847" t="str">
        <f>_xlfn.XLOOKUP(A847,[1]Municipios!$B:$B,[1]Municipios!$C:$C)</f>
        <v>Oeste</v>
      </c>
      <c r="C847" t="str">
        <f>_xlfn.XLOOKUP(A847,[1]Municipios!$B:$B,[1]Municipios!$D:$D)</f>
        <v>Oeste Integrado</v>
      </c>
      <c r="D847">
        <v>2025</v>
      </c>
      <c r="E847" t="s">
        <v>235</v>
      </c>
      <c r="F847">
        <v>1</v>
      </c>
      <c r="G847">
        <v>68.09</v>
      </c>
    </row>
    <row r="848" spans="1:7" x14ac:dyDescent="0.25">
      <c r="A848" t="s">
        <v>439</v>
      </c>
      <c r="B848" t="str">
        <f>_xlfn.XLOOKUP(A848,[1]Municipios!$B:$B,[1]Municipios!$C:$C)</f>
        <v>Oeste</v>
      </c>
      <c r="C848" t="str">
        <f>_xlfn.XLOOKUP(A848,[1]Municipios!$B:$B,[1]Municipios!$D:$D)</f>
        <v>Oeste Integrado</v>
      </c>
      <c r="D848">
        <v>2025</v>
      </c>
      <c r="E848" t="s">
        <v>236</v>
      </c>
      <c r="F848">
        <v>0.154</v>
      </c>
      <c r="G848">
        <v>68.09</v>
      </c>
    </row>
    <row r="849" spans="1:7" x14ac:dyDescent="0.25">
      <c r="A849" t="s">
        <v>439</v>
      </c>
      <c r="B849" t="str">
        <f>_xlfn.XLOOKUP(A849,[1]Municipios!$B:$B,[1]Municipios!$C:$C)</f>
        <v>Oeste</v>
      </c>
      <c r="C849" t="str">
        <f>_xlfn.XLOOKUP(A849,[1]Municipios!$B:$B,[1]Municipios!$D:$D)</f>
        <v>Oeste Integrado</v>
      </c>
      <c r="D849">
        <v>2025</v>
      </c>
      <c r="E849" t="s">
        <v>237</v>
      </c>
      <c r="F849">
        <v>1</v>
      </c>
      <c r="G849">
        <v>68.09</v>
      </c>
    </row>
    <row r="850" spans="1:7" x14ac:dyDescent="0.25">
      <c r="A850" t="s">
        <v>548</v>
      </c>
      <c r="B850" t="str">
        <f>_xlfn.XLOOKUP(A850,[1]Municipios!$B:$B,[1]Municipios!$C:$C)</f>
        <v>Noroeste</v>
      </c>
      <c r="C850" t="str">
        <f>_xlfn.XLOOKUP(A850,[1]Municipios!$B:$B,[1]Municipios!$D:$D)</f>
        <v>Arenito-Caiuá</v>
      </c>
      <c r="D850">
        <v>2025</v>
      </c>
      <c r="E850" t="s">
        <v>231</v>
      </c>
      <c r="F850">
        <v>0</v>
      </c>
      <c r="G850">
        <v>32.6</v>
      </c>
    </row>
    <row r="851" spans="1:7" x14ac:dyDescent="0.25">
      <c r="A851" t="s">
        <v>548</v>
      </c>
      <c r="B851" t="str">
        <f>_xlfn.XLOOKUP(A851,[1]Municipios!$B:$B,[1]Municipios!$C:$C)</f>
        <v>Noroeste</v>
      </c>
      <c r="C851" t="str">
        <f>_xlfn.XLOOKUP(A851,[1]Municipios!$B:$B,[1]Municipios!$D:$D)</f>
        <v>Arenito-Caiuá</v>
      </c>
      <c r="D851">
        <v>2025</v>
      </c>
      <c r="E851" t="s">
        <v>232</v>
      </c>
      <c r="F851">
        <v>0.30760000000000004</v>
      </c>
      <c r="G851">
        <v>32.6</v>
      </c>
    </row>
    <row r="852" spans="1:7" x14ac:dyDescent="0.25">
      <c r="A852" t="s">
        <v>548</v>
      </c>
      <c r="B852" t="str">
        <f>_xlfn.XLOOKUP(A852,[1]Municipios!$B:$B,[1]Municipios!$C:$C)</f>
        <v>Noroeste</v>
      </c>
      <c r="C852" t="str">
        <f>_xlfn.XLOOKUP(A852,[1]Municipios!$B:$B,[1]Municipios!$D:$D)</f>
        <v>Arenito-Caiuá</v>
      </c>
      <c r="D852">
        <v>2025</v>
      </c>
      <c r="E852" t="s">
        <v>233</v>
      </c>
      <c r="F852">
        <v>0.25</v>
      </c>
      <c r="G852">
        <v>32.6</v>
      </c>
    </row>
    <row r="853" spans="1:7" x14ac:dyDescent="0.25">
      <c r="A853" t="s">
        <v>548</v>
      </c>
      <c r="B853" t="str">
        <f>_xlfn.XLOOKUP(A853,[1]Municipios!$B:$B,[1]Municipios!$C:$C)</f>
        <v>Noroeste</v>
      </c>
      <c r="C853" t="str">
        <f>_xlfn.XLOOKUP(A853,[1]Municipios!$B:$B,[1]Municipios!$D:$D)</f>
        <v>Arenito-Caiuá</v>
      </c>
      <c r="D853">
        <v>2025</v>
      </c>
      <c r="E853" t="s">
        <v>215</v>
      </c>
      <c r="F853">
        <v>0.39999999999999997</v>
      </c>
      <c r="G853">
        <v>32.6</v>
      </c>
    </row>
    <row r="854" spans="1:7" x14ac:dyDescent="0.25">
      <c r="A854" t="s">
        <v>548</v>
      </c>
      <c r="B854" t="str">
        <f>_xlfn.XLOOKUP(A854,[1]Municipios!$B:$B,[1]Municipios!$C:$C)</f>
        <v>Noroeste</v>
      </c>
      <c r="C854" t="str">
        <f>_xlfn.XLOOKUP(A854,[1]Municipios!$B:$B,[1]Municipios!$D:$D)</f>
        <v>Arenito-Caiuá</v>
      </c>
      <c r="D854">
        <v>2025</v>
      </c>
      <c r="E854" t="s">
        <v>234</v>
      </c>
      <c r="F854">
        <v>0.44440000000000002</v>
      </c>
      <c r="G854">
        <v>32.6</v>
      </c>
    </row>
    <row r="855" spans="1:7" x14ac:dyDescent="0.25">
      <c r="A855" t="s">
        <v>548</v>
      </c>
      <c r="B855" t="str">
        <f>_xlfn.XLOOKUP(A855,[1]Municipios!$B:$B,[1]Municipios!$C:$C)</f>
        <v>Noroeste</v>
      </c>
      <c r="C855" t="str">
        <f>_xlfn.XLOOKUP(A855,[1]Municipios!$B:$B,[1]Municipios!$D:$D)</f>
        <v>Arenito-Caiuá</v>
      </c>
      <c r="D855">
        <v>2025</v>
      </c>
      <c r="E855" t="s">
        <v>235</v>
      </c>
      <c r="F855">
        <v>0.57150000000000001</v>
      </c>
      <c r="G855">
        <v>32.6</v>
      </c>
    </row>
    <row r="856" spans="1:7" x14ac:dyDescent="0.25">
      <c r="A856" t="s">
        <v>548</v>
      </c>
      <c r="B856" t="str">
        <f>_xlfn.XLOOKUP(A856,[1]Municipios!$B:$B,[1]Municipios!$C:$C)</f>
        <v>Noroeste</v>
      </c>
      <c r="C856" t="str">
        <f>_xlfn.XLOOKUP(A856,[1]Municipios!$B:$B,[1]Municipios!$D:$D)</f>
        <v>Arenito-Caiuá</v>
      </c>
      <c r="D856">
        <v>2025</v>
      </c>
      <c r="E856" t="s">
        <v>236</v>
      </c>
      <c r="F856">
        <v>0</v>
      </c>
      <c r="G856">
        <v>32.6</v>
      </c>
    </row>
    <row r="857" spans="1:7" x14ac:dyDescent="0.25">
      <c r="A857" t="s">
        <v>548</v>
      </c>
      <c r="B857" t="str">
        <f>_xlfn.XLOOKUP(A857,[1]Municipios!$B:$B,[1]Municipios!$C:$C)</f>
        <v>Noroeste</v>
      </c>
      <c r="C857" t="str">
        <f>_xlfn.XLOOKUP(A857,[1]Municipios!$B:$B,[1]Municipios!$D:$D)</f>
        <v>Arenito-Caiuá</v>
      </c>
      <c r="D857">
        <v>2025</v>
      </c>
      <c r="E857" t="s">
        <v>237</v>
      </c>
      <c r="F857">
        <v>0.5</v>
      </c>
      <c r="G857">
        <v>32.6</v>
      </c>
    </row>
    <row r="858" spans="1:7" x14ac:dyDescent="0.25">
      <c r="A858" t="s">
        <v>522</v>
      </c>
      <c r="B858" t="str">
        <f>_xlfn.XLOOKUP(A858,[1]Municipios!$B:$B,[1]Municipios!$C:$C)</f>
        <v>Oeste</v>
      </c>
      <c r="C858" t="str">
        <f>_xlfn.XLOOKUP(A858,[1]Municipios!$B:$B,[1]Municipios!$D:$D)</f>
        <v>Cantuquiriguaçu</v>
      </c>
      <c r="D858">
        <v>2025</v>
      </c>
      <c r="E858" t="s">
        <v>231</v>
      </c>
      <c r="F858">
        <v>0.22219999999999998</v>
      </c>
      <c r="G858">
        <v>22.01</v>
      </c>
    </row>
    <row r="859" spans="1:7" x14ac:dyDescent="0.25">
      <c r="A859" t="s">
        <v>522</v>
      </c>
      <c r="B859" t="str">
        <f>_xlfn.XLOOKUP(A859,[1]Municipios!$B:$B,[1]Municipios!$C:$C)</f>
        <v>Oeste</v>
      </c>
      <c r="C859" t="str">
        <f>_xlfn.XLOOKUP(A859,[1]Municipios!$B:$B,[1]Municipios!$D:$D)</f>
        <v>Cantuquiriguaçu</v>
      </c>
      <c r="D859">
        <v>2025</v>
      </c>
      <c r="E859" t="s">
        <v>232</v>
      </c>
      <c r="F859">
        <v>0.46150000000000002</v>
      </c>
      <c r="G859">
        <v>22.01</v>
      </c>
    </row>
    <row r="860" spans="1:7" x14ac:dyDescent="0.25">
      <c r="A860" t="s">
        <v>522</v>
      </c>
      <c r="B860" t="str">
        <f>_xlfn.XLOOKUP(A860,[1]Municipios!$B:$B,[1]Municipios!$C:$C)</f>
        <v>Oeste</v>
      </c>
      <c r="C860" t="str">
        <f>_xlfn.XLOOKUP(A860,[1]Municipios!$B:$B,[1]Municipios!$D:$D)</f>
        <v>Cantuquiriguaçu</v>
      </c>
      <c r="D860">
        <v>2025</v>
      </c>
      <c r="E860" t="s">
        <v>233</v>
      </c>
      <c r="F860">
        <v>0.125</v>
      </c>
      <c r="G860">
        <v>22.01</v>
      </c>
    </row>
    <row r="861" spans="1:7" x14ac:dyDescent="0.25">
      <c r="A861" t="s">
        <v>522</v>
      </c>
      <c r="B861" t="str">
        <f>_xlfn.XLOOKUP(A861,[1]Municipios!$B:$B,[1]Municipios!$C:$C)</f>
        <v>Oeste</v>
      </c>
      <c r="C861" t="str">
        <f>_xlfn.XLOOKUP(A861,[1]Municipios!$B:$B,[1]Municipios!$D:$D)</f>
        <v>Cantuquiriguaçu</v>
      </c>
      <c r="D861">
        <v>2025</v>
      </c>
      <c r="E861" t="s">
        <v>215</v>
      </c>
      <c r="F861">
        <v>0</v>
      </c>
      <c r="G861">
        <v>22.01</v>
      </c>
    </row>
    <row r="862" spans="1:7" x14ac:dyDescent="0.25">
      <c r="A862" t="s">
        <v>522</v>
      </c>
      <c r="B862" t="str">
        <f>_xlfn.XLOOKUP(A862,[1]Municipios!$B:$B,[1]Municipios!$C:$C)</f>
        <v>Oeste</v>
      </c>
      <c r="C862" t="str">
        <f>_xlfn.XLOOKUP(A862,[1]Municipios!$B:$B,[1]Municipios!$D:$D)</f>
        <v>Cantuquiriguaçu</v>
      </c>
      <c r="D862">
        <v>2025</v>
      </c>
      <c r="E862" t="s">
        <v>234</v>
      </c>
      <c r="F862">
        <v>0.66659999999999997</v>
      </c>
      <c r="G862">
        <v>22.01</v>
      </c>
    </row>
    <row r="863" spans="1:7" x14ac:dyDescent="0.25">
      <c r="A863" t="s">
        <v>522</v>
      </c>
      <c r="B863" t="str">
        <f>_xlfn.XLOOKUP(A863,[1]Municipios!$B:$B,[1]Municipios!$C:$C)</f>
        <v>Oeste</v>
      </c>
      <c r="C863" t="str">
        <f>_xlfn.XLOOKUP(A863,[1]Municipios!$B:$B,[1]Municipios!$D:$D)</f>
        <v>Cantuquiriguaçu</v>
      </c>
      <c r="D863">
        <v>2025</v>
      </c>
      <c r="E863" t="s">
        <v>235</v>
      </c>
      <c r="F863">
        <v>0</v>
      </c>
      <c r="G863">
        <v>22.01</v>
      </c>
    </row>
    <row r="864" spans="1:7" x14ac:dyDescent="0.25">
      <c r="A864" t="s">
        <v>522</v>
      </c>
      <c r="B864" t="str">
        <f>_xlfn.XLOOKUP(A864,[1]Municipios!$B:$B,[1]Municipios!$C:$C)</f>
        <v>Oeste</v>
      </c>
      <c r="C864" t="str">
        <f>_xlfn.XLOOKUP(A864,[1]Municipios!$B:$B,[1]Municipios!$D:$D)</f>
        <v>Cantuquiriguaçu</v>
      </c>
      <c r="D864">
        <v>2025</v>
      </c>
      <c r="E864" t="s">
        <v>236</v>
      </c>
      <c r="F864">
        <v>0</v>
      </c>
      <c r="G864">
        <v>22.01</v>
      </c>
    </row>
    <row r="865" spans="1:7" x14ac:dyDescent="0.25">
      <c r="A865" t="s">
        <v>522</v>
      </c>
      <c r="B865" t="str">
        <f>_xlfn.XLOOKUP(A865,[1]Municipios!$B:$B,[1]Municipios!$C:$C)</f>
        <v>Oeste</v>
      </c>
      <c r="C865" t="str">
        <f>_xlfn.XLOOKUP(A865,[1]Municipios!$B:$B,[1]Municipios!$D:$D)</f>
        <v>Cantuquiriguaçu</v>
      </c>
      <c r="D865">
        <v>2025</v>
      </c>
      <c r="E865" t="s">
        <v>237</v>
      </c>
      <c r="F865">
        <v>0</v>
      </c>
      <c r="G865">
        <v>22.01</v>
      </c>
    </row>
    <row r="866" spans="1:7" x14ac:dyDescent="0.25">
      <c r="A866" t="s">
        <v>549</v>
      </c>
      <c r="B866" t="str">
        <f>_xlfn.XLOOKUP(A866,[1]Municipios!$B:$B,[1]Municipios!$C:$C)</f>
        <v>Noroeste</v>
      </c>
      <c r="C866" t="str">
        <f>_xlfn.XLOOKUP(A866,[1]Municipios!$B:$B,[1]Municipios!$D:$D)</f>
        <v>Centro Ocidental</v>
      </c>
      <c r="D866">
        <v>2025</v>
      </c>
      <c r="E866" t="s">
        <v>231</v>
      </c>
      <c r="F866">
        <v>0.22219999999999998</v>
      </c>
      <c r="G866">
        <v>29.42</v>
      </c>
    </row>
    <row r="867" spans="1:7" x14ac:dyDescent="0.25">
      <c r="A867" t="s">
        <v>549</v>
      </c>
      <c r="B867" t="str">
        <f>_xlfn.XLOOKUP(A867,[1]Municipios!$B:$B,[1]Municipios!$C:$C)</f>
        <v>Noroeste</v>
      </c>
      <c r="C867" t="str">
        <f>_xlfn.XLOOKUP(A867,[1]Municipios!$B:$B,[1]Municipios!$D:$D)</f>
        <v>Centro Ocidental</v>
      </c>
      <c r="D867">
        <v>2025</v>
      </c>
      <c r="E867" t="s">
        <v>232</v>
      </c>
      <c r="F867">
        <v>0.46150000000000002</v>
      </c>
      <c r="G867">
        <v>29.42</v>
      </c>
    </row>
    <row r="868" spans="1:7" x14ac:dyDescent="0.25">
      <c r="A868" t="s">
        <v>549</v>
      </c>
      <c r="B868" t="str">
        <f>_xlfn.XLOOKUP(A868,[1]Municipios!$B:$B,[1]Municipios!$C:$C)</f>
        <v>Noroeste</v>
      </c>
      <c r="C868" t="str">
        <f>_xlfn.XLOOKUP(A868,[1]Municipios!$B:$B,[1]Municipios!$D:$D)</f>
        <v>Centro Ocidental</v>
      </c>
      <c r="D868">
        <v>2025</v>
      </c>
      <c r="E868" t="s">
        <v>233</v>
      </c>
      <c r="F868">
        <v>0.75</v>
      </c>
      <c r="G868">
        <v>29.42</v>
      </c>
    </row>
    <row r="869" spans="1:7" x14ac:dyDescent="0.25">
      <c r="A869" t="s">
        <v>549</v>
      </c>
      <c r="B869" t="str">
        <f>_xlfn.XLOOKUP(A869,[1]Municipios!$B:$B,[1]Municipios!$C:$C)</f>
        <v>Noroeste</v>
      </c>
      <c r="C869" t="str">
        <f>_xlfn.XLOOKUP(A869,[1]Municipios!$B:$B,[1]Municipios!$D:$D)</f>
        <v>Centro Ocidental</v>
      </c>
      <c r="D869">
        <v>2025</v>
      </c>
      <c r="E869" t="s">
        <v>215</v>
      </c>
      <c r="F869">
        <v>0</v>
      </c>
      <c r="G869">
        <v>29.42</v>
      </c>
    </row>
    <row r="870" spans="1:7" x14ac:dyDescent="0.25">
      <c r="A870" t="s">
        <v>549</v>
      </c>
      <c r="B870" t="str">
        <f>_xlfn.XLOOKUP(A870,[1]Municipios!$B:$B,[1]Municipios!$C:$C)</f>
        <v>Noroeste</v>
      </c>
      <c r="C870" t="str">
        <f>_xlfn.XLOOKUP(A870,[1]Municipios!$B:$B,[1]Municipios!$D:$D)</f>
        <v>Centro Ocidental</v>
      </c>
      <c r="D870">
        <v>2025</v>
      </c>
      <c r="E870" t="s">
        <v>234</v>
      </c>
      <c r="F870">
        <v>0.66659999999999997</v>
      </c>
      <c r="G870">
        <v>29.42</v>
      </c>
    </row>
    <row r="871" spans="1:7" x14ac:dyDescent="0.25">
      <c r="A871" t="s">
        <v>549</v>
      </c>
      <c r="B871" t="str">
        <f>_xlfn.XLOOKUP(A871,[1]Municipios!$B:$B,[1]Municipios!$C:$C)</f>
        <v>Noroeste</v>
      </c>
      <c r="C871" t="str">
        <f>_xlfn.XLOOKUP(A871,[1]Municipios!$B:$B,[1]Municipios!$D:$D)</f>
        <v>Centro Ocidental</v>
      </c>
      <c r="D871">
        <v>2025</v>
      </c>
      <c r="E871" t="s">
        <v>235</v>
      </c>
      <c r="F871">
        <v>0.28570000000000001</v>
      </c>
      <c r="G871">
        <v>29.42</v>
      </c>
    </row>
    <row r="872" spans="1:7" x14ac:dyDescent="0.25">
      <c r="A872" t="s">
        <v>549</v>
      </c>
      <c r="B872" t="str">
        <f>_xlfn.XLOOKUP(A872,[1]Municipios!$B:$B,[1]Municipios!$C:$C)</f>
        <v>Noroeste</v>
      </c>
      <c r="C872" t="str">
        <f>_xlfn.XLOOKUP(A872,[1]Municipios!$B:$B,[1]Municipios!$D:$D)</f>
        <v>Centro Ocidental</v>
      </c>
      <c r="D872">
        <v>2025</v>
      </c>
      <c r="E872" t="s">
        <v>236</v>
      </c>
      <c r="F872">
        <v>0</v>
      </c>
      <c r="G872">
        <v>29.42</v>
      </c>
    </row>
    <row r="873" spans="1:7" x14ac:dyDescent="0.25">
      <c r="A873" t="s">
        <v>549</v>
      </c>
      <c r="B873" t="str">
        <f>_xlfn.XLOOKUP(A873,[1]Municipios!$B:$B,[1]Municipios!$C:$C)</f>
        <v>Noroeste</v>
      </c>
      <c r="C873" t="str">
        <f>_xlfn.XLOOKUP(A873,[1]Municipios!$B:$B,[1]Municipios!$D:$D)</f>
        <v>Centro Ocidental</v>
      </c>
      <c r="D873">
        <v>2025</v>
      </c>
      <c r="E873" t="s">
        <v>237</v>
      </c>
      <c r="F873">
        <v>0</v>
      </c>
      <c r="G873">
        <v>29.42</v>
      </c>
    </row>
    <row r="874" spans="1:7" x14ac:dyDescent="0.25">
      <c r="A874" t="s">
        <v>507</v>
      </c>
      <c r="B874" t="str">
        <f>_xlfn.XLOOKUP(A874,[1]Municipios!$B:$B,[1]Municipios!$C:$C)</f>
        <v>Norte</v>
      </c>
      <c r="C874" t="str">
        <f>_xlfn.XLOOKUP(A874,[1]Municipios!$B:$B,[1]Municipios!$D:$D)</f>
        <v>Vale Do Ivaí</v>
      </c>
      <c r="D874">
        <v>2025</v>
      </c>
      <c r="E874" t="s">
        <v>231</v>
      </c>
      <c r="F874">
        <v>0.66669999999999996</v>
      </c>
      <c r="G874">
        <v>80.55</v>
      </c>
    </row>
    <row r="875" spans="1:7" x14ac:dyDescent="0.25">
      <c r="A875" t="s">
        <v>507</v>
      </c>
      <c r="B875" t="str">
        <f>_xlfn.XLOOKUP(A875,[1]Municipios!$B:$B,[1]Municipios!$C:$C)</f>
        <v>Norte</v>
      </c>
      <c r="C875" t="str">
        <f>_xlfn.XLOOKUP(A875,[1]Municipios!$B:$B,[1]Municipios!$D:$D)</f>
        <v>Vale Do Ivaí</v>
      </c>
      <c r="D875">
        <v>2025</v>
      </c>
      <c r="E875" t="s">
        <v>232</v>
      </c>
      <c r="F875">
        <v>0.84619999999999995</v>
      </c>
      <c r="G875">
        <v>80.55</v>
      </c>
    </row>
    <row r="876" spans="1:7" x14ac:dyDescent="0.25">
      <c r="A876" t="s">
        <v>507</v>
      </c>
      <c r="B876" t="str">
        <f>_xlfn.XLOOKUP(A876,[1]Municipios!$B:$B,[1]Municipios!$C:$C)</f>
        <v>Norte</v>
      </c>
      <c r="C876" t="str">
        <f>_xlfn.XLOOKUP(A876,[1]Municipios!$B:$B,[1]Municipios!$D:$D)</f>
        <v>Vale Do Ivaí</v>
      </c>
      <c r="D876">
        <v>2025</v>
      </c>
      <c r="E876" t="s">
        <v>233</v>
      </c>
      <c r="F876">
        <v>0.875</v>
      </c>
      <c r="G876">
        <v>80.55</v>
      </c>
    </row>
    <row r="877" spans="1:7" x14ac:dyDescent="0.25">
      <c r="A877" t="s">
        <v>507</v>
      </c>
      <c r="B877" t="str">
        <f>_xlfn.XLOOKUP(A877,[1]Municipios!$B:$B,[1]Municipios!$C:$C)</f>
        <v>Norte</v>
      </c>
      <c r="C877" t="str">
        <f>_xlfn.XLOOKUP(A877,[1]Municipios!$B:$B,[1]Municipios!$D:$D)</f>
        <v>Vale Do Ivaí</v>
      </c>
      <c r="D877">
        <v>2025</v>
      </c>
      <c r="E877" t="s">
        <v>215</v>
      </c>
      <c r="F877">
        <v>0.9</v>
      </c>
      <c r="G877">
        <v>80.55</v>
      </c>
    </row>
    <row r="878" spans="1:7" x14ac:dyDescent="0.25">
      <c r="A878" t="s">
        <v>507</v>
      </c>
      <c r="B878" t="str">
        <f>_xlfn.XLOOKUP(A878,[1]Municipios!$B:$B,[1]Municipios!$C:$C)</f>
        <v>Norte</v>
      </c>
      <c r="C878" t="str">
        <f>_xlfn.XLOOKUP(A878,[1]Municipios!$B:$B,[1]Municipios!$D:$D)</f>
        <v>Vale Do Ivaí</v>
      </c>
      <c r="D878">
        <v>2025</v>
      </c>
      <c r="E878" t="s">
        <v>234</v>
      </c>
      <c r="F878">
        <v>0.77780000000000005</v>
      </c>
      <c r="G878">
        <v>80.55</v>
      </c>
    </row>
    <row r="879" spans="1:7" x14ac:dyDescent="0.25">
      <c r="A879" t="s">
        <v>507</v>
      </c>
      <c r="B879" t="str">
        <f>_xlfn.XLOOKUP(A879,[1]Municipios!$B:$B,[1]Municipios!$C:$C)</f>
        <v>Norte</v>
      </c>
      <c r="C879" t="str">
        <f>_xlfn.XLOOKUP(A879,[1]Municipios!$B:$B,[1]Municipios!$D:$D)</f>
        <v>Vale Do Ivaí</v>
      </c>
      <c r="D879">
        <v>2025</v>
      </c>
      <c r="E879" t="s">
        <v>235</v>
      </c>
      <c r="F879">
        <v>1</v>
      </c>
      <c r="G879">
        <v>80.55</v>
      </c>
    </row>
    <row r="880" spans="1:7" x14ac:dyDescent="0.25">
      <c r="A880" t="s">
        <v>507</v>
      </c>
      <c r="B880" t="str">
        <f>_xlfn.XLOOKUP(A880,[1]Municipios!$B:$B,[1]Municipios!$C:$C)</f>
        <v>Norte</v>
      </c>
      <c r="C880" t="str">
        <f>_xlfn.XLOOKUP(A880,[1]Municipios!$B:$B,[1]Municipios!$D:$D)</f>
        <v>Vale Do Ivaí</v>
      </c>
      <c r="D880">
        <v>2025</v>
      </c>
      <c r="E880" t="s">
        <v>236</v>
      </c>
      <c r="F880">
        <v>0.38469999999999999</v>
      </c>
      <c r="G880">
        <v>80.55</v>
      </c>
    </row>
    <row r="881" spans="1:7" x14ac:dyDescent="0.25">
      <c r="A881" t="s">
        <v>507</v>
      </c>
      <c r="B881" t="str">
        <f>_xlfn.XLOOKUP(A881,[1]Municipios!$B:$B,[1]Municipios!$C:$C)</f>
        <v>Norte</v>
      </c>
      <c r="C881" t="str">
        <f>_xlfn.XLOOKUP(A881,[1]Municipios!$B:$B,[1]Municipios!$D:$D)</f>
        <v>Vale Do Ivaí</v>
      </c>
      <c r="D881">
        <v>2025</v>
      </c>
      <c r="E881" t="s">
        <v>237</v>
      </c>
      <c r="F881">
        <v>1</v>
      </c>
      <c r="G881">
        <v>80.55</v>
      </c>
    </row>
    <row r="882" spans="1:7" x14ac:dyDescent="0.25">
      <c r="A882" t="s">
        <v>492</v>
      </c>
      <c r="B882" t="str">
        <f>_xlfn.XLOOKUP(A882,[1]Municipios!$B:$B,[1]Municipios!$C:$C)</f>
        <v>Leste</v>
      </c>
      <c r="C882" t="str">
        <f>_xlfn.XLOOKUP(A882,[1]Municipios!$B:$B,[1]Municipios!$D:$D)</f>
        <v>Gralha Azul</v>
      </c>
      <c r="D882">
        <v>2025</v>
      </c>
      <c r="E882" t="s">
        <v>231</v>
      </c>
      <c r="F882">
        <v>0.55559999999999998</v>
      </c>
      <c r="G882">
        <v>84.19</v>
      </c>
    </row>
    <row r="883" spans="1:7" x14ac:dyDescent="0.25">
      <c r="A883" t="s">
        <v>492</v>
      </c>
      <c r="B883" t="str">
        <f>_xlfn.XLOOKUP(A883,[1]Municipios!$B:$B,[1]Municipios!$C:$C)</f>
        <v>Leste</v>
      </c>
      <c r="C883" t="str">
        <f>_xlfn.XLOOKUP(A883,[1]Municipios!$B:$B,[1]Municipios!$D:$D)</f>
        <v>Gralha Azul</v>
      </c>
      <c r="D883">
        <v>2025</v>
      </c>
      <c r="E883" t="s">
        <v>232</v>
      </c>
      <c r="F883">
        <v>0.92310000000000003</v>
      </c>
      <c r="G883">
        <v>84.19</v>
      </c>
    </row>
    <row r="884" spans="1:7" x14ac:dyDescent="0.25">
      <c r="A884" t="s">
        <v>492</v>
      </c>
      <c r="B884" t="str">
        <f>_xlfn.XLOOKUP(A884,[1]Municipios!$B:$B,[1]Municipios!$C:$C)</f>
        <v>Leste</v>
      </c>
      <c r="C884" t="str">
        <f>_xlfn.XLOOKUP(A884,[1]Municipios!$B:$B,[1]Municipios!$D:$D)</f>
        <v>Gralha Azul</v>
      </c>
      <c r="D884">
        <v>2025</v>
      </c>
      <c r="E884" t="s">
        <v>233</v>
      </c>
      <c r="F884">
        <v>0.875</v>
      </c>
      <c r="G884">
        <v>84.19</v>
      </c>
    </row>
    <row r="885" spans="1:7" x14ac:dyDescent="0.25">
      <c r="A885" t="s">
        <v>492</v>
      </c>
      <c r="B885" t="str">
        <f>_xlfn.XLOOKUP(A885,[1]Municipios!$B:$B,[1]Municipios!$C:$C)</f>
        <v>Leste</v>
      </c>
      <c r="C885" t="str">
        <f>_xlfn.XLOOKUP(A885,[1]Municipios!$B:$B,[1]Municipios!$D:$D)</f>
        <v>Gralha Azul</v>
      </c>
      <c r="D885">
        <v>2025</v>
      </c>
      <c r="E885" t="s">
        <v>215</v>
      </c>
      <c r="F885">
        <v>0.75</v>
      </c>
      <c r="G885">
        <v>84.19</v>
      </c>
    </row>
    <row r="886" spans="1:7" x14ac:dyDescent="0.25">
      <c r="A886" t="s">
        <v>492</v>
      </c>
      <c r="B886" t="str">
        <f>_xlfn.XLOOKUP(A886,[1]Municipios!$B:$B,[1]Municipios!$C:$C)</f>
        <v>Leste</v>
      </c>
      <c r="C886" t="str">
        <f>_xlfn.XLOOKUP(A886,[1]Municipios!$B:$B,[1]Municipios!$D:$D)</f>
        <v>Gralha Azul</v>
      </c>
      <c r="D886">
        <v>2025</v>
      </c>
      <c r="E886" t="s">
        <v>234</v>
      </c>
      <c r="F886">
        <v>0.77780000000000005</v>
      </c>
      <c r="G886">
        <v>84.19</v>
      </c>
    </row>
    <row r="887" spans="1:7" x14ac:dyDescent="0.25">
      <c r="A887" t="s">
        <v>492</v>
      </c>
      <c r="B887" t="str">
        <f>_xlfn.XLOOKUP(A887,[1]Municipios!$B:$B,[1]Municipios!$C:$C)</f>
        <v>Leste</v>
      </c>
      <c r="C887" t="str">
        <f>_xlfn.XLOOKUP(A887,[1]Municipios!$B:$B,[1]Municipios!$D:$D)</f>
        <v>Gralha Azul</v>
      </c>
      <c r="D887">
        <v>2025</v>
      </c>
      <c r="E887" t="s">
        <v>235</v>
      </c>
      <c r="F887">
        <v>1</v>
      </c>
      <c r="G887">
        <v>84.19</v>
      </c>
    </row>
    <row r="888" spans="1:7" x14ac:dyDescent="0.25">
      <c r="A888" t="s">
        <v>492</v>
      </c>
      <c r="B888" t="str">
        <f>_xlfn.XLOOKUP(A888,[1]Municipios!$B:$B,[1]Municipios!$C:$C)</f>
        <v>Leste</v>
      </c>
      <c r="C888" t="str">
        <f>_xlfn.XLOOKUP(A888,[1]Municipios!$B:$B,[1]Municipios!$D:$D)</f>
        <v>Gralha Azul</v>
      </c>
      <c r="D888">
        <v>2025</v>
      </c>
      <c r="E888" t="s">
        <v>236</v>
      </c>
      <c r="F888">
        <v>0.84620000000000006</v>
      </c>
      <c r="G888">
        <v>84.19</v>
      </c>
    </row>
    <row r="889" spans="1:7" x14ac:dyDescent="0.25">
      <c r="A889" t="s">
        <v>492</v>
      </c>
      <c r="B889" t="str">
        <f>_xlfn.XLOOKUP(A889,[1]Municipios!$B:$B,[1]Municipios!$C:$C)</f>
        <v>Leste</v>
      </c>
      <c r="C889" t="str">
        <f>_xlfn.XLOOKUP(A889,[1]Municipios!$B:$B,[1]Municipios!$D:$D)</f>
        <v>Gralha Azul</v>
      </c>
      <c r="D889">
        <v>2025</v>
      </c>
      <c r="E889" t="s">
        <v>237</v>
      </c>
      <c r="F889">
        <v>1</v>
      </c>
      <c r="G889">
        <v>84.19</v>
      </c>
    </row>
    <row r="890" spans="1:7" x14ac:dyDescent="0.25">
      <c r="A890" t="s">
        <v>550</v>
      </c>
      <c r="B890" t="str">
        <f>_xlfn.XLOOKUP(A890,[1]Municipios!$B:$B,[1]Municipios!$C:$C)</f>
        <v>Noroeste</v>
      </c>
      <c r="C890" t="str">
        <f>_xlfn.XLOOKUP(A890,[1]Municipios!$B:$B,[1]Municipios!$D:$D)</f>
        <v>Centro Ocidental</v>
      </c>
      <c r="D890">
        <v>2025</v>
      </c>
      <c r="E890" t="s">
        <v>231</v>
      </c>
      <c r="F890">
        <v>0.22219999999999998</v>
      </c>
      <c r="G890">
        <v>37.78</v>
      </c>
    </row>
    <row r="891" spans="1:7" x14ac:dyDescent="0.25">
      <c r="A891" t="s">
        <v>550</v>
      </c>
      <c r="B891" t="str">
        <f>_xlfn.XLOOKUP(A891,[1]Municipios!$B:$B,[1]Municipios!$C:$C)</f>
        <v>Noroeste</v>
      </c>
      <c r="C891" t="str">
        <f>_xlfn.XLOOKUP(A891,[1]Municipios!$B:$B,[1]Municipios!$D:$D)</f>
        <v>Centro Ocidental</v>
      </c>
      <c r="D891">
        <v>2025</v>
      </c>
      <c r="E891" t="s">
        <v>232</v>
      </c>
      <c r="F891">
        <v>0.76919999999999999</v>
      </c>
      <c r="G891">
        <v>37.78</v>
      </c>
    </row>
    <row r="892" spans="1:7" x14ac:dyDescent="0.25">
      <c r="A892" t="s">
        <v>550</v>
      </c>
      <c r="B892" t="str">
        <f>_xlfn.XLOOKUP(A892,[1]Municipios!$B:$B,[1]Municipios!$C:$C)</f>
        <v>Noroeste</v>
      </c>
      <c r="C892" t="str">
        <f>_xlfn.XLOOKUP(A892,[1]Municipios!$B:$B,[1]Municipios!$D:$D)</f>
        <v>Centro Ocidental</v>
      </c>
      <c r="D892">
        <v>2025</v>
      </c>
      <c r="E892" t="s">
        <v>233</v>
      </c>
      <c r="F892">
        <v>0.375</v>
      </c>
      <c r="G892">
        <v>37.78</v>
      </c>
    </row>
    <row r="893" spans="1:7" x14ac:dyDescent="0.25">
      <c r="A893" t="s">
        <v>550</v>
      </c>
      <c r="B893" t="str">
        <f>_xlfn.XLOOKUP(A893,[1]Municipios!$B:$B,[1]Municipios!$C:$C)</f>
        <v>Noroeste</v>
      </c>
      <c r="C893" t="str">
        <f>_xlfn.XLOOKUP(A893,[1]Municipios!$B:$B,[1]Municipios!$D:$D)</f>
        <v>Centro Ocidental</v>
      </c>
      <c r="D893">
        <v>2025</v>
      </c>
      <c r="E893" t="s">
        <v>215</v>
      </c>
      <c r="F893">
        <v>0.39999999999999997</v>
      </c>
      <c r="G893">
        <v>37.78</v>
      </c>
    </row>
    <row r="894" spans="1:7" x14ac:dyDescent="0.25">
      <c r="A894" t="s">
        <v>550</v>
      </c>
      <c r="B894" t="str">
        <f>_xlfn.XLOOKUP(A894,[1]Municipios!$B:$B,[1]Municipios!$C:$C)</f>
        <v>Noroeste</v>
      </c>
      <c r="C894" t="str">
        <f>_xlfn.XLOOKUP(A894,[1]Municipios!$B:$B,[1]Municipios!$D:$D)</f>
        <v>Centro Ocidental</v>
      </c>
      <c r="D894">
        <v>2025</v>
      </c>
      <c r="E894" t="s">
        <v>234</v>
      </c>
      <c r="F894">
        <v>0.44440000000000002</v>
      </c>
      <c r="G894">
        <v>37.78</v>
      </c>
    </row>
    <row r="895" spans="1:7" x14ac:dyDescent="0.25">
      <c r="A895" t="s">
        <v>550</v>
      </c>
      <c r="B895" t="str">
        <f>_xlfn.XLOOKUP(A895,[1]Municipios!$B:$B,[1]Municipios!$C:$C)</f>
        <v>Noroeste</v>
      </c>
      <c r="C895" t="str">
        <f>_xlfn.XLOOKUP(A895,[1]Municipios!$B:$B,[1]Municipios!$D:$D)</f>
        <v>Centro Ocidental</v>
      </c>
      <c r="D895">
        <v>2025</v>
      </c>
      <c r="E895" t="s">
        <v>235</v>
      </c>
      <c r="F895">
        <v>0.57150000000000001</v>
      </c>
      <c r="G895">
        <v>37.78</v>
      </c>
    </row>
    <row r="896" spans="1:7" x14ac:dyDescent="0.25">
      <c r="A896" t="s">
        <v>550</v>
      </c>
      <c r="B896" t="str">
        <f>_xlfn.XLOOKUP(A896,[1]Municipios!$B:$B,[1]Municipios!$C:$C)</f>
        <v>Noroeste</v>
      </c>
      <c r="C896" t="str">
        <f>_xlfn.XLOOKUP(A896,[1]Municipios!$B:$B,[1]Municipios!$D:$D)</f>
        <v>Centro Ocidental</v>
      </c>
      <c r="D896">
        <v>2025</v>
      </c>
      <c r="E896" t="s">
        <v>236</v>
      </c>
      <c r="F896">
        <v>0</v>
      </c>
      <c r="G896">
        <v>37.78</v>
      </c>
    </row>
    <row r="897" spans="1:7" x14ac:dyDescent="0.25">
      <c r="A897" t="s">
        <v>550</v>
      </c>
      <c r="B897" t="str">
        <f>_xlfn.XLOOKUP(A897,[1]Municipios!$B:$B,[1]Municipios!$C:$C)</f>
        <v>Noroeste</v>
      </c>
      <c r="C897" t="str">
        <f>_xlfn.XLOOKUP(A897,[1]Municipios!$B:$B,[1]Municipios!$D:$D)</f>
        <v>Centro Ocidental</v>
      </c>
      <c r="D897">
        <v>2025</v>
      </c>
      <c r="E897" t="s">
        <v>237</v>
      </c>
      <c r="F897">
        <v>0</v>
      </c>
      <c r="G897">
        <v>37.78</v>
      </c>
    </row>
    <row r="898" spans="1:7" x14ac:dyDescent="0.25">
      <c r="A898" t="s">
        <v>551</v>
      </c>
      <c r="B898" t="str">
        <f>_xlfn.XLOOKUP(A898,[1]Municipios!$B:$B,[1]Municipios!$C:$C)</f>
        <v>Centro</v>
      </c>
      <c r="C898" t="str">
        <f>_xlfn.XLOOKUP(A898,[1]Municipios!$B:$B,[1]Municipios!$D:$D)</f>
        <v>Vale Dos Pinheirais</v>
      </c>
      <c r="D898">
        <v>2025</v>
      </c>
      <c r="E898" t="s">
        <v>231</v>
      </c>
      <c r="F898">
        <v>0.55559999999999998</v>
      </c>
      <c r="G898">
        <v>43.47</v>
      </c>
    </row>
    <row r="899" spans="1:7" x14ac:dyDescent="0.25">
      <c r="A899" t="s">
        <v>551</v>
      </c>
      <c r="B899" t="str">
        <f>_xlfn.XLOOKUP(A899,[1]Municipios!$B:$B,[1]Municipios!$C:$C)</f>
        <v>Centro</v>
      </c>
      <c r="C899" t="str">
        <f>_xlfn.XLOOKUP(A899,[1]Municipios!$B:$B,[1]Municipios!$D:$D)</f>
        <v>Vale Dos Pinheirais</v>
      </c>
      <c r="D899">
        <v>2025</v>
      </c>
      <c r="E899" t="s">
        <v>232</v>
      </c>
      <c r="F899">
        <v>0.76919999999999999</v>
      </c>
      <c r="G899">
        <v>43.47</v>
      </c>
    </row>
    <row r="900" spans="1:7" x14ac:dyDescent="0.25">
      <c r="A900" t="s">
        <v>551</v>
      </c>
      <c r="B900" t="str">
        <f>_xlfn.XLOOKUP(A900,[1]Municipios!$B:$B,[1]Municipios!$C:$C)</f>
        <v>Centro</v>
      </c>
      <c r="C900" t="str">
        <f>_xlfn.XLOOKUP(A900,[1]Municipios!$B:$B,[1]Municipios!$D:$D)</f>
        <v>Vale Dos Pinheirais</v>
      </c>
      <c r="D900">
        <v>2025</v>
      </c>
      <c r="E900" t="s">
        <v>233</v>
      </c>
      <c r="F900">
        <v>0.875</v>
      </c>
      <c r="G900">
        <v>43.47</v>
      </c>
    </row>
    <row r="901" spans="1:7" x14ac:dyDescent="0.25">
      <c r="A901" t="s">
        <v>551</v>
      </c>
      <c r="B901" t="str">
        <f>_xlfn.XLOOKUP(A901,[1]Municipios!$B:$B,[1]Municipios!$C:$C)</f>
        <v>Centro</v>
      </c>
      <c r="C901" t="str">
        <f>_xlfn.XLOOKUP(A901,[1]Municipios!$B:$B,[1]Municipios!$D:$D)</f>
        <v>Vale Dos Pinheirais</v>
      </c>
      <c r="D901">
        <v>2025</v>
      </c>
      <c r="E901" t="s">
        <v>215</v>
      </c>
      <c r="F901">
        <v>0</v>
      </c>
      <c r="G901">
        <v>43.47</v>
      </c>
    </row>
    <row r="902" spans="1:7" x14ac:dyDescent="0.25">
      <c r="A902" t="s">
        <v>551</v>
      </c>
      <c r="B902" t="str">
        <f>_xlfn.XLOOKUP(A902,[1]Municipios!$B:$B,[1]Municipios!$C:$C)</f>
        <v>Centro</v>
      </c>
      <c r="C902" t="str">
        <f>_xlfn.XLOOKUP(A902,[1]Municipios!$B:$B,[1]Municipios!$D:$D)</f>
        <v>Vale Dos Pinheirais</v>
      </c>
      <c r="D902">
        <v>2025</v>
      </c>
      <c r="E902" t="s">
        <v>234</v>
      </c>
      <c r="F902">
        <v>0.44440000000000002</v>
      </c>
      <c r="G902">
        <v>43.47</v>
      </c>
    </row>
    <row r="903" spans="1:7" x14ac:dyDescent="0.25">
      <c r="A903" t="s">
        <v>551</v>
      </c>
      <c r="B903" t="str">
        <f>_xlfn.XLOOKUP(A903,[1]Municipios!$B:$B,[1]Municipios!$C:$C)</f>
        <v>Centro</v>
      </c>
      <c r="C903" t="str">
        <f>_xlfn.XLOOKUP(A903,[1]Municipios!$B:$B,[1]Municipios!$D:$D)</f>
        <v>Vale Dos Pinheirais</v>
      </c>
      <c r="D903">
        <v>2025</v>
      </c>
      <c r="E903" t="s">
        <v>235</v>
      </c>
      <c r="F903">
        <v>0.71429999999999993</v>
      </c>
      <c r="G903">
        <v>43.47</v>
      </c>
    </row>
    <row r="904" spans="1:7" x14ac:dyDescent="0.25">
      <c r="A904" t="s">
        <v>551</v>
      </c>
      <c r="B904" t="str">
        <f>_xlfn.XLOOKUP(A904,[1]Municipios!$B:$B,[1]Municipios!$C:$C)</f>
        <v>Centro</v>
      </c>
      <c r="C904" t="str">
        <f>_xlfn.XLOOKUP(A904,[1]Municipios!$B:$B,[1]Municipios!$D:$D)</f>
        <v>Vale Dos Pinheirais</v>
      </c>
      <c r="D904">
        <v>2025</v>
      </c>
      <c r="E904" t="s">
        <v>236</v>
      </c>
      <c r="F904">
        <v>0.154</v>
      </c>
      <c r="G904">
        <v>43.47</v>
      </c>
    </row>
    <row r="905" spans="1:7" x14ac:dyDescent="0.25">
      <c r="A905" t="s">
        <v>551</v>
      </c>
      <c r="B905" t="str">
        <f>_xlfn.XLOOKUP(A905,[1]Municipios!$B:$B,[1]Municipios!$C:$C)</f>
        <v>Centro</v>
      </c>
      <c r="C905" t="str">
        <f>_xlfn.XLOOKUP(A905,[1]Municipios!$B:$B,[1]Municipios!$D:$D)</f>
        <v>Vale Dos Pinheirais</v>
      </c>
      <c r="D905">
        <v>2025</v>
      </c>
      <c r="E905" t="s">
        <v>237</v>
      </c>
      <c r="F905">
        <v>0</v>
      </c>
      <c r="G905">
        <v>43.47</v>
      </c>
    </row>
    <row r="906" spans="1:7" x14ac:dyDescent="0.25">
      <c r="A906" t="s">
        <v>342</v>
      </c>
      <c r="B906" t="str">
        <f>_xlfn.XLOOKUP(A906,[1]Municipios!$B:$B,[1]Municipios!$C:$C)</f>
        <v>Norte</v>
      </c>
      <c r="C906" t="str">
        <f>_xlfn.XLOOKUP(A906,[1]Municipios!$B:$B,[1]Municipios!$D:$D)</f>
        <v>Norte Pioneiro</v>
      </c>
      <c r="D906">
        <v>2025</v>
      </c>
      <c r="E906" t="s">
        <v>231</v>
      </c>
      <c r="F906">
        <v>0.66669999999999996</v>
      </c>
      <c r="G906">
        <v>81.510000000000005</v>
      </c>
    </row>
    <row r="907" spans="1:7" x14ac:dyDescent="0.25">
      <c r="A907" t="s">
        <v>342</v>
      </c>
      <c r="B907" t="str">
        <f>_xlfn.XLOOKUP(A907,[1]Municipios!$B:$B,[1]Municipios!$C:$C)</f>
        <v>Norte</v>
      </c>
      <c r="C907" t="str">
        <f>_xlfn.XLOOKUP(A907,[1]Municipios!$B:$B,[1]Municipios!$D:$D)</f>
        <v>Norte Pioneiro</v>
      </c>
      <c r="D907">
        <v>2025</v>
      </c>
      <c r="E907" t="s">
        <v>232</v>
      </c>
      <c r="F907">
        <v>0.92310000000000003</v>
      </c>
      <c r="G907">
        <v>81.510000000000005</v>
      </c>
    </row>
    <row r="908" spans="1:7" x14ac:dyDescent="0.25">
      <c r="A908" t="s">
        <v>342</v>
      </c>
      <c r="B908" t="str">
        <f>_xlfn.XLOOKUP(A908,[1]Municipios!$B:$B,[1]Municipios!$C:$C)</f>
        <v>Norte</v>
      </c>
      <c r="C908" t="str">
        <f>_xlfn.XLOOKUP(A908,[1]Municipios!$B:$B,[1]Municipios!$D:$D)</f>
        <v>Norte Pioneiro</v>
      </c>
      <c r="D908">
        <v>2025</v>
      </c>
      <c r="E908" t="s">
        <v>233</v>
      </c>
      <c r="F908">
        <v>0.875</v>
      </c>
      <c r="G908">
        <v>81.510000000000005</v>
      </c>
    </row>
    <row r="909" spans="1:7" x14ac:dyDescent="0.25">
      <c r="A909" t="s">
        <v>342</v>
      </c>
      <c r="B909" t="str">
        <f>_xlfn.XLOOKUP(A909,[1]Municipios!$B:$B,[1]Municipios!$C:$C)</f>
        <v>Norte</v>
      </c>
      <c r="C909" t="str">
        <f>_xlfn.XLOOKUP(A909,[1]Municipios!$B:$B,[1]Municipios!$D:$D)</f>
        <v>Norte Pioneiro</v>
      </c>
      <c r="D909">
        <v>2025</v>
      </c>
      <c r="E909" t="s">
        <v>215</v>
      </c>
      <c r="F909">
        <v>0.79999999999999993</v>
      </c>
      <c r="G909">
        <v>81.510000000000005</v>
      </c>
    </row>
    <row r="910" spans="1:7" x14ac:dyDescent="0.25">
      <c r="A910" t="s">
        <v>342</v>
      </c>
      <c r="B910" t="str">
        <f>_xlfn.XLOOKUP(A910,[1]Municipios!$B:$B,[1]Municipios!$C:$C)</f>
        <v>Norte</v>
      </c>
      <c r="C910" t="str">
        <f>_xlfn.XLOOKUP(A910,[1]Municipios!$B:$B,[1]Municipios!$D:$D)</f>
        <v>Norte Pioneiro</v>
      </c>
      <c r="D910">
        <v>2025</v>
      </c>
      <c r="E910" t="s">
        <v>234</v>
      </c>
      <c r="F910">
        <v>0.77780000000000005</v>
      </c>
      <c r="G910">
        <v>81.510000000000005</v>
      </c>
    </row>
    <row r="911" spans="1:7" x14ac:dyDescent="0.25">
      <c r="A911" t="s">
        <v>342</v>
      </c>
      <c r="B911" t="str">
        <f>_xlfn.XLOOKUP(A911,[1]Municipios!$B:$B,[1]Municipios!$C:$C)</f>
        <v>Norte</v>
      </c>
      <c r="C911" t="str">
        <f>_xlfn.XLOOKUP(A911,[1]Municipios!$B:$B,[1]Municipios!$D:$D)</f>
        <v>Norte Pioneiro</v>
      </c>
      <c r="D911">
        <v>2025</v>
      </c>
      <c r="E911" t="s">
        <v>235</v>
      </c>
      <c r="F911">
        <v>1</v>
      </c>
      <c r="G911">
        <v>81.510000000000005</v>
      </c>
    </row>
    <row r="912" spans="1:7" x14ac:dyDescent="0.25">
      <c r="A912" t="s">
        <v>342</v>
      </c>
      <c r="B912" t="str">
        <f>_xlfn.XLOOKUP(A912,[1]Municipios!$B:$B,[1]Municipios!$C:$C)</f>
        <v>Norte</v>
      </c>
      <c r="C912" t="str">
        <f>_xlfn.XLOOKUP(A912,[1]Municipios!$B:$B,[1]Municipios!$D:$D)</f>
        <v>Norte Pioneiro</v>
      </c>
      <c r="D912">
        <v>2025</v>
      </c>
      <c r="E912" t="s">
        <v>236</v>
      </c>
      <c r="F912">
        <v>0.46159999999999995</v>
      </c>
      <c r="G912">
        <v>81.510000000000005</v>
      </c>
    </row>
    <row r="913" spans="1:7" x14ac:dyDescent="0.25">
      <c r="A913" t="s">
        <v>342</v>
      </c>
      <c r="B913" t="str">
        <f>_xlfn.XLOOKUP(A913,[1]Municipios!$B:$B,[1]Municipios!$C:$C)</f>
        <v>Norte</v>
      </c>
      <c r="C913" t="str">
        <f>_xlfn.XLOOKUP(A913,[1]Municipios!$B:$B,[1]Municipios!$D:$D)</f>
        <v>Norte Pioneiro</v>
      </c>
      <c r="D913">
        <v>2025</v>
      </c>
      <c r="E913" t="s">
        <v>237</v>
      </c>
      <c r="F913">
        <v>1</v>
      </c>
      <c r="G913">
        <v>81.510000000000005</v>
      </c>
    </row>
    <row r="914" spans="1:7" x14ac:dyDescent="0.25">
      <c r="A914" t="s">
        <v>386</v>
      </c>
      <c r="B914" t="str">
        <f>_xlfn.XLOOKUP(A914,[1]Municipios!$B:$B,[1]Municipios!$C:$C)</f>
        <v>Sul</v>
      </c>
      <c r="C914" t="str">
        <f>_xlfn.XLOOKUP(A914,[1]Municipios!$B:$B,[1]Municipios!$D:$D)</f>
        <v>Sudoeste La Frontera</v>
      </c>
      <c r="D914">
        <v>2025</v>
      </c>
      <c r="E914" t="s">
        <v>231</v>
      </c>
      <c r="F914">
        <v>0.55559999999999998</v>
      </c>
      <c r="G914">
        <v>48.69</v>
      </c>
    </row>
    <row r="915" spans="1:7" x14ac:dyDescent="0.25">
      <c r="A915" t="s">
        <v>386</v>
      </c>
      <c r="B915" t="str">
        <f>_xlfn.XLOOKUP(A915,[1]Municipios!$B:$B,[1]Municipios!$C:$C)</f>
        <v>Sul</v>
      </c>
      <c r="C915" t="str">
        <f>_xlfn.XLOOKUP(A915,[1]Municipios!$B:$B,[1]Municipios!$D:$D)</f>
        <v>Sudoeste La Frontera</v>
      </c>
      <c r="D915">
        <v>2025</v>
      </c>
      <c r="E915" t="s">
        <v>232</v>
      </c>
      <c r="F915">
        <v>0.69230000000000003</v>
      </c>
      <c r="G915">
        <v>48.69</v>
      </c>
    </row>
    <row r="916" spans="1:7" x14ac:dyDescent="0.25">
      <c r="A916" t="s">
        <v>386</v>
      </c>
      <c r="B916" t="str">
        <f>_xlfn.XLOOKUP(A916,[1]Municipios!$B:$B,[1]Municipios!$C:$C)</f>
        <v>Sul</v>
      </c>
      <c r="C916" t="str">
        <f>_xlfn.XLOOKUP(A916,[1]Municipios!$B:$B,[1]Municipios!$D:$D)</f>
        <v>Sudoeste La Frontera</v>
      </c>
      <c r="D916">
        <v>2025</v>
      </c>
      <c r="E916" t="s">
        <v>233</v>
      </c>
      <c r="F916">
        <v>0.5</v>
      </c>
      <c r="G916">
        <v>48.69</v>
      </c>
    </row>
    <row r="917" spans="1:7" x14ac:dyDescent="0.25">
      <c r="A917" t="s">
        <v>386</v>
      </c>
      <c r="B917" t="str">
        <f>_xlfn.XLOOKUP(A917,[1]Municipios!$B:$B,[1]Municipios!$C:$C)</f>
        <v>Sul</v>
      </c>
      <c r="C917" t="str">
        <f>_xlfn.XLOOKUP(A917,[1]Municipios!$B:$B,[1]Municipios!$D:$D)</f>
        <v>Sudoeste La Frontera</v>
      </c>
      <c r="D917">
        <v>2025</v>
      </c>
      <c r="E917" t="s">
        <v>215</v>
      </c>
      <c r="F917">
        <v>0.6</v>
      </c>
      <c r="G917">
        <v>48.69</v>
      </c>
    </row>
    <row r="918" spans="1:7" x14ac:dyDescent="0.25">
      <c r="A918" t="s">
        <v>386</v>
      </c>
      <c r="B918" t="str">
        <f>_xlfn.XLOOKUP(A918,[1]Municipios!$B:$B,[1]Municipios!$C:$C)</f>
        <v>Sul</v>
      </c>
      <c r="C918" t="str">
        <f>_xlfn.XLOOKUP(A918,[1]Municipios!$B:$B,[1]Municipios!$D:$D)</f>
        <v>Sudoeste La Frontera</v>
      </c>
      <c r="D918">
        <v>2025</v>
      </c>
      <c r="E918" t="s">
        <v>234</v>
      </c>
      <c r="F918">
        <v>0.88880000000000003</v>
      </c>
      <c r="G918">
        <v>48.69</v>
      </c>
    </row>
    <row r="919" spans="1:7" x14ac:dyDescent="0.25">
      <c r="A919" t="s">
        <v>386</v>
      </c>
      <c r="B919" t="str">
        <f>_xlfn.XLOOKUP(A919,[1]Municipios!$B:$B,[1]Municipios!$C:$C)</f>
        <v>Sul</v>
      </c>
      <c r="C919" t="str">
        <f>_xlfn.XLOOKUP(A919,[1]Municipios!$B:$B,[1]Municipios!$D:$D)</f>
        <v>Sudoeste La Frontera</v>
      </c>
      <c r="D919">
        <v>2025</v>
      </c>
      <c r="E919" t="s">
        <v>235</v>
      </c>
      <c r="F919">
        <v>0.28570000000000001</v>
      </c>
      <c r="G919">
        <v>48.69</v>
      </c>
    </row>
    <row r="920" spans="1:7" x14ac:dyDescent="0.25">
      <c r="A920" t="s">
        <v>386</v>
      </c>
      <c r="B920" t="str">
        <f>_xlfn.XLOOKUP(A920,[1]Municipios!$B:$B,[1]Municipios!$C:$C)</f>
        <v>Sul</v>
      </c>
      <c r="C920" t="str">
        <f>_xlfn.XLOOKUP(A920,[1]Municipios!$B:$B,[1]Municipios!$D:$D)</f>
        <v>Sudoeste La Frontera</v>
      </c>
      <c r="D920">
        <v>2025</v>
      </c>
      <c r="E920" t="s">
        <v>236</v>
      </c>
      <c r="F920">
        <v>0.15390000000000001</v>
      </c>
      <c r="G920">
        <v>48.69</v>
      </c>
    </row>
    <row r="921" spans="1:7" x14ac:dyDescent="0.25">
      <c r="A921" t="s">
        <v>386</v>
      </c>
      <c r="B921" t="str">
        <f>_xlfn.XLOOKUP(A921,[1]Municipios!$B:$B,[1]Municipios!$C:$C)</f>
        <v>Sul</v>
      </c>
      <c r="C921" t="str">
        <f>_xlfn.XLOOKUP(A921,[1]Municipios!$B:$B,[1]Municipios!$D:$D)</f>
        <v>Sudoeste La Frontera</v>
      </c>
      <c r="D921">
        <v>2025</v>
      </c>
      <c r="E921" t="s">
        <v>237</v>
      </c>
      <c r="F921">
        <v>0</v>
      </c>
      <c r="G921">
        <v>48.69</v>
      </c>
    </row>
    <row r="922" spans="1:7" x14ac:dyDescent="0.25">
      <c r="A922" t="s">
        <v>552</v>
      </c>
      <c r="B922" t="str">
        <f>_xlfn.XLOOKUP(A922,[1]Municipios!$B:$B,[1]Municipios!$C:$C)</f>
        <v>Noroeste</v>
      </c>
      <c r="C922" t="str">
        <f>_xlfn.XLOOKUP(A922,[1]Municipios!$B:$B,[1]Municipios!$D:$D)</f>
        <v>Terra Roxa</v>
      </c>
      <c r="D922">
        <v>2025</v>
      </c>
      <c r="E922" t="s">
        <v>231</v>
      </c>
      <c r="F922">
        <v>0.11109999999999999</v>
      </c>
      <c r="G922">
        <v>0</v>
      </c>
    </row>
    <row r="923" spans="1:7" x14ac:dyDescent="0.25">
      <c r="A923" t="s">
        <v>552</v>
      </c>
      <c r="B923" t="str">
        <f>_xlfn.XLOOKUP(A923,[1]Municipios!$B:$B,[1]Municipios!$C:$C)</f>
        <v>Noroeste</v>
      </c>
      <c r="C923" t="str">
        <f>_xlfn.XLOOKUP(A923,[1]Municipios!$B:$B,[1]Municipios!$D:$D)</f>
        <v>Terra Roxa</v>
      </c>
      <c r="D923">
        <v>2025</v>
      </c>
      <c r="E923" t="s">
        <v>232</v>
      </c>
      <c r="F923">
        <v>0.23069999999999999</v>
      </c>
      <c r="G923">
        <v>0</v>
      </c>
    </row>
    <row r="924" spans="1:7" x14ac:dyDescent="0.25">
      <c r="A924" t="s">
        <v>552</v>
      </c>
      <c r="B924" t="str">
        <f>_xlfn.XLOOKUP(A924,[1]Municipios!$B:$B,[1]Municipios!$C:$C)</f>
        <v>Noroeste</v>
      </c>
      <c r="C924" t="str">
        <f>_xlfn.XLOOKUP(A924,[1]Municipios!$B:$B,[1]Municipios!$D:$D)</f>
        <v>Terra Roxa</v>
      </c>
      <c r="D924">
        <v>2025</v>
      </c>
      <c r="E924" t="s">
        <v>233</v>
      </c>
      <c r="F924">
        <v>0.125</v>
      </c>
      <c r="G924">
        <v>0</v>
      </c>
    </row>
    <row r="925" spans="1:7" x14ac:dyDescent="0.25">
      <c r="A925" t="s">
        <v>552</v>
      </c>
      <c r="B925" t="str">
        <f>_xlfn.XLOOKUP(A925,[1]Municipios!$B:$B,[1]Municipios!$C:$C)</f>
        <v>Noroeste</v>
      </c>
      <c r="C925" t="str">
        <f>_xlfn.XLOOKUP(A925,[1]Municipios!$B:$B,[1]Municipios!$D:$D)</f>
        <v>Terra Roxa</v>
      </c>
      <c r="D925">
        <v>2025</v>
      </c>
      <c r="E925" t="s">
        <v>215</v>
      </c>
      <c r="F925">
        <v>0</v>
      </c>
      <c r="G925">
        <v>0</v>
      </c>
    </row>
    <row r="926" spans="1:7" x14ac:dyDescent="0.25">
      <c r="A926" t="s">
        <v>552</v>
      </c>
      <c r="B926" t="str">
        <f>_xlfn.XLOOKUP(A926,[1]Municipios!$B:$B,[1]Municipios!$C:$C)</f>
        <v>Noroeste</v>
      </c>
      <c r="C926" t="str">
        <f>_xlfn.XLOOKUP(A926,[1]Municipios!$B:$B,[1]Municipios!$D:$D)</f>
        <v>Terra Roxa</v>
      </c>
      <c r="D926">
        <v>2025</v>
      </c>
      <c r="E926" t="s">
        <v>234</v>
      </c>
      <c r="F926">
        <v>0</v>
      </c>
      <c r="G926">
        <v>0</v>
      </c>
    </row>
    <row r="927" spans="1:7" x14ac:dyDescent="0.25">
      <c r="A927" t="s">
        <v>552</v>
      </c>
      <c r="B927" t="str">
        <f>_xlfn.XLOOKUP(A927,[1]Municipios!$B:$B,[1]Municipios!$C:$C)</f>
        <v>Noroeste</v>
      </c>
      <c r="C927" t="str">
        <f>_xlfn.XLOOKUP(A927,[1]Municipios!$B:$B,[1]Municipios!$D:$D)</f>
        <v>Terra Roxa</v>
      </c>
      <c r="D927">
        <v>2025</v>
      </c>
      <c r="E927" t="s">
        <v>235</v>
      </c>
      <c r="F927">
        <v>0</v>
      </c>
      <c r="G927">
        <v>0</v>
      </c>
    </row>
    <row r="928" spans="1:7" x14ac:dyDescent="0.25">
      <c r="A928" t="s">
        <v>552</v>
      </c>
      <c r="B928" t="str">
        <f>_xlfn.XLOOKUP(A928,[1]Municipios!$B:$B,[1]Municipios!$C:$C)</f>
        <v>Noroeste</v>
      </c>
      <c r="C928" t="str">
        <f>_xlfn.XLOOKUP(A928,[1]Municipios!$B:$B,[1]Municipios!$D:$D)</f>
        <v>Terra Roxa</v>
      </c>
      <c r="D928">
        <v>2025</v>
      </c>
      <c r="E928" t="s">
        <v>236</v>
      </c>
      <c r="F928">
        <v>0</v>
      </c>
      <c r="G928">
        <v>0</v>
      </c>
    </row>
    <row r="929" spans="1:7" x14ac:dyDescent="0.25">
      <c r="A929" t="s">
        <v>552</v>
      </c>
      <c r="B929" t="str">
        <f>_xlfn.XLOOKUP(A929,[1]Municipios!$B:$B,[1]Municipios!$C:$C)</f>
        <v>Noroeste</v>
      </c>
      <c r="C929" t="str">
        <f>_xlfn.XLOOKUP(A929,[1]Municipios!$B:$B,[1]Municipios!$D:$D)</f>
        <v>Terra Roxa</v>
      </c>
      <c r="D929">
        <v>2025</v>
      </c>
      <c r="E929" t="s">
        <v>237</v>
      </c>
      <c r="F929">
        <v>0</v>
      </c>
      <c r="G929">
        <v>0</v>
      </c>
    </row>
    <row r="930" spans="1:7" x14ac:dyDescent="0.25">
      <c r="A930" t="s">
        <v>553</v>
      </c>
      <c r="B930" t="str">
        <f>_xlfn.XLOOKUP(A930,[1]Municipios!$B:$B,[1]Municipios!$C:$C)</f>
        <v>Noroeste</v>
      </c>
      <c r="C930" t="str">
        <f>_xlfn.XLOOKUP(A930,[1]Municipios!$B:$B,[1]Municipios!$D:$D)</f>
        <v>Terra Roxa</v>
      </c>
      <c r="D930">
        <v>2025</v>
      </c>
      <c r="E930" t="s">
        <v>231</v>
      </c>
      <c r="F930">
        <v>0.55549999999999988</v>
      </c>
      <c r="G930">
        <v>63.81</v>
      </c>
    </row>
    <row r="931" spans="1:7" x14ac:dyDescent="0.25">
      <c r="A931" t="s">
        <v>553</v>
      </c>
      <c r="B931" t="str">
        <f>_xlfn.XLOOKUP(A931,[1]Municipios!$B:$B,[1]Municipios!$C:$C)</f>
        <v>Noroeste</v>
      </c>
      <c r="C931" t="str">
        <f>_xlfn.XLOOKUP(A931,[1]Municipios!$B:$B,[1]Municipios!$D:$D)</f>
        <v>Terra Roxa</v>
      </c>
      <c r="D931">
        <v>2025</v>
      </c>
      <c r="E931" t="s">
        <v>232</v>
      </c>
      <c r="F931">
        <v>0.84609999999999996</v>
      </c>
      <c r="G931">
        <v>63.81</v>
      </c>
    </row>
    <row r="932" spans="1:7" x14ac:dyDescent="0.25">
      <c r="A932" t="s">
        <v>553</v>
      </c>
      <c r="B932" t="str">
        <f>_xlfn.XLOOKUP(A932,[1]Municipios!$B:$B,[1]Municipios!$C:$C)</f>
        <v>Noroeste</v>
      </c>
      <c r="C932" t="str">
        <f>_xlfn.XLOOKUP(A932,[1]Municipios!$B:$B,[1]Municipios!$D:$D)</f>
        <v>Terra Roxa</v>
      </c>
      <c r="D932">
        <v>2025</v>
      </c>
      <c r="E932" t="s">
        <v>233</v>
      </c>
      <c r="F932">
        <v>0.625</v>
      </c>
      <c r="G932">
        <v>63.81</v>
      </c>
    </row>
    <row r="933" spans="1:7" x14ac:dyDescent="0.25">
      <c r="A933" t="s">
        <v>553</v>
      </c>
      <c r="B933" t="str">
        <f>_xlfn.XLOOKUP(A933,[1]Municipios!$B:$B,[1]Municipios!$C:$C)</f>
        <v>Noroeste</v>
      </c>
      <c r="C933" t="str">
        <f>_xlfn.XLOOKUP(A933,[1]Municipios!$B:$B,[1]Municipios!$D:$D)</f>
        <v>Terra Roxa</v>
      </c>
      <c r="D933">
        <v>2025</v>
      </c>
      <c r="E933" t="s">
        <v>215</v>
      </c>
      <c r="F933">
        <v>0.70000000000000007</v>
      </c>
      <c r="G933">
        <v>63.81</v>
      </c>
    </row>
    <row r="934" spans="1:7" x14ac:dyDescent="0.25">
      <c r="A934" t="s">
        <v>553</v>
      </c>
      <c r="B934" t="str">
        <f>_xlfn.XLOOKUP(A934,[1]Municipios!$B:$B,[1]Municipios!$C:$C)</f>
        <v>Noroeste</v>
      </c>
      <c r="C934" t="str">
        <f>_xlfn.XLOOKUP(A934,[1]Municipios!$B:$B,[1]Municipios!$D:$D)</f>
        <v>Terra Roxa</v>
      </c>
      <c r="D934">
        <v>2025</v>
      </c>
      <c r="E934" t="s">
        <v>234</v>
      </c>
      <c r="F934">
        <v>0.55559999999999998</v>
      </c>
      <c r="G934">
        <v>63.81</v>
      </c>
    </row>
    <row r="935" spans="1:7" x14ac:dyDescent="0.25">
      <c r="A935" t="s">
        <v>553</v>
      </c>
      <c r="B935" t="str">
        <f>_xlfn.XLOOKUP(A935,[1]Municipios!$B:$B,[1]Municipios!$C:$C)</f>
        <v>Noroeste</v>
      </c>
      <c r="C935" t="str">
        <f>_xlfn.XLOOKUP(A935,[1]Municipios!$B:$B,[1]Municipios!$D:$D)</f>
        <v>Terra Roxa</v>
      </c>
      <c r="D935">
        <v>2025</v>
      </c>
      <c r="E935" t="s">
        <v>235</v>
      </c>
      <c r="F935">
        <v>0.71419999999999995</v>
      </c>
      <c r="G935">
        <v>63.81</v>
      </c>
    </row>
    <row r="936" spans="1:7" x14ac:dyDescent="0.25">
      <c r="A936" t="s">
        <v>553</v>
      </c>
      <c r="B936" t="str">
        <f>_xlfn.XLOOKUP(A936,[1]Municipios!$B:$B,[1]Municipios!$C:$C)</f>
        <v>Noroeste</v>
      </c>
      <c r="C936" t="str">
        <f>_xlfn.XLOOKUP(A936,[1]Municipios!$B:$B,[1]Municipios!$D:$D)</f>
        <v>Terra Roxa</v>
      </c>
      <c r="D936">
        <v>2025</v>
      </c>
      <c r="E936" t="s">
        <v>236</v>
      </c>
      <c r="F936">
        <v>7.6999999999999999E-2</v>
      </c>
      <c r="G936">
        <v>63.81</v>
      </c>
    </row>
    <row r="937" spans="1:7" x14ac:dyDescent="0.25">
      <c r="A937" t="s">
        <v>553</v>
      </c>
      <c r="B937" t="str">
        <f>_xlfn.XLOOKUP(A937,[1]Municipios!$B:$B,[1]Municipios!$C:$C)</f>
        <v>Noroeste</v>
      </c>
      <c r="C937" t="str">
        <f>_xlfn.XLOOKUP(A937,[1]Municipios!$B:$B,[1]Municipios!$D:$D)</f>
        <v>Terra Roxa</v>
      </c>
      <c r="D937">
        <v>2025</v>
      </c>
      <c r="E937" t="s">
        <v>237</v>
      </c>
      <c r="F937">
        <v>1</v>
      </c>
      <c r="G937">
        <v>63.81</v>
      </c>
    </row>
    <row r="938" spans="1:7" x14ac:dyDescent="0.25">
      <c r="A938" t="s">
        <v>471</v>
      </c>
      <c r="B938" t="str">
        <f>_xlfn.XLOOKUP(A938,[1]Municipios!$B:$B,[1]Municipios!$C:$C)</f>
        <v>Norte</v>
      </c>
      <c r="C938" t="str">
        <f>_xlfn.XLOOKUP(A938,[1]Municipios!$B:$B,[1]Municipios!$D:$D)</f>
        <v>Vale do Paranapanema</v>
      </c>
      <c r="D938">
        <v>2025</v>
      </c>
      <c r="E938" t="s">
        <v>231</v>
      </c>
      <c r="F938">
        <v>0.77779999999999994</v>
      </c>
      <c r="G938">
        <v>77.87</v>
      </c>
    </row>
    <row r="939" spans="1:7" x14ac:dyDescent="0.25">
      <c r="A939" t="s">
        <v>471</v>
      </c>
      <c r="B939" t="str">
        <f>_xlfn.XLOOKUP(A939,[1]Municipios!$B:$B,[1]Municipios!$C:$C)</f>
        <v>Norte</v>
      </c>
      <c r="C939" t="str">
        <f>_xlfn.XLOOKUP(A939,[1]Municipios!$B:$B,[1]Municipios!$D:$D)</f>
        <v>Vale do Paranapanema</v>
      </c>
      <c r="D939">
        <v>2025</v>
      </c>
      <c r="E939" t="s">
        <v>232</v>
      </c>
      <c r="F939">
        <v>0.76919999999999999</v>
      </c>
      <c r="G939">
        <v>77.87</v>
      </c>
    </row>
    <row r="940" spans="1:7" x14ac:dyDescent="0.25">
      <c r="A940" t="s">
        <v>471</v>
      </c>
      <c r="B940" t="str">
        <f>_xlfn.XLOOKUP(A940,[1]Municipios!$B:$B,[1]Municipios!$C:$C)</f>
        <v>Norte</v>
      </c>
      <c r="C940" t="str">
        <f>_xlfn.XLOOKUP(A940,[1]Municipios!$B:$B,[1]Municipios!$D:$D)</f>
        <v>Vale do Paranapanema</v>
      </c>
      <c r="D940">
        <v>2025</v>
      </c>
      <c r="E940" t="s">
        <v>233</v>
      </c>
      <c r="F940">
        <v>0.875</v>
      </c>
      <c r="G940">
        <v>77.87</v>
      </c>
    </row>
    <row r="941" spans="1:7" x14ac:dyDescent="0.25">
      <c r="A941" t="s">
        <v>471</v>
      </c>
      <c r="B941" t="str">
        <f>_xlfn.XLOOKUP(A941,[1]Municipios!$B:$B,[1]Municipios!$C:$C)</f>
        <v>Norte</v>
      </c>
      <c r="C941" t="str">
        <f>_xlfn.XLOOKUP(A941,[1]Municipios!$B:$B,[1]Municipios!$D:$D)</f>
        <v>Vale do Paranapanema</v>
      </c>
      <c r="D941">
        <v>2025</v>
      </c>
      <c r="E941" t="s">
        <v>215</v>
      </c>
      <c r="F941">
        <v>1</v>
      </c>
      <c r="G941">
        <v>77.87</v>
      </c>
    </row>
    <row r="942" spans="1:7" x14ac:dyDescent="0.25">
      <c r="A942" t="s">
        <v>471</v>
      </c>
      <c r="B942" t="str">
        <f>_xlfn.XLOOKUP(A942,[1]Municipios!$B:$B,[1]Municipios!$C:$C)</f>
        <v>Norte</v>
      </c>
      <c r="C942" t="str">
        <f>_xlfn.XLOOKUP(A942,[1]Municipios!$B:$B,[1]Municipios!$D:$D)</f>
        <v>Vale do Paranapanema</v>
      </c>
      <c r="D942">
        <v>2025</v>
      </c>
      <c r="E942" t="s">
        <v>234</v>
      </c>
      <c r="F942">
        <v>0.77780000000000005</v>
      </c>
      <c r="G942">
        <v>77.87</v>
      </c>
    </row>
    <row r="943" spans="1:7" x14ac:dyDescent="0.25">
      <c r="A943" t="s">
        <v>471</v>
      </c>
      <c r="B943" t="str">
        <f>_xlfn.XLOOKUP(A943,[1]Municipios!$B:$B,[1]Municipios!$C:$C)</f>
        <v>Norte</v>
      </c>
      <c r="C943" t="str">
        <f>_xlfn.XLOOKUP(A943,[1]Municipios!$B:$B,[1]Municipios!$D:$D)</f>
        <v>Vale do Paranapanema</v>
      </c>
      <c r="D943">
        <v>2025</v>
      </c>
      <c r="E943" t="s">
        <v>235</v>
      </c>
      <c r="F943">
        <v>0.85720000000000007</v>
      </c>
      <c r="G943">
        <v>77.87</v>
      </c>
    </row>
    <row r="944" spans="1:7" x14ac:dyDescent="0.25">
      <c r="A944" t="s">
        <v>471</v>
      </c>
      <c r="B944" t="str">
        <f>_xlfn.XLOOKUP(A944,[1]Municipios!$B:$B,[1]Municipios!$C:$C)</f>
        <v>Norte</v>
      </c>
      <c r="C944" t="str">
        <f>_xlfn.XLOOKUP(A944,[1]Municipios!$B:$B,[1]Municipios!$D:$D)</f>
        <v>Vale do Paranapanema</v>
      </c>
      <c r="D944">
        <v>2025</v>
      </c>
      <c r="E944" t="s">
        <v>236</v>
      </c>
      <c r="F944">
        <v>0.23080000000000001</v>
      </c>
      <c r="G944">
        <v>77.87</v>
      </c>
    </row>
    <row r="945" spans="1:7" x14ac:dyDescent="0.25">
      <c r="A945" t="s">
        <v>471</v>
      </c>
      <c r="B945" t="str">
        <f>_xlfn.XLOOKUP(A945,[1]Municipios!$B:$B,[1]Municipios!$C:$C)</f>
        <v>Norte</v>
      </c>
      <c r="C945" t="str">
        <f>_xlfn.XLOOKUP(A945,[1]Municipios!$B:$B,[1]Municipios!$D:$D)</f>
        <v>Vale do Paranapanema</v>
      </c>
      <c r="D945">
        <v>2025</v>
      </c>
      <c r="E945" t="s">
        <v>237</v>
      </c>
      <c r="F945">
        <v>1</v>
      </c>
      <c r="G945">
        <v>77.87</v>
      </c>
    </row>
    <row r="946" spans="1:7" x14ac:dyDescent="0.25">
      <c r="A946" t="s">
        <v>554</v>
      </c>
      <c r="B946" t="str">
        <f>_xlfn.XLOOKUP(A946,[1]Municipios!$B:$B,[1]Municipios!$C:$C)</f>
        <v>Noroeste</v>
      </c>
      <c r="C946" t="str">
        <f>_xlfn.XLOOKUP(A946,[1]Municipios!$B:$B,[1]Municipios!$D:$D)</f>
        <v>Terra Roxa</v>
      </c>
      <c r="D946">
        <v>2025</v>
      </c>
      <c r="E946" t="s">
        <v>231</v>
      </c>
      <c r="F946">
        <v>0.44439999999999996</v>
      </c>
      <c r="G946">
        <v>30.55</v>
      </c>
    </row>
    <row r="947" spans="1:7" x14ac:dyDescent="0.25">
      <c r="A947" t="s">
        <v>554</v>
      </c>
      <c r="B947" t="str">
        <f>_xlfn.XLOOKUP(A947,[1]Municipios!$B:$B,[1]Municipios!$C:$C)</f>
        <v>Noroeste</v>
      </c>
      <c r="C947" t="str">
        <f>_xlfn.XLOOKUP(A947,[1]Municipios!$B:$B,[1]Municipios!$D:$D)</f>
        <v>Terra Roxa</v>
      </c>
      <c r="D947">
        <v>2025</v>
      </c>
      <c r="E947" t="s">
        <v>232</v>
      </c>
      <c r="F947">
        <v>0.23069999999999999</v>
      </c>
      <c r="G947">
        <v>30.55</v>
      </c>
    </row>
    <row r="948" spans="1:7" x14ac:dyDescent="0.25">
      <c r="A948" t="s">
        <v>554</v>
      </c>
      <c r="B948" t="str">
        <f>_xlfn.XLOOKUP(A948,[1]Municipios!$B:$B,[1]Municipios!$C:$C)</f>
        <v>Noroeste</v>
      </c>
      <c r="C948" t="str">
        <f>_xlfn.XLOOKUP(A948,[1]Municipios!$B:$B,[1]Municipios!$D:$D)</f>
        <v>Terra Roxa</v>
      </c>
      <c r="D948">
        <v>2025</v>
      </c>
      <c r="E948" t="s">
        <v>233</v>
      </c>
      <c r="F948">
        <v>0.375</v>
      </c>
      <c r="G948">
        <v>30.55</v>
      </c>
    </row>
    <row r="949" spans="1:7" x14ac:dyDescent="0.25">
      <c r="A949" t="s">
        <v>554</v>
      </c>
      <c r="B949" t="str">
        <f>_xlfn.XLOOKUP(A949,[1]Municipios!$B:$B,[1]Municipios!$C:$C)</f>
        <v>Noroeste</v>
      </c>
      <c r="C949" t="str">
        <f>_xlfn.XLOOKUP(A949,[1]Municipios!$B:$B,[1]Municipios!$D:$D)</f>
        <v>Terra Roxa</v>
      </c>
      <c r="D949">
        <v>2025</v>
      </c>
      <c r="E949" t="s">
        <v>215</v>
      </c>
      <c r="F949">
        <v>0.35000000000000003</v>
      </c>
      <c r="G949">
        <v>30.55</v>
      </c>
    </row>
    <row r="950" spans="1:7" x14ac:dyDescent="0.25">
      <c r="A950" t="s">
        <v>554</v>
      </c>
      <c r="B950" t="str">
        <f>_xlfn.XLOOKUP(A950,[1]Municipios!$B:$B,[1]Municipios!$C:$C)</f>
        <v>Noroeste</v>
      </c>
      <c r="C950" t="str">
        <f>_xlfn.XLOOKUP(A950,[1]Municipios!$B:$B,[1]Municipios!$D:$D)</f>
        <v>Terra Roxa</v>
      </c>
      <c r="D950">
        <v>2025</v>
      </c>
      <c r="E950" t="s">
        <v>234</v>
      </c>
      <c r="F950">
        <v>0.33329999999999999</v>
      </c>
      <c r="G950">
        <v>30.55</v>
      </c>
    </row>
    <row r="951" spans="1:7" x14ac:dyDescent="0.25">
      <c r="A951" t="s">
        <v>554</v>
      </c>
      <c r="B951" t="str">
        <f>_xlfn.XLOOKUP(A951,[1]Municipios!$B:$B,[1]Municipios!$C:$C)</f>
        <v>Noroeste</v>
      </c>
      <c r="C951" t="str">
        <f>_xlfn.XLOOKUP(A951,[1]Municipios!$B:$B,[1]Municipios!$D:$D)</f>
        <v>Terra Roxa</v>
      </c>
      <c r="D951">
        <v>2025</v>
      </c>
      <c r="E951" t="s">
        <v>235</v>
      </c>
      <c r="F951">
        <v>0.28570000000000001</v>
      </c>
      <c r="G951">
        <v>30.55</v>
      </c>
    </row>
    <row r="952" spans="1:7" x14ac:dyDescent="0.25">
      <c r="A952" t="s">
        <v>554</v>
      </c>
      <c r="B952" t="str">
        <f>_xlfn.XLOOKUP(A952,[1]Municipios!$B:$B,[1]Municipios!$C:$C)</f>
        <v>Noroeste</v>
      </c>
      <c r="C952" t="str">
        <f>_xlfn.XLOOKUP(A952,[1]Municipios!$B:$B,[1]Municipios!$D:$D)</f>
        <v>Terra Roxa</v>
      </c>
      <c r="D952">
        <v>2025</v>
      </c>
      <c r="E952" t="s">
        <v>236</v>
      </c>
      <c r="F952">
        <v>0</v>
      </c>
      <c r="G952">
        <v>30.55</v>
      </c>
    </row>
    <row r="953" spans="1:7" x14ac:dyDescent="0.25">
      <c r="A953" t="s">
        <v>554</v>
      </c>
      <c r="B953" t="str">
        <f>_xlfn.XLOOKUP(A953,[1]Municipios!$B:$B,[1]Municipios!$C:$C)</f>
        <v>Noroeste</v>
      </c>
      <c r="C953" t="str">
        <f>_xlfn.XLOOKUP(A953,[1]Municipios!$B:$B,[1]Municipios!$D:$D)</f>
        <v>Terra Roxa</v>
      </c>
      <c r="D953">
        <v>2025</v>
      </c>
      <c r="E953" t="s">
        <v>237</v>
      </c>
      <c r="F953">
        <v>0.5</v>
      </c>
      <c r="G953">
        <v>30.55</v>
      </c>
    </row>
    <row r="954" spans="1:7" x14ac:dyDescent="0.25">
      <c r="A954" t="s">
        <v>555</v>
      </c>
      <c r="B954" t="str">
        <f>_xlfn.XLOOKUP(A954,[1]Municipios!$B:$B,[1]Municipios!$C:$C)</f>
        <v>Oeste</v>
      </c>
      <c r="C954" t="str">
        <f>_xlfn.XLOOKUP(A954,[1]Municipios!$B:$B,[1]Municipios!$D:$D)</f>
        <v>Oeste Integrado</v>
      </c>
      <c r="D954">
        <v>2025</v>
      </c>
      <c r="E954" t="s">
        <v>231</v>
      </c>
      <c r="F954">
        <v>0</v>
      </c>
      <c r="G954">
        <v>28.99</v>
      </c>
    </row>
    <row r="955" spans="1:7" x14ac:dyDescent="0.25">
      <c r="A955" t="s">
        <v>555</v>
      </c>
      <c r="B955" t="str">
        <f>_xlfn.XLOOKUP(A955,[1]Municipios!$B:$B,[1]Municipios!$C:$C)</f>
        <v>Oeste</v>
      </c>
      <c r="C955" t="str">
        <f>_xlfn.XLOOKUP(A955,[1]Municipios!$B:$B,[1]Municipios!$D:$D)</f>
        <v>Oeste Integrado</v>
      </c>
      <c r="D955">
        <v>2025</v>
      </c>
      <c r="E955" t="s">
        <v>232</v>
      </c>
      <c r="F955">
        <v>0.69220000000000004</v>
      </c>
      <c r="G955">
        <v>28.99</v>
      </c>
    </row>
    <row r="956" spans="1:7" x14ac:dyDescent="0.25">
      <c r="A956" t="s">
        <v>555</v>
      </c>
      <c r="B956" t="str">
        <f>_xlfn.XLOOKUP(A956,[1]Municipios!$B:$B,[1]Municipios!$C:$C)</f>
        <v>Oeste</v>
      </c>
      <c r="C956" t="str">
        <f>_xlfn.XLOOKUP(A956,[1]Municipios!$B:$B,[1]Municipios!$D:$D)</f>
        <v>Oeste Integrado</v>
      </c>
      <c r="D956">
        <v>2025</v>
      </c>
      <c r="E956" t="s">
        <v>233</v>
      </c>
      <c r="F956">
        <v>0.375</v>
      </c>
      <c r="G956">
        <v>28.99</v>
      </c>
    </row>
    <row r="957" spans="1:7" x14ac:dyDescent="0.25">
      <c r="A957" t="s">
        <v>555</v>
      </c>
      <c r="B957" t="str">
        <f>_xlfn.XLOOKUP(A957,[1]Municipios!$B:$B,[1]Municipios!$C:$C)</f>
        <v>Oeste</v>
      </c>
      <c r="C957" t="str">
        <f>_xlfn.XLOOKUP(A957,[1]Municipios!$B:$B,[1]Municipios!$D:$D)</f>
        <v>Oeste Integrado</v>
      </c>
      <c r="D957">
        <v>2025</v>
      </c>
      <c r="E957" t="s">
        <v>215</v>
      </c>
      <c r="F957">
        <v>0.54999999999999993</v>
      </c>
      <c r="G957">
        <v>28.99</v>
      </c>
    </row>
    <row r="958" spans="1:7" x14ac:dyDescent="0.25">
      <c r="A958" t="s">
        <v>555</v>
      </c>
      <c r="B958" t="str">
        <f>_xlfn.XLOOKUP(A958,[1]Municipios!$B:$B,[1]Municipios!$C:$C)</f>
        <v>Oeste</v>
      </c>
      <c r="C958" t="str">
        <f>_xlfn.XLOOKUP(A958,[1]Municipios!$B:$B,[1]Municipios!$D:$D)</f>
        <v>Oeste Integrado</v>
      </c>
      <c r="D958">
        <v>2025</v>
      </c>
      <c r="E958" t="s">
        <v>234</v>
      </c>
      <c r="F958">
        <v>0.55549999999999999</v>
      </c>
      <c r="G958">
        <v>28.99</v>
      </c>
    </row>
    <row r="959" spans="1:7" x14ac:dyDescent="0.25">
      <c r="A959" t="s">
        <v>555</v>
      </c>
      <c r="B959" t="str">
        <f>_xlfn.XLOOKUP(A959,[1]Municipios!$B:$B,[1]Municipios!$C:$C)</f>
        <v>Oeste</v>
      </c>
      <c r="C959" t="str">
        <f>_xlfn.XLOOKUP(A959,[1]Municipios!$B:$B,[1]Municipios!$D:$D)</f>
        <v>Oeste Integrado</v>
      </c>
      <c r="D959">
        <v>2025</v>
      </c>
      <c r="E959" t="s">
        <v>235</v>
      </c>
      <c r="F959">
        <v>0</v>
      </c>
      <c r="G959">
        <v>28.99</v>
      </c>
    </row>
    <row r="960" spans="1:7" x14ac:dyDescent="0.25">
      <c r="A960" t="s">
        <v>555</v>
      </c>
      <c r="B960" t="str">
        <f>_xlfn.XLOOKUP(A960,[1]Municipios!$B:$B,[1]Municipios!$C:$C)</f>
        <v>Oeste</v>
      </c>
      <c r="C960" t="str">
        <f>_xlfn.XLOOKUP(A960,[1]Municipios!$B:$B,[1]Municipios!$D:$D)</f>
        <v>Oeste Integrado</v>
      </c>
      <c r="D960">
        <v>2025</v>
      </c>
      <c r="E960" t="s">
        <v>236</v>
      </c>
      <c r="F960">
        <v>0</v>
      </c>
      <c r="G960">
        <v>28.99</v>
      </c>
    </row>
    <row r="961" spans="1:7" x14ac:dyDescent="0.25">
      <c r="A961" t="s">
        <v>555</v>
      </c>
      <c r="B961" t="str">
        <f>_xlfn.XLOOKUP(A961,[1]Municipios!$B:$B,[1]Municipios!$C:$C)</f>
        <v>Oeste</v>
      </c>
      <c r="C961" t="str">
        <f>_xlfn.XLOOKUP(A961,[1]Municipios!$B:$B,[1]Municipios!$D:$D)</f>
        <v>Oeste Integrado</v>
      </c>
      <c r="D961">
        <v>2025</v>
      </c>
      <c r="E961" t="s">
        <v>237</v>
      </c>
      <c r="F961">
        <v>0</v>
      </c>
      <c r="G961">
        <v>28.99</v>
      </c>
    </row>
    <row r="962" spans="1:7" x14ac:dyDescent="0.25">
      <c r="A962" t="s">
        <v>440</v>
      </c>
      <c r="B962" t="str">
        <f>_xlfn.XLOOKUP(A962,[1]Municipios!$B:$B,[1]Municipios!$C:$C)</f>
        <v>Oeste</v>
      </c>
      <c r="C962" t="str">
        <f>_xlfn.XLOOKUP(A962,[1]Municipios!$B:$B,[1]Municipios!$D:$D)</f>
        <v>Oeste Integrado</v>
      </c>
      <c r="D962">
        <v>2025</v>
      </c>
      <c r="E962" t="s">
        <v>231</v>
      </c>
      <c r="F962">
        <v>0.88890000000000002</v>
      </c>
      <c r="G962">
        <v>95.59</v>
      </c>
    </row>
    <row r="963" spans="1:7" x14ac:dyDescent="0.25">
      <c r="A963" t="s">
        <v>440</v>
      </c>
      <c r="B963" t="str">
        <f>_xlfn.XLOOKUP(A963,[1]Municipios!$B:$B,[1]Municipios!$C:$C)</f>
        <v>Oeste</v>
      </c>
      <c r="C963" t="str">
        <f>_xlfn.XLOOKUP(A963,[1]Municipios!$B:$B,[1]Municipios!$D:$D)</f>
        <v>Oeste Integrado</v>
      </c>
      <c r="D963">
        <v>2025</v>
      </c>
      <c r="E963" t="s">
        <v>232</v>
      </c>
      <c r="F963">
        <v>0.92310000000000003</v>
      </c>
      <c r="G963">
        <v>95.59</v>
      </c>
    </row>
    <row r="964" spans="1:7" x14ac:dyDescent="0.25">
      <c r="A964" t="s">
        <v>440</v>
      </c>
      <c r="B964" t="str">
        <f>_xlfn.XLOOKUP(A964,[1]Municipios!$B:$B,[1]Municipios!$C:$C)</f>
        <v>Oeste</v>
      </c>
      <c r="C964" t="str">
        <f>_xlfn.XLOOKUP(A964,[1]Municipios!$B:$B,[1]Municipios!$D:$D)</f>
        <v>Oeste Integrado</v>
      </c>
      <c r="D964">
        <v>2025</v>
      </c>
      <c r="E964" t="s">
        <v>233</v>
      </c>
      <c r="F964">
        <v>1</v>
      </c>
      <c r="G964">
        <v>95.59</v>
      </c>
    </row>
    <row r="965" spans="1:7" x14ac:dyDescent="0.25">
      <c r="A965" t="s">
        <v>440</v>
      </c>
      <c r="B965" t="str">
        <f>_xlfn.XLOOKUP(A965,[1]Municipios!$B:$B,[1]Municipios!$C:$C)</f>
        <v>Oeste</v>
      </c>
      <c r="C965" t="str">
        <f>_xlfn.XLOOKUP(A965,[1]Municipios!$B:$B,[1]Municipios!$D:$D)</f>
        <v>Oeste Integrado</v>
      </c>
      <c r="D965">
        <v>2025</v>
      </c>
      <c r="E965" t="s">
        <v>215</v>
      </c>
      <c r="F965">
        <v>1</v>
      </c>
      <c r="G965">
        <v>95.59</v>
      </c>
    </row>
    <row r="966" spans="1:7" x14ac:dyDescent="0.25">
      <c r="A966" t="s">
        <v>440</v>
      </c>
      <c r="B966" t="str">
        <f>_xlfn.XLOOKUP(A966,[1]Municipios!$B:$B,[1]Municipios!$C:$C)</f>
        <v>Oeste</v>
      </c>
      <c r="C966" t="str">
        <f>_xlfn.XLOOKUP(A966,[1]Municipios!$B:$B,[1]Municipios!$D:$D)</f>
        <v>Oeste Integrado</v>
      </c>
      <c r="D966">
        <v>2025</v>
      </c>
      <c r="E966" t="s">
        <v>234</v>
      </c>
      <c r="F966">
        <v>1</v>
      </c>
      <c r="G966">
        <v>95.59</v>
      </c>
    </row>
    <row r="967" spans="1:7" x14ac:dyDescent="0.25">
      <c r="A967" t="s">
        <v>440</v>
      </c>
      <c r="B967" t="str">
        <f>_xlfn.XLOOKUP(A967,[1]Municipios!$B:$B,[1]Municipios!$C:$C)</f>
        <v>Oeste</v>
      </c>
      <c r="C967" t="str">
        <f>_xlfn.XLOOKUP(A967,[1]Municipios!$B:$B,[1]Municipios!$D:$D)</f>
        <v>Oeste Integrado</v>
      </c>
      <c r="D967">
        <v>2025</v>
      </c>
      <c r="E967" t="s">
        <v>235</v>
      </c>
      <c r="F967">
        <v>1</v>
      </c>
      <c r="G967">
        <v>95.59</v>
      </c>
    </row>
    <row r="968" spans="1:7" x14ac:dyDescent="0.25">
      <c r="A968" t="s">
        <v>440</v>
      </c>
      <c r="B968" t="str">
        <f>_xlfn.XLOOKUP(A968,[1]Municipios!$B:$B,[1]Municipios!$C:$C)</f>
        <v>Oeste</v>
      </c>
      <c r="C968" t="str">
        <f>_xlfn.XLOOKUP(A968,[1]Municipios!$B:$B,[1]Municipios!$D:$D)</f>
        <v>Oeste Integrado</v>
      </c>
      <c r="D968">
        <v>2025</v>
      </c>
      <c r="E968" t="s">
        <v>236</v>
      </c>
      <c r="F968">
        <v>0.84620000000000006</v>
      </c>
      <c r="G968">
        <v>95.59</v>
      </c>
    </row>
    <row r="969" spans="1:7" x14ac:dyDescent="0.25">
      <c r="A969" t="s">
        <v>440</v>
      </c>
      <c r="B969" t="str">
        <f>_xlfn.XLOOKUP(A969,[1]Municipios!$B:$B,[1]Municipios!$C:$C)</f>
        <v>Oeste</v>
      </c>
      <c r="C969" t="str">
        <f>_xlfn.XLOOKUP(A969,[1]Municipios!$B:$B,[1]Municipios!$D:$D)</f>
        <v>Oeste Integrado</v>
      </c>
      <c r="D969">
        <v>2025</v>
      </c>
      <c r="E969" t="s">
        <v>237</v>
      </c>
      <c r="F969">
        <v>1</v>
      </c>
      <c r="G969">
        <v>95.59</v>
      </c>
    </row>
    <row r="970" spans="1:7" x14ac:dyDescent="0.25">
      <c r="A970" t="s">
        <v>523</v>
      </c>
      <c r="B970" t="str">
        <f>_xlfn.XLOOKUP(A970,[1]Municipios!$B:$B,[1]Municipios!$C:$C)</f>
        <v>Oeste</v>
      </c>
      <c r="C970" t="str">
        <f>_xlfn.XLOOKUP(A970,[1]Municipios!$B:$B,[1]Municipios!$D:$D)</f>
        <v>Cantuquiriguaçu</v>
      </c>
      <c r="D970">
        <v>2025</v>
      </c>
      <c r="E970" t="s">
        <v>231</v>
      </c>
      <c r="F970">
        <v>0.55559999999999998</v>
      </c>
      <c r="G970">
        <v>77.27</v>
      </c>
    </row>
    <row r="971" spans="1:7" x14ac:dyDescent="0.25">
      <c r="A971" t="s">
        <v>523</v>
      </c>
      <c r="B971" t="str">
        <f>_xlfn.XLOOKUP(A971,[1]Municipios!$B:$B,[1]Municipios!$C:$C)</f>
        <v>Oeste</v>
      </c>
      <c r="C971" t="str">
        <f>_xlfn.XLOOKUP(A971,[1]Municipios!$B:$B,[1]Municipios!$D:$D)</f>
        <v>Cantuquiriguaçu</v>
      </c>
      <c r="D971">
        <v>2025</v>
      </c>
      <c r="E971" t="s">
        <v>232</v>
      </c>
      <c r="F971">
        <v>0.92310000000000003</v>
      </c>
      <c r="G971">
        <v>77.27</v>
      </c>
    </row>
    <row r="972" spans="1:7" x14ac:dyDescent="0.25">
      <c r="A972" t="s">
        <v>523</v>
      </c>
      <c r="B972" t="str">
        <f>_xlfn.XLOOKUP(A972,[1]Municipios!$B:$B,[1]Municipios!$C:$C)</f>
        <v>Oeste</v>
      </c>
      <c r="C972" t="str">
        <f>_xlfn.XLOOKUP(A972,[1]Municipios!$B:$B,[1]Municipios!$D:$D)</f>
        <v>Cantuquiriguaçu</v>
      </c>
      <c r="D972">
        <v>2025</v>
      </c>
      <c r="E972" t="s">
        <v>233</v>
      </c>
      <c r="F972">
        <v>0.875</v>
      </c>
      <c r="G972">
        <v>77.27</v>
      </c>
    </row>
    <row r="973" spans="1:7" x14ac:dyDescent="0.25">
      <c r="A973" t="s">
        <v>523</v>
      </c>
      <c r="B973" t="str">
        <f>_xlfn.XLOOKUP(A973,[1]Municipios!$B:$B,[1]Municipios!$C:$C)</f>
        <v>Oeste</v>
      </c>
      <c r="C973" t="str">
        <f>_xlfn.XLOOKUP(A973,[1]Municipios!$B:$B,[1]Municipios!$D:$D)</f>
        <v>Cantuquiriguaçu</v>
      </c>
      <c r="D973">
        <v>2025</v>
      </c>
      <c r="E973" t="s">
        <v>215</v>
      </c>
      <c r="F973">
        <v>0.95000000000000007</v>
      </c>
      <c r="G973">
        <v>77.27</v>
      </c>
    </row>
    <row r="974" spans="1:7" x14ac:dyDescent="0.25">
      <c r="A974" t="s">
        <v>523</v>
      </c>
      <c r="B974" t="str">
        <f>_xlfn.XLOOKUP(A974,[1]Municipios!$B:$B,[1]Municipios!$C:$C)</f>
        <v>Oeste</v>
      </c>
      <c r="C974" t="str">
        <f>_xlfn.XLOOKUP(A974,[1]Municipios!$B:$B,[1]Municipios!$D:$D)</f>
        <v>Cantuquiriguaçu</v>
      </c>
      <c r="D974">
        <v>2025</v>
      </c>
      <c r="E974" t="s">
        <v>234</v>
      </c>
      <c r="F974">
        <v>0.55549999999999999</v>
      </c>
      <c r="G974">
        <v>77.27</v>
      </c>
    </row>
    <row r="975" spans="1:7" x14ac:dyDescent="0.25">
      <c r="A975" t="s">
        <v>523</v>
      </c>
      <c r="B975" t="str">
        <f>_xlfn.XLOOKUP(A975,[1]Municipios!$B:$B,[1]Municipios!$C:$C)</f>
        <v>Oeste</v>
      </c>
      <c r="C975" t="str">
        <f>_xlfn.XLOOKUP(A975,[1]Municipios!$B:$B,[1]Municipios!$D:$D)</f>
        <v>Cantuquiriguaçu</v>
      </c>
      <c r="D975">
        <v>2025</v>
      </c>
      <c r="E975" t="s">
        <v>235</v>
      </c>
      <c r="F975">
        <v>1</v>
      </c>
      <c r="G975">
        <v>77.27</v>
      </c>
    </row>
    <row r="976" spans="1:7" x14ac:dyDescent="0.25">
      <c r="A976" t="s">
        <v>523</v>
      </c>
      <c r="B976" t="str">
        <f>_xlfn.XLOOKUP(A976,[1]Municipios!$B:$B,[1]Municipios!$C:$C)</f>
        <v>Oeste</v>
      </c>
      <c r="C976" t="str">
        <f>_xlfn.XLOOKUP(A976,[1]Municipios!$B:$B,[1]Municipios!$D:$D)</f>
        <v>Cantuquiriguaçu</v>
      </c>
      <c r="D976">
        <v>2025</v>
      </c>
      <c r="E976" t="s">
        <v>236</v>
      </c>
      <c r="F976">
        <v>0.38469999999999999</v>
      </c>
      <c r="G976">
        <v>77.27</v>
      </c>
    </row>
    <row r="977" spans="1:7" x14ac:dyDescent="0.25">
      <c r="A977" t="s">
        <v>523</v>
      </c>
      <c r="B977" t="str">
        <f>_xlfn.XLOOKUP(A977,[1]Municipios!$B:$B,[1]Municipios!$C:$C)</f>
        <v>Oeste</v>
      </c>
      <c r="C977" t="str">
        <f>_xlfn.XLOOKUP(A977,[1]Municipios!$B:$B,[1]Municipios!$D:$D)</f>
        <v>Cantuquiriguaçu</v>
      </c>
      <c r="D977">
        <v>2025</v>
      </c>
      <c r="E977" t="s">
        <v>237</v>
      </c>
      <c r="F977">
        <v>1</v>
      </c>
      <c r="G977">
        <v>77.27</v>
      </c>
    </row>
    <row r="978" spans="1:7" x14ac:dyDescent="0.25">
      <c r="A978" t="s">
        <v>441</v>
      </c>
      <c r="B978" t="str">
        <f>_xlfn.XLOOKUP(A978,[1]Municipios!$B:$B,[1]Municipios!$C:$C)</f>
        <v>Oeste</v>
      </c>
      <c r="C978" t="str">
        <f>_xlfn.XLOOKUP(A978,[1]Municipios!$B:$B,[1]Municipios!$D:$D)</f>
        <v>Oeste Integrado</v>
      </c>
      <c r="D978">
        <v>2025</v>
      </c>
      <c r="E978" t="s">
        <v>231</v>
      </c>
      <c r="F978">
        <v>0.33339999999999992</v>
      </c>
      <c r="G978">
        <v>35.090000000000003</v>
      </c>
    </row>
    <row r="979" spans="1:7" x14ac:dyDescent="0.25">
      <c r="A979" t="s">
        <v>441</v>
      </c>
      <c r="B979" t="str">
        <f>_xlfn.XLOOKUP(A979,[1]Municipios!$B:$B,[1]Municipios!$C:$C)</f>
        <v>Oeste</v>
      </c>
      <c r="C979" t="str">
        <f>_xlfn.XLOOKUP(A979,[1]Municipios!$B:$B,[1]Municipios!$D:$D)</f>
        <v>Oeste Integrado</v>
      </c>
      <c r="D979">
        <v>2025</v>
      </c>
      <c r="E979" t="s">
        <v>232</v>
      </c>
      <c r="F979">
        <v>0.46159999999999995</v>
      </c>
      <c r="G979">
        <v>35.090000000000003</v>
      </c>
    </row>
    <row r="980" spans="1:7" x14ac:dyDescent="0.25">
      <c r="A980" t="s">
        <v>441</v>
      </c>
      <c r="B980" t="str">
        <f>_xlfn.XLOOKUP(A980,[1]Municipios!$B:$B,[1]Municipios!$C:$C)</f>
        <v>Oeste</v>
      </c>
      <c r="C980" t="str">
        <f>_xlfn.XLOOKUP(A980,[1]Municipios!$B:$B,[1]Municipios!$D:$D)</f>
        <v>Oeste Integrado</v>
      </c>
      <c r="D980">
        <v>2025</v>
      </c>
      <c r="E980" t="s">
        <v>233</v>
      </c>
      <c r="F980">
        <v>0.625</v>
      </c>
      <c r="G980">
        <v>35.090000000000003</v>
      </c>
    </row>
    <row r="981" spans="1:7" x14ac:dyDescent="0.25">
      <c r="A981" t="s">
        <v>441</v>
      </c>
      <c r="B981" t="str">
        <f>_xlfn.XLOOKUP(A981,[1]Municipios!$B:$B,[1]Municipios!$C:$C)</f>
        <v>Oeste</v>
      </c>
      <c r="C981" t="str">
        <f>_xlfn.XLOOKUP(A981,[1]Municipios!$B:$B,[1]Municipios!$D:$D)</f>
        <v>Oeste Integrado</v>
      </c>
      <c r="D981">
        <v>2025</v>
      </c>
      <c r="E981" t="s">
        <v>215</v>
      </c>
      <c r="F981">
        <v>0.35000000000000003</v>
      </c>
      <c r="G981">
        <v>35.090000000000003</v>
      </c>
    </row>
    <row r="982" spans="1:7" x14ac:dyDescent="0.25">
      <c r="A982" t="s">
        <v>441</v>
      </c>
      <c r="B982" t="str">
        <f>_xlfn.XLOOKUP(A982,[1]Municipios!$B:$B,[1]Municipios!$C:$C)</f>
        <v>Oeste</v>
      </c>
      <c r="C982" t="str">
        <f>_xlfn.XLOOKUP(A982,[1]Municipios!$B:$B,[1]Municipios!$D:$D)</f>
        <v>Oeste Integrado</v>
      </c>
      <c r="D982">
        <v>2025</v>
      </c>
      <c r="E982" t="s">
        <v>234</v>
      </c>
      <c r="F982">
        <v>0.33329999999999999</v>
      </c>
      <c r="G982">
        <v>35.090000000000003</v>
      </c>
    </row>
    <row r="983" spans="1:7" x14ac:dyDescent="0.25">
      <c r="A983" t="s">
        <v>441</v>
      </c>
      <c r="B983" t="str">
        <f>_xlfn.XLOOKUP(A983,[1]Municipios!$B:$B,[1]Municipios!$C:$C)</f>
        <v>Oeste</v>
      </c>
      <c r="C983" t="str">
        <f>_xlfn.XLOOKUP(A983,[1]Municipios!$B:$B,[1]Municipios!$D:$D)</f>
        <v>Oeste Integrado</v>
      </c>
      <c r="D983">
        <v>2025</v>
      </c>
      <c r="E983" t="s">
        <v>235</v>
      </c>
      <c r="F983">
        <v>0.28570000000000001</v>
      </c>
      <c r="G983">
        <v>35.090000000000003</v>
      </c>
    </row>
    <row r="984" spans="1:7" x14ac:dyDescent="0.25">
      <c r="A984" t="s">
        <v>441</v>
      </c>
      <c r="B984" t="str">
        <f>_xlfn.XLOOKUP(A984,[1]Municipios!$B:$B,[1]Municipios!$C:$C)</f>
        <v>Oeste</v>
      </c>
      <c r="C984" t="str">
        <f>_xlfn.XLOOKUP(A984,[1]Municipios!$B:$B,[1]Municipios!$D:$D)</f>
        <v>Oeste Integrado</v>
      </c>
      <c r="D984">
        <v>2025</v>
      </c>
      <c r="E984" t="s">
        <v>236</v>
      </c>
      <c r="F984">
        <v>7.6999999999999999E-2</v>
      </c>
      <c r="G984">
        <v>35.090000000000003</v>
      </c>
    </row>
    <row r="985" spans="1:7" x14ac:dyDescent="0.25">
      <c r="A985" t="s">
        <v>441</v>
      </c>
      <c r="B985" t="str">
        <f>_xlfn.XLOOKUP(A985,[1]Municipios!$B:$B,[1]Municipios!$C:$C)</f>
        <v>Oeste</v>
      </c>
      <c r="C985" t="str">
        <f>_xlfn.XLOOKUP(A985,[1]Municipios!$B:$B,[1]Municipios!$D:$D)</f>
        <v>Oeste Integrado</v>
      </c>
      <c r="D985">
        <v>2025</v>
      </c>
      <c r="E985" t="s">
        <v>237</v>
      </c>
      <c r="F985">
        <v>0.5</v>
      </c>
      <c r="G985">
        <v>35.090000000000003</v>
      </c>
    </row>
    <row r="986" spans="1:7" x14ac:dyDescent="0.25">
      <c r="A986" t="s">
        <v>252</v>
      </c>
      <c r="B986" t="str">
        <f>_xlfn.XLOOKUP(A986,[1]Municipios!$B:$B,[1]Municipios!$C:$C)</f>
        <v>Sul</v>
      </c>
      <c r="C986" t="str">
        <f>_xlfn.XLOOKUP(A986,[1]Municipios!$B:$B,[1]Municipios!$D:$D)</f>
        <v>Sudoeste Pioneiro</v>
      </c>
      <c r="D986">
        <v>2025</v>
      </c>
      <c r="E986" t="s">
        <v>231</v>
      </c>
      <c r="F986">
        <v>0.88890000000000002</v>
      </c>
      <c r="G986">
        <v>94.74</v>
      </c>
    </row>
    <row r="987" spans="1:7" x14ac:dyDescent="0.25">
      <c r="A987" t="s">
        <v>252</v>
      </c>
      <c r="B987" t="str">
        <f>_xlfn.XLOOKUP(A987,[1]Municipios!$B:$B,[1]Municipios!$C:$C)</f>
        <v>Sul</v>
      </c>
      <c r="C987" t="str">
        <f>_xlfn.XLOOKUP(A987,[1]Municipios!$B:$B,[1]Municipios!$D:$D)</f>
        <v>Sudoeste Pioneiro</v>
      </c>
      <c r="D987">
        <v>2025</v>
      </c>
      <c r="E987" t="s">
        <v>232</v>
      </c>
      <c r="F987">
        <v>1</v>
      </c>
      <c r="G987">
        <v>94.74</v>
      </c>
    </row>
    <row r="988" spans="1:7" x14ac:dyDescent="0.25">
      <c r="A988" t="s">
        <v>252</v>
      </c>
      <c r="B988" t="str">
        <f>_xlfn.XLOOKUP(A988,[1]Municipios!$B:$B,[1]Municipios!$C:$C)</f>
        <v>Sul</v>
      </c>
      <c r="C988" t="str">
        <f>_xlfn.XLOOKUP(A988,[1]Municipios!$B:$B,[1]Municipios!$D:$D)</f>
        <v>Sudoeste Pioneiro</v>
      </c>
      <c r="D988">
        <v>2025</v>
      </c>
      <c r="E988" t="s">
        <v>233</v>
      </c>
      <c r="F988">
        <v>1</v>
      </c>
      <c r="G988">
        <v>94.74</v>
      </c>
    </row>
    <row r="989" spans="1:7" x14ac:dyDescent="0.25">
      <c r="A989" t="s">
        <v>252</v>
      </c>
      <c r="B989" t="str">
        <f>_xlfn.XLOOKUP(A989,[1]Municipios!$B:$B,[1]Municipios!$C:$C)</f>
        <v>Sul</v>
      </c>
      <c r="C989" t="str">
        <f>_xlfn.XLOOKUP(A989,[1]Municipios!$B:$B,[1]Municipios!$D:$D)</f>
        <v>Sudoeste Pioneiro</v>
      </c>
      <c r="D989">
        <v>2025</v>
      </c>
      <c r="E989" t="s">
        <v>215</v>
      </c>
      <c r="F989">
        <v>0.75</v>
      </c>
      <c r="G989">
        <v>94.74</v>
      </c>
    </row>
    <row r="990" spans="1:7" x14ac:dyDescent="0.25">
      <c r="A990" t="s">
        <v>252</v>
      </c>
      <c r="B990" t="str">
        <f>_xlfn.XLOOKUP(A990,[1]Municipios!$B:$B,[1]Municipios!$C:$C)</f>
        <v>Sul</v>
      </c>
      <c r="C990" t="str">
        <f>_xlfn.XLOOKUP(A990,[1]Municipios!$B:$B,[1]Municipios!$D:$D)</f>
        <v>Sudoeste Pioneiro</v>
      </c>
      <c r="D990">
        <v>2025</v>
      </c>
      <c r="E990" t="s">
        <v>234</v>
      </c>
      <c r="F990">
        <v>1</v>
      </c>
      <c r="G990">
        <v>94.74</v>
      </c>
    </row>
    <row r="991" spans="1:7" x14ac:dyDescent="0.25">
      <c r="A991" t="s">
        <v>252</v>
      </c>
      <c r="B991" t="str">
        <f>_xlfn.XLOOKUP(A991,[1]Municipios!$B:$B,[1]Municipios!$C:$C)</f>
        <v>Sul</v>
      </c>
      <c r="C991" t="str">
        <f>_xlfn.XLOOKUP(A991,[1]Municipios!$B:$B,[1]Municipios!$D:$D)</f>
        <v>Sudoeste Pioneiro</v>
      </c>
      <c r="D991">
        <v>2025</v>
      </c>
      <c r="E991" t="s">
        <v>235</v>
      </c>
      <c r="F991">
        <v>1</v>
      </c>
      <c r="G991">
        <v>94.74</v>
      </c>
    </row>
    <row r="992" spans="1:7" x14ac:dyDescent="0.25">
      <c r="A992" t="s">
        <v>252</v>
      </c>
      <c r="B992" t="str">
        <f>_xlfn.XLOOKUP(A992,[1]Municipios!$B:$B,[1]Municipios!$C:$C)</f>
        <v>Sul</v>
      </c>
      <c r="C992" t="str">
        <f>_xlfn.XLOOKUP(A992,[1]Municipios!$B:$B,[1]Municipios!$D:$D)</f>
        <v>Sudoeste Pioneiro</v>
      </c>
      <c r="D992">
        <v>2025</v>
      </c>
      <c r="E992" t="s">
        <v>236</v>
      </c>
      <c r="F992">
        <v>0.92309999999999992</v>
      </c>
      <c r="G992">
        <v>94.74</v>
      </c>
    </row>
    <row r="993" spans="1:7" x14ac:dyDescent="0.25">
      <c r="A993" t="s">
        <v>252</v>
      </c>
      <c r="B993" t="str">
        <f>_xlfn.XLOOKUP(A993,[1]Municipios!$B:$B,[1]Municipios!$C:$C)</f>
        <v>Sul</v>
      </c>
      <c r="C993" t="str">
        <f>_xlfn.XLOOKUP(A993,[1]Municipios!$B:$B,[1]Municipios!$D:$D)</f>
        <v>Sudoeste Pioneiro</v>
      </c>
      <c r="D993">
        <v>2025</v>
      </c>
      <c r="E993" t="s">
        <v>237</v>
      </c>
      <c r="F993">
        <v>1</v>
      </c>
      <c r="G993">
        <v>94.74</v>
      </c>
    </row>
    <row r="994" spans="1:7" x14ac:dyDescent="0.25">
      <c r="A994" t="s">
        <v>295</v>
      </c>
      <c r="B994" t="str">
        <f>_xlfn.XLOOKUP(A994,[1]Municipios!$B:$B,[1]Municipios!$C:$C)</f>
        <v>Sul</v>
      </c>
      <c r="C994" t="str">
        <f>_xlfn.XLOOKUP(A994,[1]Municipios!$B:$B,[1]Municipios!$D:$D)</f>
        <v>Sul do Paraná</v>
      </c>
      <c r="D994">
        <v>2025</v>
      </c>
      <c r="E994" t="s">
        <v>231</v>
      </c>
      <c r="F994">
        <v>0.77779999999999994</v>
      </c>
      <c r="G994">
        <v>74.12</v>
      </c>
    </row>
    <row r="995" spans="1:7" x14ac:dyDescent="0.25">
      <c r="A995" t="s">
        <v>295</v>
      </c>
      <c r="B995" t="str">
        <f>_xlfn.XLOOKUP(A995,[1]Municipios!$B:$B,[1]Municipios!$C:$C)</f>
        <v>Sul</v>
      </c>
      <c r="C995" t="str">
        <f>_xlfn.XLOOKUP(A995,[1]Municipios!$B:$B,[1]Municipios!$D:$D)</f>
        <v>Sul do Paraná</v>
      </c>
      <c r="D995">
        <v>2025</v>
      </c>
      <c r="E995" t="s">
        <v>232</v>
      </c>
      <c r="F995">
        <v>0.76919999999999999</v>
      </c>
      <c r="G995">
        <v>74.12</v>
      </c>
    </row>
    <row r="996" spans="1:7" x14ac:dyDescent="0.25">
      <c r="A996" t="s">
        <v>295</v>
      </c>
      <c r="B996" t="str">
        <f>_xlfn.XLOOKUP(A996,[1]Municipios!$B:$B,[1]Municipios!$C:$C)</f>
        <v>Sul</v>
      </c>
      <c r="C996" t="str">
        <f>_xlfn.XLOOKUP(A996,[1]Municipios!$B:$B,[1]Municipios!$D:$D)</f>
        <v>Sul do Paraná</v>
      </c>
      <c r="D996">
        <v>2025</v>
      </c>
      <c r="E996" t="s">
        <v>233</v>
      </c>
      <c r="F996">
        <v>0.75</v>
      </c>
      <c r="G996">
        <v>74.12</v>
      </c>
    </row>
    <row r="997" spans="1:7" x14ac:dyDescent="0.25">
      <c r="A997" t="s">
        <v>295</v>
      </c>
      <c r="B997" t="str">
        <f>_xlfn.XLOOKUP(A997,[1]Municipios!$B:$B,[1]Municipios!$C:$C)</f>
        <v>Sul</v>
      </c>
      <c r="C997" t="str">
        <f>_xlfn.XLOOKUP(A997,[1]Municipios!$B:$B,[1]Municipios!$D:$D)</f>
        <v>Sul do Paraná</v>
      </c>
      <c r="D997">
        <v>2025</v>
      </c>
      <c r="E997" t="s">
        <v>215</v>
      </c>
      <c r="F997">
        <v>0.95000000000000007</v>
      </c>
      <c r="G997">
        <v>74.12</v>
      </c>
    </row>
    <row r="998" spans="1:7" x14ac:dyDescent="0.25">
      <c r="A998" t="s">
        <v>295</v>
      </c>
      <c r="B998" t="str">
        <f>_xlfn.XLOOKUP(A998,[1]Municipios!$B:$B,[1]Municipios!$C:$C)</f>
        <v>Sul</v>
      </c>
      <c r="C998" t="str">
        <f>_xlfn.XLOOKUP(A998,[1]Municipios!$B:$B,[1]Municipios!$D:$D)</f>
        <v>Sul do Paraná</v>
      </c>
      <c r="D998">
        <v>2025</v>
      </c>
      <c r="E998" t="s">
        <v>234</v>
      </c>
      <c r="F998">
        <v>0.66669999999999996</v>
      </c>
      <c r="G998">
        <v>74.12</v>
      </c>
    </row>
    <row r="999" spans="1:7" x14ac:dyDescent="0.25">
      <c r="A999" t="s">
        <v>295</v>
      </c>
      <c r="B999" t="str">
        <f>_xlfn.XLOOKUP(A999,[1]Municipios!$B:$B,[1]Municipios!$C:$C)</f>
        <v>Sul</v>
      </c>
      <c r="C999" t="str">
        <f>_xlfn.XLOOKUP(A999,[1]Municipios!$B:$B,[1]Municipios!$D:$D)</f>
        <v>Sul do Paraná</v>
      </c>
      <c r="D999">
        <v>2025</v>
      </c>
      <c r="E999" t="s">
        <v>235</v>
      </c>
      <c r="F999">
        <v>1</v>
      </c>
      <c r="G999">
        <v>74.12</v>
      </c>
    </row>
    <row r="1000" spans="1:7" x14ac:dyDescent="0.25">
      <c r="A1000" t="s">
        <v>295</v>
      </c>
      <c r="B1000" t="str">
        <f>_xlfn.XLOOKUP(A1000,[1]Municipios!$B:$B,[1]Municipios!$C:$C)</f>
        <v>Sul</v>
      </c>
      <c r="C1000" t="str">
        <f>_xlfn.XLOOKUP(A1000,[1]Municipios!$B:$B,[1]Municipios!$D:$D)</f>
        <v>Sul do Paraná</v>
      </c>
      <c r="D1000">
        <v>2025</v>
      </c>
      <c r="E1000" t="s">
        <v>236</v>
      </c>
      <c r="F1000">
        <v>0</v>
      </c>
      <c r="G1000">
        <v>74.12</v>
      </c>
    </row>
    <row r="1001" spans="1:7" x14ac:dyDescent="0.25">
      <c r="A1001" t="s">
        <v>295</v>
      </c>
      <c r="B1001" t="str">
        <f>_xlfn.XLOOKUP(A1001,[1]Municipios!$B:$B,[1]Municipios!$C:$C)</f>
        <v>Sul</v>
      </c>
      <c r="C1001" t="str">
        <f>_xlfn.XLOOKUP(A1001,[1]Municipios!$B:$B,[1]Municipios!$D:$D)</f>
        <v>Sul do Paraná</v>
      </c>
      <c r="D1001">
        <v>2025</v>
      </c>
      <c r="E1001" t="s">
        <v>237</v>
      </c>
      <c r="F1001">
        <v>1</v>
      </c>
      <c r="G1001">
        <v>74.12</v>
      </c>
    </row>
    <row r="1002" spans="1:7" x14ac:dyDescent="0.25">
      <c r="A1002" t="s">
        <v>508</v>
      </c>
      <c r="B1002" t="str">
        <f>_xlfn.XLOOKUP(A1002,[1]Municipios!$B:$B,[1]Municipios!$C:$C)</f>
        <v>Norte</v>
      </c>
      <c r="C1002" t="str">
        <f>_xlfn.XLOOKUP(A1002,[1]Municipios!$B:$B,[1]Municipios!$D:$D)</f>
        <v>Vale Do Ivaí</v>
      </c>
      <c r="D1002">
        <v>2025</v>
      </c>
      <c r="E1002" t="s">
        <v>231</v>
      </c>
      <c r="F1002">
        <v>0.66669999999999996</v>
      </c>
      <c r="G1002">
        <v>49.32</v>
      </c>
    </row>
    <row r="1003" spans="1:7" x14ac:dyDescent="0.25">
      <c r="A1003" t="s">
        <v>508</v>
      </c>
      <c r="B1003" t="str">
        <f>_xlfn.XLOOKUP(A1003,[1]Municipios!$B:$B,[1]Municipios!$C:$C)</f>
        <v>Norte</v>
      </c>
      <c r="C1003" t="str">
        <f>_xlfn.XLOOKUP(A1003,[1]Municipios!$B:$B,[1]Municipios!$D:$D)</f>
        <v>Vale Do Ivaí</v>
      </c>
      <c r="D1003">
        <v>2025</v>
      </c>
      <c r="E1003" t="s">
        <v>232</v>
      </c>
      <c r="F1003">
        <v>0.76929999999999998</v>
      </c>
      <c r="G1003">
        <v>49.32</v>
      </c>
    </row>
    <row r="1004" spans="1:7" x14ac:dyDescent="0.25">
      <c r="A1004" t="s">
        <v>508</v>
      </c>
      <c r="B1004" t="str">
        <f>_xlfn.XLOOKUP(A1004,[1]Municipios!$B:$B,[1]Municipios!$C:$C)</f>
        <v>Norte</v>
      </c>
      <c r="C1004" t="str">
        <f>_xlfn.XLOOKUP(A1004,[1]Municipios!$B:$B,[1]Municipios!$D:$D)</f>
        <v>Vale Do Ivaí</v>
      </c>
      <c r="D1004">
        <v>2025</v>
      </c>
      <c r="E1004" t="s">
        <v>233</v>
      </c>
      <c r="F1004">
        <v>0.625</v>
      </c>
      <c r="G1004">
        <v>49.32</v>
      </c>
    </row>
    <row r="1005" spans="1:7" x14ac:dyDescent="0.25">
      <c r="A1005" t="s">
        <v>508</v>
      </c>
      <c r="B1005" t="str">
        <f>_xlfn.XLOOKUP(A1005,[1]Municipios!$B:$B,[1]Municipios!$C:$C)</f>
        <v>Norte</v>
      </c>
      <c r="C1005" t="str">
        <f>_xlfn.XLOOKUP(A1005,[1]Municipios!$B:$B,[1]Municipios!$D:$D)</f>
        <v>Vale Do Ivaí</v>
      </c>
      <c r="D1005">
        <v>2025</v>
      </c>
      <c r="E1005" t="s">
        <v>215</v>
      </c>
      <c r="F1005">
        <v>0.39999999999999997</v>
      </c>
      <c r="G1005">
        <v>49.32</v>
      </c>
    </row>
    <row r="1006" spans="1:7" x14ac:dyDescent="0.25">
      <c r="A1006" t="s">
        <v>508</v>
      </c>
      <c r="B1006" t="str">
        <f>_xlfn.XLOOKUP(A1006,[1]Municipios!$B:$B,[1]Municipios!$C:$C)</f>
        <v>Norte</v>
      </c>
      <c r="C1006" t="str">
        <f>_xlfn.XLOOKUP(A1006,[1]Municipios!$B:$B,[1]Municipios!$D:$D)</f>
        <v>Vale Do Ivaí</v>
      </c>
      <c r="D1006">
        <v>2025</v>
      </c>
      <c r="E1006" t="s">
        <v>234</v>
      </c>
      <c r="F1006">
        <v>0.55549999999999999</v>
      </c>
      <c r="G1006">
        <v>49.32</v>
      </c>
    </row>
    <row r="1007" spans="1:7" x14ac:dyDescent="0.25">
      <c r="A1007" t="s">
        <v>508</v>
      </c>
      <c r="B1007" t="str">
        <f>_xlfn.XLOOKUP(A1007,[1]Municipios!$B:$B,[1]Municipios!$C:$C)</f>
        <v>Norte</v>
      </c>
      <c r="C1007" t="str">
        <f>_xlfn.XLOOKUP(A1007,[1]Municipios!$B:$B,[1]Municipios!$D:$D)</f>
        <v>Vale Do Ivaí</v>
      </c>
      <c r="D1007">
        <v>2025</v>
      </c>
      <c r="E1007" t="s">
        <v>235</v>
      </c>
      <c r="F1007">
        <v>0.71429999999999993</v>
      </c>
      <c r="G1007">
        <v>49.32</v>
      </c>
    </row>
    <row r="1008" spans="1:7" x14ac:dyDescent="0.25">
      <c r="A1008" t="s">
        <v>508</v>
      </c>
      <c r="B1008" t="str">
        <f>_xlfn.XLOOKUP(A1008,[1]Municipios!$B:$B,[1]Municipios!$C:$C)</f>
        <v>Norte</v>
      </c>
      <c r="C1008" t="str">
        <f>_xlfn.XLOOKUP(A1008,[1]Municipios!$B:$B,[1]Municipios!$D:$D)</f>
        <v>Vale Do Ivaí</v>
      </c>
      <c r="D1008">
        <v>2025</v>
      </c>
      <c r="E1008" t="s">
        <v>236</v>
      </c>
      <c r="F1008">
        <v>7.6999999999999999E-2</v>
      </c>
      <c r="G1008">
        <v>49.32</v>
      </c>
    </row>
    <row r="1009" spans="1:7" x14ac:dyDescent="0.25">
      <c r="A1009" t="s">
        <v>508</v>
      </c>
      <c r="B1009" t="str">
        <f>_xlfn.XLOOKUP(A1009,[1]Municipios!$B:$B,[1]Municipios!$C:$C)</f>
        <v>Norte</v>
      </c>
      <c r="C1009" t="str">
        <f>_xlfn.XLOOKUP(A1009,[1]Municipios!$B:$B,[1]Municipios!$D:$D)</f>
        <v>Vale Do Ivaí</v>
      </c>
      <c r="D1009">
        <v>2025</v>
      </c>
      <c r="E1009" t="s">
        <v>237</v>
      </c>
      <c r="F1009">
        <v>0</v>
      </c>
      <c r="G1009">
        <v>49.32</v>
      </c>
    </row>
    <row r="1010" spans="1:7" x14ac:dyDescent="0.25">
      <c r="A1010" t="s">
        <v>479</v>
      </c>
      <c r="B1010" t="str">
        <f>_xlfn.XLOOKUP(A1010,[1]Municipios!$B:$B,[1]Municipios!$C:$C)</f>
        <v>Noroeste</v>
      </c>
      <c r="C1010" t="str">
        <f>_xlfn.XLOOKUP(A1010,[1]Municipios!$B:$B,[1]Municipios!$D:$D)</f>
        <v>Centro Ocidental</v>
      </c>
      <c r="D1010">
        <v>2025</v>
      </c>
      <c r="E1010" t="s">
        <v>231</v>
      </c>
      <c r="F1010">
        <v>0.88890000000000002</v>
      </c>
      <c r="G1010">
        <v>82.76</v>
      </c>
    </row>
    <row r="1011" spans="1:7" x14ac:dyDescent="0.25">
      <c r="A1011" t="s">
        <v>479</v>
      </c>
      <c r="B1011" t="str">
        <f>_xlfn.XLOOKUP(A1011,[1]Municipios!$B:$B,[1]Municipios!$C:$C)</f>
        <v>Noroeste</v>
      </c>
      <c r="C1011" t="str">
        <f>_xlfn.XLOOKUP(A1011,[1]Municipios!$B:$B,[1]Municipios!$D:$D)</f>
        <v>Centro Ocidental</v>
      </c>
      <c r="D1011">
        <v>2025</v>
      </c>
      <c r="E1011" t="s">
        <v>232</v>
      </c>
      <c r="F1011">
        <v>0.84619999999999995</v>
      </c>
      <c r="G1011">
        <v>82.76</v>
      </c>
    </row>
    <row r="1012" spans="1:7" x14ac:dyDescent="0.25">
      <c r="A1012" t="s">
        <v>479</v>
      </c>
      <c r="B1012" t="str">
        <f>_xlfn.XLOOKUP(A1012,[1]Municipios!$B:$B,[1]Municipios!$C:$C)</f>
        <v>Noroeste</v>
      </c>
      <c r="C1012" t="str">
        <f>_xlfn.XLOOKUP(A1012,[1]Municipios!$B:$B,[1]Municipios!$D:$D)</f>
        <v>Centro Ocidental</v>
      </c>
      <c r="D1012">
        <v>2025</v>
      </c>
      <c r="E1012" t="s">
        <v>233</v>
      </c>
      <c r="F1012">
        <v>0.875</v>
      </c>
      <c r="G1012">
        <v>82.76</v>
      </c>
    </row>
    <row r="1013" spans="1:7" x14ac:dyDescent="0.25">
      <c r="A1013" t="s">
        <v>479</v>
      </c>
      <c r="B1013" t="str">
        <f>_xlfn.XLOOKUP(A1013,[1]Municipios!$B:$B,[1]Municipios!$C:$C)</f>
        <v>Noroeste</v>
      </c>
      <c r="C1013" t="str">
        <f>_xlfn.XLOOKUP(A1013,[1]Municipios!$B:$B,[1]Municipios!$D:$D)</f>
        <v>Centro Ocidental</v>
      </c>
      <c r="D1013">
        <v>2025</v>
      </c>
      <c r="E1013" t="s">
        <v>215</v>
      </c>
      <c r="F1013">
        <v>0.54999999999999993</v>
      </c>
      <c r="G1013">
        <v>82.76</v>
      </c>
    </row>
    <row r="1014" spans="1:7" x14ac:dyDescent="0.25">
      <c r="A1014" t="s">
        <v>479</v>
      </c>
      <c r="B1014" t="str">
        <f>_xlfn.XLOOKUP(A1014,[1]Municipios!$B:$B,[1]Municipios!$C:$C)</f>
        <v>Noroeste</v>
      </c>
      <c r="C1014" t="str">
        <f>_xlfn.XLOOKUP(A1014,[1]Municipios!$B:$B,[1]Municipios!$D:$D)</f>
        <v>Centro Ocidental</v>
      </c>
      <c r="D1014">
        <v>2025</v>
      </c>
      <c r="E1014" t="s">
        <v>234</v>
      </c>
      <c r="F1014">
        <v>0.88890000000000002</v>
      </c>
      <c r="G1014">
        <v>82.76</v>
      </c>
    </row>
    <row r="1015" spans="1:7" x14ac:dyDescent="0.25">
      <c r="A1015" t="s">
        <v>479</v>
      </c>
      <c r="B1015" t="str">
        <f>_xlfn.XLOOKUP(A1015,[1]Municipios!$B:$B,[1]Municipios!$C:$C)</f>
        <v>Noroeste</v>
      </c>
      <c r="C1015" t="str">
        <f>_xlfn.XLOOKUP(A1015,[1]Municipios!$B:$B,[1]Municipios!$D:$D)</f>
        <v>Centro Ocidental</v>
      </c>
      <c r="D1015">
        <v>2025</v>
      </c>
      <c r="E1015" t="s">
        <v>235</v>
      </c>
      <c r="F1015">
        <v>1</v>
      </c>
      <c r="G1015">
        <v>82.76</v>
      </c>
    </row>
    <row r="1016" spans="1:7" x14ac:dyDescent="0.25">
      <c r="A1016" t="s">
        <v>479</v>
      </c>
      <c r="B1016" t="str">
        <f>_xlfn.XLOOKUP(A1016,[1]Municipios!$B:$B,[1]Municipios!$C:$C)</f>
        <v>Noroeste</v>
      </c>
      <c r="C1016" t="str">
        <f>_xlfn.XLOOKUP(A1016,[1]Municipios!$B:$B,[1]Municipios!$D:$D)</f>
        <v>Centro Ocidental</v>
      </c>
      <c r="D1016">
        <v>2025</v>
      </c>
      <c r="E1016" t="s">
        <v>236</v>
      </c>
      <c r="F1016">
        <v>0.53859999999999997</v>
      </c>
      <c r="G1016">
        <v>82.76</v>
      </c>
    </row>
    <row r="1017" spans="1:7" x14ac:dyDescent="0.25">
      <c r="A1017" t="s">
        <v>479</v>
      </c>
      <c r="B1017" t="str">
        <f>_xlfn.XLOOKUP(A1017,[1]Municipios!$B:$B,[1]Municipios!$C:$C)</f>
        <v>Noroeste</v>
      </c>
      <c r="C1017" t="str">
        <f>_xlfn.XLOOKUP(A1017,[1]Municipios!$B:$B,[1]Municipios!$D:$D)</f>
        <v>Centro Ocidental</v>
      </c>
      <c r="D1017">
        <v>2025</v>
      </c>
      <c r="E1017" t="s">
        <v>237</v>
      </c>
      <c r="F1017">
        <v>1</v>
      </c>
      <c r="G1017">
        <v>82.76</v>
      </c>
    </row>
    <row r="1018" spans="1:7" x14ac:dyDescent="0.25">
      <c r="A1018" t="s">
        <v>524</v>
      </c>
      <c r="B1018" t="str">
        <f>_xlfn.XLOOKUP(A1018,[1]Municipios!$B:$B,[1]Municipios!$C:$C)</f>
        <v>Oeste</v>
      </c>
      <c r="C1018" t="str">
        <f>_xlfn.XLOOKUP(A1018,[1]Municipios!$B:$B,[1]Municipios!$D:$D)</f>
        <v>Cantuquiriguaçu</v>
      </c>
      <c r="D1018">
        <v>2025</v>
      </c>
      <c r="E1018" t="s">
        <v>231</v>
      </c>
      <c r="F1018">
        <v>0.11109999999999999</v>
      </c>
      <c r="G1018">
        <v>28.27</v>
      </c>
    </row>
    <row r="1019" spans="1:7" x14ac:dyDescent="0.25">
      <c r="A1019" t="s">
        <v>524</v>
      </c>
      <c r="B1019" t="str">
        <f>_xlfn.XLOOKUP(A1019,[1]Municipios!$B:$B,[1]Municipios!$C:$C)</f>
        <v>Oeste</v>
      </c>
      <c r="C1019" t="str">
        <f>_xlfn.XLOOKUP(A1019,[1]Municipios!$B:$B,[1]Municipios!$D:$D)</f>
        <v>Cantuquiriguaçu</v>
      </c>
      <c r="D1019">
        <v>2025</v>
      </c>
      <c r="E1019" t="s">
        <v>232</v>
      </c>
      <c r="F1019">
        <v>0.3846</v>
      </c>
      <c r="G1019">
        <v>28.27</v>
      </c>
    </row>
    <row r="1020" spans="1:7" x14ac:dyDescent="0.25">
      <c r="A1020" t="s">
        <v>524</v>
      </c>
      <c r="B1020" t="str">
        <f>_xlfn.XLOOKUP(A1020,[1]Municipios!$B:$B,[1]Municipios!$C:$C)</f>
        <v>Oeste</v>
      </c>
      <c r="C1020" t="str">
        <f>_xlfn.XLOOKUP(A1020,[1]Municipios!$B:$B,[1]Municipios!$D:$D)</f>
        <v>Cantuquiriguaçu</v>
      </c>
      <c r="D1020">
        <v>2025</v>
      </c>
      <c r="E1020" t="s">
        <v>233</v>
      </c>
      <c r="F1020">
        <v>0.5</v>
      </c>
      <c r="G1020">
        <v>28.27</v>
      </c>
    </row>
    <row r="1021" spans="1:7" x14ac:dyDescent="0.25">
      <c r="A1021" t="s">
        <v>524</v>
      </c>
      <c r="B1021" t="str">
        <f>_xlfn.XLOOKUP(A1021,[1]Municipios!$B:$B,[1]Municipios!$C:$C)</f>
        <v>Oeste</v>
      </c>
      <c r="C1021" t="str">
        <f>_xlfn.XLOOKUP(A1021,[1]Municipios!$B:$B,[1]Municipios!$D:$D)</f>
        <v>Cantuquiriguaçu</v>
      </c>
      <c r="D1021">
        <v>2025</v>
      </c>
      <c r="E1021" t="s">
        <v>215</v>
      </c>
      <c r="F1021">
        <v>9.9999999999999992E-2</v>
      </c>
      <c r="G1021">
        <v>28.27</v>
      </c>
    </row>
    <row r="1022" spans="1:7" x14ac:dyDescent="0.25">
      <c r="A1022" t="s">
        <v>524</v>
      </c>
      <c r="B1022" t="str">
        <f>_xlfn.XLOOKUP(A1022,[1]Municipios!$B:$B,[1]Municipios!$C:$C)</f>
        <v>Oeste</v>
      </c>
      <c r="C1022" t="str">
        <f>_xlfn.XLOOKUP(A1022,[1]Municipios!$B:$B,[1]Municipios!$D:$D)</f>
        <v>Cantuquiriguaçu</v>
      </c>
      <c r="D1022">
        <v>2025</v>
      </c>
      <c r="E1022" t="s">
        <v>234</v>
      </c>
      <c r="F1022">
        <v>0.55549999999999999</v>
      </c>
      <c r="G1022">
        <v>28.27</v>
      </c>
    </row>
    <row r="1023" spans="1:7" x14ac:dyDescent="0.25">
      <c r="A1023" t="s">
        <v>524</v>
      </c>
      <c r="B1023" t="str">
        <f>_xlfn.XLOOKUP(A1023,[1]Municipios!$B:$B,[1]Municipios!$C:$C)</f>
        <v>Oeste</v>
      </c>
      <c r="C1023" t="str">
        <f>_xlfn.XLOOKUP(A1023,[1]Municipios!$B:$B,[1]Municipios!$D:$D)</f>
        <v>Cantuquiriguaçu</v>
      </c>
      <c r="D1023">
        <v>2025</v>
      </c>
      <c r="E1023" t="s">
        <v>235</v>
      </c>
      <c r="F1023">
        <v>0.1429</v>
      </c>
      <c r="G1023">
        <v>28.27</v>
      </c>
    </row>
    <row r="1024" spans="1:7" x14ac:dyDescent="0.25">
      <c r="A1024" t="s">
        <v>524</v>
      </c>
      <c r="B1024" t="str">
        <f>_xlfn.XLOOKUP(A1024,[1]Municipios!$B:$B,[1]Municipios!$C:$C)</f>
        <v>Oeste</v>
      </c>
      <c r="C1024" t="str">
        <f>_xlfn.XLOOKUP(A1024,[1]Municipios!$B:$B,[1]Municipios!$D:$D)</f>
        <v>Cantuquiriguaçu</v>
      </c>
      <c r="D1024">
        <v>2025</v>
      </c>
      <c r="E1024" t="s">
        <v>236</v>
      </c>
      <c r="F1024">
        <v>0</v>
      </c>
      <c r="G1024">
        <v>28.27</v>
      </c>
    </row>
    <row r="1025" spans="1:7" x14ac:dyDescent="0.25">
      <c r="A1025" t="s">
        <v>524</v>
      </c>
      <c r="B1025" t="str">
        <f>_xlfn.XLOOKUP(A1025,[1]Municipios!$B:$B,[1]Municipios!$C:$C)</f>
        <v>Oeste</v>
      </c>
      <c r="C1025" t="str">
        <f>_xlfn.XLOOKUP(A1025,[1]Municipios!$B:$B,[1]Municipios!$D:$D)</f>
        <v>Cantuquiriguaçu</v>
      </c>
      <c r="D1025">
        <v>2025</v>
      </c>
      <c r="E1025" t="s">
        <v>237</v>
      </c>
      <c r="F1025">
        <v>0.5</v>
      </c>
      <c r="G1025">
        <v>28.27</v>
      </c>
    </row>
    <row r="1026" spans="1:7" x14ac:dyDescent="0.25">
      <c r="A1026" t="s">
        <v>509</v>
      </c>
      <c r="B1026" t="str">
        <f>_xlfn.XLOOKUP(A1026,[1]Municipios!$B:$B,[1]Municipios!$C:$C)</f>
        <v>Norte</v>
      </c>
      <c r="C1026" t="str">
        <f>_xlfn.XLOOKUP(A1026,[1]Municipios!$B:$B,[1]Municipios!$D:$D)</f>
        <v>Vale Do Ivaí</v>
      </c>
      <c r="D1026">
        <v>2025</v>
      </c>
      <c r="E1026" t="s">
        <v>231</v>
      </c>
      <c r="F1026">
        <v>0.33329999999999999</v>
      </c>
      <c r="G1026">
        <v>29.92</v>
      </c>
    </row>
    <row r="1027" spans="1:7" x14ac:dyDescent="0.25">
      <c r="A1027" t="s">
        <v>509</v>
      </c>
      <c r="B1027" t="str">
        <f>_xlfn.XLOOKUP(A1027,[1]Municipios!$B:$B,[1]Municipios!$C:$C)</f>
        <v>Norte</v>
      </c>
      <c r="C1027" t="str">
        <f>_xlfn.XLOOKUP(A1027,[1]Municipios!$B:$B,[1]Municipios!$D:$D)</f>
        <v>Vale Do Ivaí</v>
      </c>
      <c r="D1027">
        <v>2025</v>
      </c>
      <c r="E1027" t="s">
        <v>232</v>
      </c>
      <c r="F1027">
        <v>0.61539999999999995</v>
      </c>
      <c r="G1027">
        <v>29.92</v>
      </c>
    </row>
    <row r="1028" spans="1:7" x14ac:dyDescent="0.25">
      <c r="A1028" t="s">
        <v>509</v>
      </c>
      <c r="B1028" t="str">
        <f>_xlfn.XLOOKUP(A1028,[1]Municipios!$B:$B,[1]Municipios!$C:$C)</f>
        <v>Norte</v>
      </c>
      <c r="C1028" t="str">
        <f>_xlfn.XLOOKUP(A1028,[1]Municipios!$B:$B,[1]Municipios!$D:$D)</f>
        <v>Vale Do Ivaí</v>
      </c>
      <c r="D1028">
        <v>2025</v>
      </c>
      <c r="E1028" t="s">
        <v>233</v>
      </c>
      <c r="F1028">
        <v>0.375</v>
      </c>
      <c r="G1028">
        <v>29.92</v>
      </c>
    </row>
    <row r="1029" spans="1:7" x14ac:dyDescent="0.25">
      <c r="A1029" t="s">
        <v>509</v>
      </c>
      <c r="B1029" t="str">
        <f>_xlfn.XLOOKUP(A1029,[1]Municipios!$B:$B,[1]Municipios!$C:$C)</f>
        <v>Norte</v>
      </c>
      <c r="C1029" t="str">
        <f>_xlfn.XLOOKUP(A1029,[1]Municipios!$B:$B,[1]Municipios!$D:$D)</f>
        <v>Vale Do Ivaí</v>
      </c>
      <c r="D1029">
        <v>2025</v>
      </c>
      <c r="E1029" t="s">
        <v>215</v>
      </c>
      <c r="F1029">
        <v>0.39999999999999997</v>
      </c>
      <c r="G1029">
        <v>29.92</v>
      </c>
    </row>
    <row r="1030" spans="1:7" x14ac:dyDescent="0.25">
      <c r="A1030" t="s">
        <v>509</v>
      </c>
      <c r="B1030" t="str">
        <f>_xlfn.XLOOKUP(A1030,[1]Municipios!$B:$B,[1]Municipios!$C:$C)</f>
        <v>Norte</v>
      </c>
      <c r="C1030" t="str">
        <f>_xlfn.XLOOKUP(A1030,[1]Municipios!$B:$B,[1]Municipios!$D:$D)</f>
        <v>Vale Do Ivaí</v>
      </c>
      <c r="D1030">
        <v>2025</v>
      </c>
      <c r="E1030" t="s">
        <v>234</v>
      </c>
      <c r="F1030">
        <v>0.44440000000000002</v>
      </c>
      <c r="G1030">
        <v>29.92</v>
      </c>
    </row>
    <row r="1031" spans="1:7" x14ac:dyDescent="0.25">
      <c r="A1031" t="s">
        <v>509</v>
      </c>
      <c r="B1031" t="str">
        <f>_xlfn.XLOOKUP(A1031,[1]Municipios!$B:$B,[1]Municipios!$C:$C)</f>
        <v>Norte</v>
      </c>
      <c r="C1031" t="str">
        <f>_xlfn.XLOOKUP(A1031,[1]Municipios!$B:$B,[1]Municipios!$D:$D)</f>
        <v>Vale Do Ivaí</v>
      </c>
      <c r="D1031">
        <v>2025</v>
      </c>
      <c r="E1031" t="s">
        <v>235</v>
      </c>
      <c r="F1031">
        <v>0</v>
      </c>
      <c r="G1031">
        <v>29.92</v>
      </c>
    </row>
    <row r="1032" spans="1:7" x14ac:dyDescent="0.25">
      <c r="A1032" t="s">
        <v>509</v>
      </c>
      <c r="B1032" t="str">
        <f>_xlfn.XLOOKUP(A1032,[1]Municipios!$B:$B,[1]Municipios!$C:$C)</f>
        <v>Norte</v>
      </c>
      <c r="C1032" t="str">
        <f>_xlfn.XLOOKUP(A1032,[1]Municipios!$B:$B,[1]Municipios!$D:$D)</f>
        <v>Vale Do Ivaí</v>
      </c>
      <c r="D1032">
        <v>2025</v>
      </c>
      <c r="E1032" t="s">
        <v>236</v>
      </c>
      <c r="F1032">
        <v>0.15379999999999999</v>
      </c>
      <c r="G1032">
        <v>29.92</v>
      </c>
    </row>
    <row r="1033" spans="1:7" x14ac:dyDescent="0.25">
      <c r="A1033" t="s">
        <v>509</v>
      </c>
      <c r="B1033" t="str">
        <f>_xlfn.XLOOKUP(A1033,[1]Municipios!$B:$B,[1]Municipios!$C:$C)</f>
        <v>Norte</v>
      </c>
      <c r="C1033" t="str">
        <f>_xlfn.XLOOKUP(A1033,[1]Municipios!$B:$B,[1]Municipios!$D:$D)</f>
        <v>Vale Do Ivaí</v>
      </c>
      <c r="D1033">
        <v>2025</v>
      </c>
      <c r="E1033" t="s">
        <v>237</v>
      </c>
      <c r="F1033">
        <v>0</v>
      </c>
      <c r="G1033">
        <v>29.92</v>
      </c>
    </row>
    <row r="1034" spans="1:7" x14ac:dyDescent="0.25">
      <c r="A1034" t="s">
        <v>442</v>
      </c>
      <c r="B1034" t="str">
        <f>_xlfn.XLOOKUP(A1034,[1]Municipios!$B:$B,[1]Municipios!$C:$C)</f>
        <v>Oeste</v>
      </c>
      <c r="C1034" t="str">
        <f>_xlfn.XLOOKUP(A1034,[1]Municipios!$B:$B,[1]Municipios!$D:$D)</f>
        <v>Oeste Integrado</v>
      </c>
      <c r="D1034">
        <v>2025</v>
      </c>
      <c r="E1034" t="s">
        <v>231</v>
      </c>
      <c r="F1034">
        <v>0.88890000000000002</v>
      </c>
      <c r="G1034">
        <v>76.44</v>
      </c>
    </row>
    <row r="1035" spans="1:7" x14ac:dyDescent="0.25">
      <c r="A1035" t="s">
        <v>442</v>
      </c>
      <c r="B1035" t="str">
        <f>_xlfn.XLOOKUP(A1035,[1]Municipios!$B:$B,[1]Municipios!$C:$C)</f>
        <v>Oeste</v>
      </c>
      <c r="C1035" t="str">
        <f>_xlfn.XLOOKUP(A1035,[1]Municipios!$B:$B,[1]Municipios!$D:$D)</f>
        <v>Oeste Integrado</v>
      </c>
      <c r="D1035">
        <v>2025</v>
      </c>
      <c r="E1035" t="s">
        <v>232</v>
      </c>
      <c r="F1035">
        <v>0.84619999999999995</v>
      </c>
      <c r="G1035">
        <v>76.44</v>
      </c>
    </row>
    <row r="1036" spans="1:7" x14ac:dyDescent="0.25">
      <c r="A1036" t="s">
        <v>442</v>
      </c>
      <c r="B1036" t="str">
        <f>_xlfn.XLOOKUP(A1036,[1]Municipios!$B:$B,[1]Municipios!$C:$C)</f>
        <v>Oeste</v>
      </c>
      <c r="C1036" t="str">
        <f>_xlfn.XLOOKUP(A1036,[1]Municipios!$B:$B,[1]Municipios!$D:$D)</f>
        <v>Oeste Integrado</v>
      </c>
      <c r="D1036">
        <v>2025</v>
      </c>
      <c r="E1036" t="s">
        <v>233</v>
      </c>
      <c r="F1036">
        <v>0.875</v>
      </c>
      <c r="G1036">
        <v>76.44</v>
      </c>
    </row>
    <row r="1037" spans="1:7" x14ac:dyDescent="0.25">
      <c r="A1037" t="s">
        <v>442</v>
      </c>
      <c r="B1037" t="str">
        <f>_xlfn.XLOOKUP(A1037,[1]Municipios!$B:$B,[1]Municipios!$C:$C)</f>
        <v>Oeste</v>
      </c>
      <c r="C1037" t="str">
        <f>_xlfn.XLOOKUP(A1037,[1]Municipios!$B:$B,[1]Municipios!$D:$D)</f>
        <v>Oeste Integrado</v>
      </c>
      <c r="D1037">
        <v>2025</v>
      </c>
      <c r="E1037" t="s">
        <v>215</v>
      </c>
      <c r="F1037">
        <v>0.65</v>
      </c>
      <c r="G1037">
        <v>76.44</v>
      </c>
    </row>
    <row r="1038" spans="1:7" x14ac:dyDescent="0.25">
      <c r="A1038" t="s">
        <v>442</v>
      </c>
      <c r="B1038" t="str">
        <f>_xlfn.XLOOKUP(A1038,[1]Municipios!$B:$B,[1]Municipios!$C:$C)</f>
        <v>Oeste</v>
      </c>
      <c r="C1038" t="str">
        <f>_xlfn.XLOOKUP(A1038,[1]Municipios!$B:$B,[1]Municipios!$D:$D)</f>
        <v>Oeste Integrado</v>
      </c>
      <c r="D1038">
        <v>2025</v>
      </c>
      <c r="E1038" t="s">
        <v>234</v>
      </c>
      <c r="F1038">
        <v>0.55549999999999999</v>
      </c>
      <c r="G1038">
        <v>76.44</v>
      </c>
    </row>
    <row r="1039" spans="1:7" x14ac:dyDescent="0.25">
      <c r="A1039" t="s">
        <v>442</v>
      </c>
      <c r="B1039" t="str">
        <f>_xlfn.XLOOKUP(A1039,[1]Municipios!$B:$B,[1]Municipios!$C:$C)</f>
        <v>Oeste</v>
      </c>
      <c r="C1039" t="str">
        <f>_xlfn.XLOOKUP(A1039,[1]Municipios!$B:$B,[1]Municipios!$D:$D)</f>
        <v>Oeste Integrado</v>
      </c>
      <c r="D1039">
        <v>2025</v>
      </c>
      <c r="E1039" t="s">
        <v>235</v>
      </c>
      <c r="F1039">
        <v>1</v>
      </c>
      <c r="G1039">
        <v>76.44</v>
      </c>
    </row>
    <row r="1040" spans="1:7" x14ac:dyDescent="0.25">
      <c r="A1040" t="s">
        <v>442</v>
      </c>
      <c r="B1040" t="str">
        <f>_xlfn.XLOOKUP(A1040,[1]Municipios!$B:$B,[1]Municipios!$C:$C)</f>
        <v>Oeste</v>
      </c>
      <c r="C1040" t="str">
        <f>_xlfn.XLOOKUP(A1040,[1]Municipios!$B:$B,[1]Municipios!$D:$D)</f>
        <v>Oeste Integrado</v>
      </c>
      <c r="D1040">
        <v>2025</v>
      </c>
      <c r="E1040" t="s">
        <v>236</v>
      </c>
      <c r="F1040">
        <v>0.38480000000000003</v>
      </c>
      <c r="G1040">
        <v>76.44</v>
      </c>
    </row>
    <row r="1041" spans="1:7" x14ac:dyDescent="0.25">
      <c r="A1041" t="s">
        <v>442</v>
      </c>
      <c r="B1041" t="str">
        <f>_xlfn.XLOOKUP(A1041,[1]Municipios!$B:$B,[1]Municipios!$C:$C)</f>
        <v>Oeste</v>
      </c>
      <c r="C1041" t="str">
        <f>_xlfn.XLOOKUP(A1041,[1]Municipios!$B:$B,[1]Municipios!$D:$D)</f>
        <v>Oeste Integrado</v>
      </c>
      <c r="D1041">
        <v>2025</v>
      </c>
      <c r="E1041" t="s">
        <v>237</v>
      </c>
      <c r="F1041">
        <v>1</v>
      </c>
      <c r="G1041">
        <v>76.44</v>
      </c>
    </row>
    <row r="1042" spans="1:7" x14ac:dyDescent="0.25">
      <c r="A1042" t="s">
        <v>556</v>
      </c>
      <c r="B1042" t="str">
        <f>_xlfn.XLOOKUP(A1042,[1]Municipios!$B:$B,[1]Municipios!$C:$C)</f>
        <v>Noroeste</v>
      </c>
      <c r="C1042" t="str">
        <f>_xlfn.XLOOKUP(A1042,[1]Municipios!$B:$B,[1]Municipios!$D:$D)</f>
        <v>Costa Noroeste</v>
      </c>
      <c r="D1042">
        <v>2025</v>
      </c>
      <c r="E1042" t="s">
        <v>231</v>
      </c>
      <c r="F1042">
        <v>0.22219999999999998</v>
      </c>
      <c r="G1042">
        <v>0</v>
      </c>
    </row>
    <row r="1043" spans="1:7" x14ac:dyDescent="0.25">
      <c r="A1043" t="s">
        <v>556</v>
      </c>
      <c r="B1043" t="str">
        <f>_xlfn.XLOOKUP(A1043,[1]Municipios!$B:$B,[1]Municipios!$C:$C)</f>
        <v>Noroeste</v>
      </c>
      <c r="C1043" t="str">
        <f>_xlfn.XLOOKUP(A1043,[1]Municipios!$B:$B,[1]Municipios!$D:$D)</f>
        <v>Costa Noroeste</v>
      </c>
      <c r="D1043">
        <v>2025</v>
      </c>
      <c r="E1043" t="s">
        <v>232</v>
      </c>
      <c r="F1043">
        <v>0.15379999999999999</v>
      </c>
      <c r="G1043">
        <v>0</v>
      </c>
    </row>
    <row r="1044" spans="1:7" x14ac:dyDescent="0.25">
      <c r="A1044" t="s">
        <v>556</v>
      </c>
      <c r="B1044" t="str">
        <f>_xlfn.XLOOKUP(A1044,[1]Municipios!$B:$B,[1]Municipios!$C:$C)</f>
        <v>Noroeste</v>
      </c>
      <c r="C1044" t="str">
        <f>_xlfn.XLOOKUP(A1044,[1]Municipios!$B:$B,[1]Municipios!$D:$D)</f>
        <v>Costa Noroeste</v>
      </c>
      <c r="D1044">
        <v>2025</v>
      </c>
      <c r="E1044" t="s">
        <v>233</v>
      </c>
      <c r="F1044">
        <v>0.125</v>
      </c>
      <c r="G1044">
        <v>0</v>
      </c>
    </row>
    <row r="1045" spans="1:7" x14ac:dyDescent="0.25">
      <c r="A1045" t="s">
        <v>556</v>
      </c>
      <c r="B1045" t="str">
        <f>_xlfn.XLOOKUP(A1045,[1]Municipios!$B:$B,[1]Municipios!$C:$C)</f>
        <v>Noroeste</v>
      </c>
      <c r="C1045" t="str">
        <f>_xlfn.XLOOKUP(A1045,[1]Municipios!$B:$B,[1]Municipios!$D:$D)</f>
        <v>Costa Noroeste</v>
      </c>
      <c r="D1045">
        <v>2025</v>
      </c>
      <c r="E1045" t="s">
        <v>215</v>
      </c>
      <c r="F1045">
        <v>0</v>
      </c>
      <c r="G1045">
        <v>0</v>
      </c>
    </row>
    <row r="1046" spans="1:7" x14ac:dyDescent="0.25">
      <c r="A1046" t="s">
        <v>556</v>
      </c>
      <c r="B1046" t="str">
        <f>_xlfn.XLOOKUP(A1046,[1]Municipios!$B:$B,[1]Municipios!$C:$C)</f>
        <v>Noroeste</v>
      </c>
      <c r="C1046" t="str">
        <f>_xlfn.XLOOKUP(A1046,[1]Municipios!$B:$B,[1]Municipios!$D:$D)</f>
        <v>Costa Noroeste</v>
      </c>
      <c r="D1046">
        <v>2025</v>
      </c>
      <c r="E1046" t="s">
        <v>234</v>
      </c>
      <c r="F1046">
        <v>0</v>
      </c>
      <c r="G1046">
        <v>0</v>
      </c>
    </row>
    <row r="1047" spans="1:7" x14ac:dyDescent="0.25">
      <c r="A1047" t="s">
        <v>556</v>
      </c>
      <c r="B1047" t="str">
        <f>_xlfn.XLOOKUP(A1047,[1]Municipios!$B:$B,[1]Municipios!$C:$C)</f>
        <v>Noroeste</v>
      </c>
      <c r="C1047" t="str">
        <f>_xlfn.XLOOKUP(A1047,[1]Municipios!$B:$B,[1]Municipios!$D:$D)</f>
        <v>Costa Noroeste</v>
      </c>
      <c r="D1047">
        <v>2025</v>
      </c>
      <c r="E1047" t="s">
        <v>235</v>
      </c>
      <c r="F1047">
        <v>0</v>
      </c>
      <c r="G1047">
        <v>0</v>
      </c>
    </row>
    <row r="1048" spans="1:7" x14ac:dyDescent="0.25">
      <c r="A1048" t="s">
        <v>556</v>
      </c>
      <c r="B1048" t="str">
        <f>_xlfn.XLOOKUP(A1048,[1]Municipios!$B:$B,[1]Municipios!$C:$C)</f>
        <v>Noroeste</v>
      </c>
      <c r="C1048" t="str">
        <f>_xlfn.XLOOKUP(A1048,[1]Municipios!$B:$B,[1]Municipios!$D:$D)</f>
        <v>Costa Noroeste</v>
      </c>
      <c r="D1048">
        <v>2025</v>
      </c>
      <c r="E1048" t="s">
        <v>236</v>
      </c>
      <c r="F1048">
        <v>0</v>
      </c>
      <c r="G1048">
        <v>0</v>
      </c>
    </row>
    <row r="1049" spans="1:7" x14ac:dyDescent="0.25">
      <c r="A1049" t="s">
        <v>556</v>
      </c>
      <c r="B1049" t="str">
        <f>_xlfn.XLOOKUP(A1049,[1]Municipios!$B:$B,[1]Municipios!$C:$C)</f>
        <v>Noroeste</v>
      </c>
      <c r="C1049" t="str">
        <f>_xlfn.XLOOKUP(A1049,[1]Municipios!$B:$B,[1]Municipios!$D:$D)</f>
        <v>Costa Noroeste</v>
      </c>
      <c r="D1049">
        <v>2025</v>
      </c>
      <c r="E1049" t="s">
        <v>237</v>
      </c>
      <c r="F1049">
        <v>0</v>
      </c>
      <c r="G1049">
        <v>0</v>
      </c>
    </row>
    <row r="1050" spans="1:7" x14ac:dyDescent="0.25">
      <c r="A1050" t="s">
        <v>557</v>
      </c>
      <c r="B1050" t="str">
        <f>_xlfn.XLOOKUP(A1050,[1]Municipios!$B:$B,[1]Municipios!$C:$C)</f>
        <v>Centro</v>
      </c>
      <c r="C1050" t="str">
        <f>_xlfn.XLOOKUP(A1050,[1]Municipios!$B:$B,[1]Municipios!$D:$D)</f>
        <v>Vale Dos Pinheirais</v>
      </c>
      <c r="D1050">
        <v>2025</v>
      </c>
      <c r="E1050" t="s">
        <v>231</v>
      </c>
      <c r="F1050">
        <v>0.11109999999999999</v>
      </c>
      <c r="G1050">
        <v>31.69</v>
      </c>
    </row>
    <row r="1051" spans="1:7" x14ac:dyDescent="0.25">
      <c r="A1051" t="s">
        <v>557</v>
      </c>
      <c r="B1051" t="str">
        <f>_xlfn.XLOOKUP(A1051,[1]Municipios!$B:$B,[1]Municipios!$C:$C)</f>
        <v>Centro</v>
      </c>
      <c r="C1051" t="str">
        <f>_xlfn.XLOOKUP(A1051,[1]Municipios!$B:$B,[1]Municipios!$D:$D)</f>
        <v>Vale Dos Pinheirais</v>
      </c>
      <c r="D1051">
        <v>2025</v>
      </c>
      <c r="E1051" t="s">
        <v>232</v>
      </c>
      <c r="F1051">
        <v>0.53839999999999999</v>
      </c>
      <c r="G1051">
        <v>31.69</v>
      </c>
    </row>
    <row r="1052" spans="1:7" x14ac:dyDescent="0.25">
      <c r="A1052" t="s">
        <v>557</v>
      </c>
      <c r="B1052" t="str">
        <f>_xlfn.XLOOKUP(A1052,[1]Municipios!$B:$B,[1]Municipios!$C:$C)</f>
        <v>Centro</v>
      </c>
      <c r="C1052" t="str">
        <f>_xlfn.XLOOKUP(A1052,[1]Municipios!$B:$B,[1]Municipios!$D:$D)</f>
        <v>Vale Dos Pinheirais</v>
      </c>
      <c r="D1052">
        <v>2025</v>
      </c>
      <c r="E1052" t="s">
        <v>233</v>
      </c>
      <c r="F1052">
        <v>0.75</v>
      </c>
      <c r="G1052">
        <v>31.69</v>
      </c>
    </row>
    <row r="1053" spans="1:7" x14ac:dyDescent="0.25">
      <c r="A1053" t="s">
        <v>557</v>
      </c>
      <c r="B1053" t="str">
        <f>_xlfn.XLOOKUP(A1053,[1]Municipios!$B:$B,[1]Municipios!$C:$C)</f>
        <v>Centro</v>
      </c>
      <c r="C1053" t="str">
        <f>_xlfn.XLOOKUP(A1053,[1]Municipios!$B:$B,[1]Municipios!$D:$D)</f>
        <v>Vale Dos Pinheirais</v>
      </c>
      <c r="D1053">
        <v>2025</v>
      </c>
      <c r="E1053" t="s">
        <v>215</v>
      </c>
      <c r="F1053">
        <v>9.9999999999999992E-2</v>
      </c>
      <c r="G1053">
        <v>31.69</v>
      </c>
    </row>
    <row r="1054" spans="1:7" x14ac:dyDescent="0.25">
      <c r="A1054" t="s">
        <v>557</v>
      </c>
      <c r="B1054" t="str">
        <f>_xlfn.XLOOKUP(A1054,[1]Municipios!$B:$B,[1]Municipios!$C:$C)</f>
        <v>Centro</v>
      </c>
      <c r="C1054" t="str">
        <f>_xlfn.XLOOKUP(A1054,[1]Municipios!$B:$B,[1]Municipios!$D:$D)</f>
        <v>Vale Dos Pinheirais</v>
      </c>
      <c r="D1054">
        <v>2025</v>
      </c>
      <c r="E1054" t="s">
        <v>234</v>
      </c>
      <c r="F1054">
        <v>0.55549999999999999</v>
      </c>
      <c r="G1054">
        <v>31.69</v>
      </c>
    </row>
    <row r="1055" spans="1:7" x14ac:dyDescent="0.25">
      <c r="A1055" t="s">
        <v>557</v>
      </c>
      <c r="B1055" t="str">
        <f>_xlfn.XLOOKUP(A1055,[1]Municipios!$B:$B,[1]Municipios!$C:$C)</f>
        <v>Centro</v>
      </c>
      <c r="C1055" t="str">
        <f>_xlfn.XLOOKUP(A1055,[1]Municipios!$B:$B,[1]Municipios!$D:$D)</f>
        <v>Vale Dos Pinheirais</v>
      </c>
      <c r="D1055">
        <v>2025</v>
      </c>
      <c r="E1055" t="s">
        <v>235</v>
      </c>
      <c r="F1055">
        <v>0.42849999999999999</v>
      </c>
      <c r="G1055">
        <v>31.69</v>
      </c>
    </row>
    <row r="1056" spans="1:7" x14ac:dyDescent="0.25">
      <c r="A1056" t="s">
        <v>557</v>
      </c>
      <c r="B1056" t="str">
        <f>_xlfn.XLOOKUP(A1056,[1]Municipios!$B:$B,[1]Municipios!$C:$C)</f>
        <v>Centro</v>
      </c>
      <c r="C1056" t="str">
        <f>_xlfn.XLOOKUP(A1056,[1]Municipios!$B:$B,[1]Municipios!$D:$D)</f>
        <v>Vale Dos Pinheirais</v>
      </c>
      <c r="D1056">
        <v>2025</v>
      </c>
      <c r="E1056" t="s">
        <v>236</v>
      </c>
      <c r="F1056">
        <v>7.690000000000001E-2</v>
      </c>
      <c r="G1056">
        <v>31.69</v>
      </c>
    </row>
    <row r="1057" spans="1:7" x14ac:dyDescent="0.25">
      <c r="A1057" t="s">
        <v>557</v>
      </c>
      <c r="B1057" t="str">
        <f>_xlfn.XLOOKUP(A1057,[1]Municipios!$B:$B,[1]Municipios!$C:$C)</f>
        <v>Centro</v>
      </c>
      <c r="C1057" t="str">
        <f>_xlfn.XLOOKUP(A1057,[1]Municipios!$B:$B,[1]Municipios!$D:$D)</f>
        <v>Vale Dos Pinheirais</v>
      </c>
      <c r="D1057">
        <v>2025</v>
      </c>
      <c r="E1057" t="s">
        <v>237</v>
      </c>
      <c r="F1057">
        <v>0</v>
      </c>
      <c r="G1057">
        <v>31.69</v>
      </c>
    </row>
    <row r="1058" spans="1:7" x14ac:dyDescent="0.25">
      <c r="A1058" t="s">
        <v>343</v>
      </c>
      <c r="B1058" t="str">
        <f>_xlfn.XLOOKUP(A1058,[1]Municipios!$B:$B,[1]Municipios!$C:$C)</f>
        <v>Norte</v>
      </c>
      <c r="C1058" t="str">
        <f>_xlfn.XLOOKUP(A1058,[1]Municipios!$B:$B,[1]Municipios!$D:$D)</f>
        <v>Norte Pioneiro</v>
      </c>
      <c r="D1058">
        <v>2025</v>
      </c>
      <c r="E1058" t="s">
        <v>231</v>
      </c>
      <c r="F1058">
        <v>0.66669999999999996</v>
      </c>
      <c r="G1058">
        <v>81.790000000000006</v>
      </c>
    </row>
    <row r="1059" spans="1:7" x14ac:dyDescent="0.25">
      <c r="A1059" t="s">
        <v>343</v>
      </c>
      <c r="B1059" t="str">
        <f>_xlfn.XLOOKUP(A1059,[1]Municipios!$B:$B,[1]Municipios!$C:$C)</f>
        <v>Norte</v>
      </c>
      <c r="C1059" t="str">
        <f>_xlfn.XLOOKUP(A1059,[1]Municipios!$B:$B,[1]Municipios!$D:$D)</f>
        <v>Norte Pioneiro</v>
      </c>
      <c r="D1059">
        <v>2025</v>
      </c>
      <c r="E1059" t="s">
        <v>232</v>
      </c>
      <c r="F1059">
        <v>1</v>
      </c>
      <c r="G1059">
        <v>81.790000000000006</v>
      </c>
    </row>
    <row r="1060" spans="1:7" x14ac:dyDescent="0.25">
      <c r="A1060" t="s">
        <v>343</v>
      </c>
      <c r="B1060" t="str">
        <f>_xlfn.XLOOKUP(A1060,[1]Municipios!$B:$B,[1]Municipios!$C:$C)</f>
        <v>Norte</v>
      </c>
      <c r="C1060" t="str">
        <f>_xlfn.XLOOKUP(A1060,[1]Municipios!$B:$B,[1]Municipios!$D:$D)</f>
        <v>Norte Pioneiro</v>
      </c>
      <c r="D1060">
        <v>2025</v>
      </c>
      <c r="E1060" t="s">
        <v>233</v>
      </c>
      <c r="F1060">
        <v>0.75</v>
      </c>
      <c r="G1060">
        <v>81.790000000000006</v>
      </c>
    </row>
    <row r="1061" spans="1:7" x14ac:dyDescent="0.25">
      <c r="A1061" t="s">
        <v>343</v>
      </c>
      <c r="B1061" t="str">
        <f>_xlfn.XLOOKUP(A1061,[1]Municipios!$B:$B,[1]Municipios!$C:$C)</f>
        <v>Norte</v>
      </c>
      <c r="C1061" t="str">
        <f>_xlfn.XLOOKUP(A1061,[1]Municipios!$B:$B,[1]Municipios!$D:$D)</f>
        <v>Norte Pioneiro</v>
      </c>
      <c r="D1061">
        <v>2025</v>
      </c>
      <c r="E1061" t="s">
        <v>215</v>
      </c>
      <c r="F1061">
        <v>0.85</v>
      </c>
      <c r="G1061">
        <v>81.790000000000006</v>
      </c>
    </row>
    <row r="1062" spans="1:7" x14ac:dyDescent="0.25">
      <c r="A1062" t="s">
        <v>343</v>
      </c>
      <c r="B1062" t="str">
        <f>_xlfn.XLOOKUP(A1062,[1]Municipios!$B:$B,[1]Municipios!$C:$C)</f>
        <v>Norte</v>
      </c>
      <c r="C1062" t="str">
        <f>_xlfn.XLOOKUP(A1062,[1]Municipios!$B:$B,[1]Municipios!$D:$D)</f>
        <v>Norte Pioneiro</v>
      </c>
      <c r="D1062">
        <v>2025</v>
      </c>
      <c r="E1062" t="s">
        <v>234</v>
      </c>
      <c r="F1062">
        <v>0.77780000000000005</v>
      </c>
      <c r="G1062">
        <v>81.790000000000006</v>
      </c>
    </row>
    <row r="1063" spans="1:7" x14ac:dyDescent="0.25">
      <c r="A1063" t="s">
        <v>343</v>
      </c>
      <c r="B1063" t="str">
        <f>_xlfn.XLOOKUP(A1063,[1]Municipios!$B:$B,[1]Municipios!$C:$C)</f>
        <v>Norte</v>
      </c>
      <c r="C1063" t="str">
        <f>_xlfn.XLOOKUP(A1063,[1]Municipios!$B:$B,[1]Municipios!$D:$D)</f>
        <v>Norte Pioneiro</v>
      </c>
      <c r="D1063">
        <v>2025</v>
      </c>
      <c r="E1063" t="s">
        <v>235</v>
      </c>
      <c r="F1063">
        <v>1</v>
      </c>
      <c r="G1063">
        <v>81.790000000000006</v>
      </c>
    </row>
    <row r="1064" spans="1:7" x14ac:dyDescent="0.25">
      <c r="A1064" t="s">
        <v>343</v>
      </c>
      <c r="B1064" t="str">
        <f>_xlfn.XLOOKUP(A1064,[1]Municipios!$B:$B,[1]Municipios!$C:$C)</f>
        <v>Norte</v>
      </c>
      <c r="C1064" t="str">
        <f>_xlfn.XLOOKUP(A1064,[1]Municipios!$B:$B,[1]Municipios!$D:$D)</f>
        <v>Norte Pioneiro</v>
      </c>
      <c r="D1064">
        <v>2025</v>
      </c>
      <c r="E1064" t="s">
        <v>236</v>
      </c>
      <c r="F1064">
        <v>0.3846</v>
      </c>
      <c r="G1064">
        <v>81.790000000000006</v>
      </c>
    </row>
    <row r="1065" spans="1:7" x14ac:dyDescent="0.25">
      <c r="A1065" t="s">
        <v>343</v>
      </c>
      <c r="B1065" t="str">
        <f>_xlfn.XLOOKUP(A1065,[1]Municipios!$B:$B,[1]Municipios!$C:$C)</f>
        <v>Norte</v>
      </c>
      <c r="C1065" t="str">
        <f>_xlfn.XLOOKUP(A1065,[1]Municipios!$B:$B,[1]Municipios!$D:$D)</f>
        <v>Norte Pioneiro</v>
      </c>
      <c r="D1065">
        <v>2025</v>
      </c>
      <c r="E1065" t="s">
        <v>237</v>
      </c>
      <c r="F1065">
        <v>1</v>
      </c>
      <c r="G1065">
        <v>81.790000000000006</v>
      </c>
    </row>
    <row r="1066" spans="1:7" x14ac:dyDescent="0.25">
      <c r="A1066" t="s">
        <v>558</v>
      </c>
      <c r="B1066" t="str">
        <f>_xlfn.XLOOKUP(A1066,[1]Municipios!$B:$B,[1]Municipios!$C:$C)</f>
        <v>Noroeste</v>
      </c>
      <c r="C1066" t="str">
        <f>_xlfn.XLOOKUP(A1066,[1]Municipios!$B:$B,[1]Municipios!$D:$D)</f>
        <v>Médio Noroeste</v>
      </c>
      <c r="D1066">
        <v>2025</v>
      </c>
      <c r="E1066" t="s">
        <v>231</v>
      </c>
      <c r="F1066">
        <v>0.33329999999999999</v>
      </c>
      <c r="G1066">
        <v>33.590000000000003</v>
      </c>
    </row>
    <row r="1067" spans="1:7" x14ac:dyDescent="0.25">
      <c r="A1067" t="s">
        <v>558</v>
      </c>
      <c r="B1067" t="str">
        <f>_xlfn.XLOOKUP(A1067,[1]Municipios!$B:$B,[1]Municipios!$C:$C)</f>
        <v>Noroeste</v>
      </c>
      <c r="C1067" t="str">
        <f>_xlfn.XLOOKUP(A1067,[1]Municipios!$B:$B,[1]Municipios!$D:$D)</f>
        <v>Médio Noroeste</v>
      </c>
      <c r="D1067">
        <v>2025</v>
      </c>
      <c r="E1067" t="s">
        <v>232</v>
      </c>
      <c r="F1067">
        <v>0.69230000000000003</v>
      </c>
      <c r="G1067">
        <v>33.590000000000003</v>
      </c>
    </row>
    <row r="1068" spans="1:7" x14ac:dyDescent="0.25">
      <c r="A1068" t="s">
        <v>558</v>
      </c>
      <c r="B1068" t="str">
        <f>_xlfn.XLOOKUP(A1068,[1]Municipios!$B:$B,[1]Municipios!$C:$C)</f>
        <v>Noroeste</v>
      </c>
      <c r="C1068" t="str">
        <f>_xlfn.XLOOKUP(A1068,[1]Municipios!$B:$B,[1]Municipios!$D:$D)</f>
        <v>Médio Noroeste</v>
      </c>
      <c r="D1068">
        <v>2025</v>
      </c>
      <c r="E1068" t="s">
        <v>233</v>
      </c>
      <c r="F1068">
        <v>0.375</v>
      </c>
      <c r="G1068">
        <v>33.590000000000003</v>
      </c>
    </row>
    <row r="1069" spans="1:7" x14ac:dyDescent="0.25">
      <c r="A1069" t="s">
        <v>558</v>
      </c>
      <c r="B1069" t="str">
        <f>_xlfn.XLOOKUP(A1069,[1]Municipios!$B:$B,[1]Municipios!$C:$C)</f>
        <v>Noroeste</v>
      </c>
      <c r="C1069" t="str">
        <f>_xlfn.XLOOKUP(A1069,[1]Municipios!$B:$B,[1]Municipios!$D:$D)</f>
        <v>Médio Noroeste</v>
      </c>
      <c r="D1069">
        <v>2025</v>
      </c>
      <c r="E1069" t="s">
        <v>215</v>
      </c>
      <c r="F1069">
        <v>0.6</v>
      </c>
      <c r="G1069">
        <v>33.590000000000003</v>
      </c>
    </row>
    <row r="1070" spans="1:7" x14ac:dyDescent="0.25">
      <c r="A1070" t="s">
        <v>558</v>
      </c>
      <c r="B1070" t="str">
        <f>_xlfn.XLOOKUP(A1070,[1]Municipios!$B:$B,[1]Municipios!$C:$C)</f>
        <v>Noroeste</v>
      </c>
      <c r="C1070" t="str">
        <f>_xlfn.XLOOKUP(A1070,[1]Municipios!$B:$B,[1]Municipios!$D:$D)</f>
        <v>Médio Noroeste</v>
      </c>
      <c r="D1070">
        <v>2025</v>
      </c>
      <c r="E1070" t="s">
        <v>234</v>
      </c>
      <c r="F1070">
        <v>0.55549999999999999</v>
      </c>
      <c r="G1070">
        <v>33.590000000000003</v>
      </c>
    </row>
    <row r="1071" spans="1:7" x14ac:dyDescent="0.25">
      <c r="A1071" t="s">
        <v>558</v>
      </c>
      <c r="B1071" t="str">
        <f>_xlfn.XLOOKUP(A1071,[1]Municipios!$B:$B,[1]Municipios!$C:$C)</f>
        <v>Noroeste</v>
      </c>
      <c r="C1071" t="str">
        <f>_xlfn.XLOOKUP(A1071,[1]Municipios!$B:$B,[1]Municipios!$D:$D)</f>
        <v>Médio Noroeste</v>
      </c>
      <c r="D1071">
        <v>2025</v>
      </c>
      <c r="E1071" t="s">
        <v>235</v>
      </c>
      <c r="F1071">
        <v>0</v>
      </c>
      <c r="G1071">
        <v>33.590000000000003</v>
      </c>
    </row>
    <row r="1072" spans="1:7" x14ac:dyDescent="0.25">
      <c r="A1072" t="s">
        <v>558</v>
      </c>
      <c r="B1072" t="str">
        <f>_xlfn.XLOOKUP(A1072,[1]Municipios!$B:$B,[1]Municipios!$C:$C)</f>
        <v>Noroeste</v>
      </c>
      <c r="C1072" t="str">
        <f>_xlfn.XLOOKUP(A1072,[1]Municipios!$B:$B,[1]Municipios!$D:$D)</f>
        <v>Médio Noroeste</v>
      </c>
      <c r="D1072">
        <v>2025</v>
      </c>
      <c r="E1072" t="s">
        <v>236</v>
      </c>
      <c r="F1072">
        <v>0</v>
      </c>
      <c r="G1072">
        <v>33.590000000000003</v>
      </c>
    </row>
    <row r="1073" spans="1:7" x14ac:dyDescent="0.25">
      <c r="A1073" t="s">
        <v>558</v>
      </c>
      <c r="B1073" t="str">
        <f>_xlfn.XLOOKUP(A1073,[1]Municipios!$B:$B,[1]Municipios!$C:$C)</f>
        <v>Noroeste</v>
      </c>
      <c r="C1073" t="str">
        <f>_xlfn.XLOOKUP(A1073,[1]Municipios!$B:$B,[1]Municipios!$D:$D)</f>
        <v>Médio Noroeste</v>
      </c>
      <c r="D1073">
        <v>2025</v>
      </c>
      <c r="E1073" t="s">
        <v>237</v>
      </c>
      <c r="F1073">
        <v>0</v>
      </c>
      <c r="G1073">
        <v>33.590000000000003</v>
      </c>
    </row>
    <row r="1074" spans="1:7" x14ac:dyDescent="0.25">
      <c r="A1074" t="s">
        <v>472</v>
      </c>
      <c r="B1074" t="str">
        <f>_xlfn.XLOOKUP(A1074,[1]Municipios!$B:$B,[1]Municipios!$C:$C)</f>
        <v>Norte</v>
      </c>
      <c r="C1074" t="str">
        <f>_xlfn.XLOOKUP(A1074,[1]Municipios!$B:$B,[1]Municipios!$D:$D)</f>
        <v>Vale do Paranapanema</v>
      </c>
      <c r="D1074">
        <v>2025</v>
      </c>
      <c r="E1074" t="s">
        <v>231</v>
      </c>
      <c r="F1074">
        <v>0.66659999999999997</v>
      </c>
      <c r="G1074">
        <v>46.89</v>
      </c>
    </row>
    <row r="1075" spans="1:7" x14ac:dyDescent="0.25">
      <c r="A1075" t="s">
        <v>472</v>
      </c>
      <c r="B1075" t="str">
        <f>_xlfn.XLOOKUP(A1075,[1]Municipios!$B:$B,[1]Municipios!$C:$C)</f>
        <v>Norte</v>
      </c>
      <c r="C1075" t="str">
        <f>_xlfn.XLOOKUP(A1075,[1]Municipios!$B:$B,[1]Municipios!$D:$D)</f>
        <v>Vale do Paranapanema</v>
      </c>
      <c r="D1075">
        <v>2025</v>
      </c>
      <c r="E1075" t="s">
        <v>232</v>
      </c>
      <c r="F1075">
        <v>0.76919999999999999</v>
      </c>
      <c r="G1075">
        <v>46.89</v>
      </c>
    </row>
    <row r="1076" spans="1:7" x14ac:dyDescent="0.25">
      <c r="A1076" t="s">
        <v>472</v>
      </c>
      <c r="B1076" t="str">
        <f>_xlfn.XLOOKUP(A1076,[1]Municipios!$B:$B,[1]Municipios!$C:$C)</f>
        <v>Norte</v>
      </c>
      <c r="C1076" t="str">
        <f>_xlfn.XLOOKUP(A1076,[1]Municipios!$B:$B,[1]Municipios!$D:$D)</f>
        <v>Vale do Paranapanema</v>
      </c>
      <c r="D1076">
        <v>2025</v>
      </c>
      <c r="E1076" t="s">
        <v>233</v>
      </c>
      <c r="F1076">
        <v>0.5</v>
      </c>
      <c r="G1076">
        <v>46.89</v>
      </c>
    </row>
    <row r="1077" spans="1:7" x14ac:dyDescent="0.25">
      <c r="A1077" t="s">
        <v>472</v>
      </c>
      <c r="B1077" t="str">
        <f>_xlfn.XLOOKUP(A1077,[1]Municipios!$B:$B,[1]Municipios!$C:$C)</f>
        <v>Norte</v>
      </c>
      <c r="C1077" t="str">
        <f>_xlfn.XLOOKUP(A1077,[1]Municipios!$B:$B,[1]Municipios!$D:$D)</f>
        <v>Vale do Paranapanema</v>
      </c>
      <c r="D1077">
        <v>2025</v>
      </c>
      <c r="E1077" t="s">
        <v>215</v>
      </c>
      <c r="F1077">
        <v>0.79999999999999993</v>
      </c>
      <c r="G1077">
        <v>46.89</v>
      </c>
    </row>
    <row r="1078" spans="1:7" x14ac:dyDescent="0.25">
      <c r="A1078" t="s">
        <v>472</v>
      </c>
      <c r="B1078" t="str">
        <f>_xlfn.XLOOKUP(A1078,[1]Municipios!$B:$B,[1]Municipios!$C:$C)</f>
        <v>Norte</v>
      </c>
      <c r="C1078" t="str">
        <f>_xlfn.XLOOKUP(A1078,[1]Municipios!$B:$B,[1]Municipios!$D:$D)</f>
        <v>Vale do Paranapanema</v>
      </c>
      <c r="D1078">
        <v>2025</v>
      </c>
      <c r="E1078" t="s">
        <v>234</v>
      </c>
      <c r="F1078">
        <v>0.22220000000000001</v>
      </c>
      <c r="G1078">
        <v>46.89</v>
      </c>
    </row>
    <row r="1079" spans="1:7" x14ac:dyDescent="0.25">
      <c r="A1079" t="s">
        <v>472</v>
      </c>
      <c r="B1079" t="str">
        <f>_xlfn.XLOOKUP(A1079,[1]Municipios!$B:$B,[1]Municipios!$C:$C)</f>
        <v>Norte</v>
      </c>
      <c r="C1079" t="str">
        <f>_xlfn.XLOOKUP(A1079,[1]Municipios!$B:$B,[1]Municipios!$D:$D)</f>
        <v>Vale do Paranapanema</v>
      </c>
      <c r="D1079">
        <v>2025</v>
      </c>
      <c r="E1079" t="s">
        <v>235</v>
      </c>
      <c r="F1079">
        <v>0.2858</v>
      </c>
      <c r="G1079">
        <v>46.89</v>
      </c>
    </row>
    <row r="1080" spans="1:7" x14ac:dyDescent="0.25">
      <c r="A1080" t="s">
        <v>472</v>
      </c>
      <c r="B1080" t="str">
        <f>_xlfn.XLOOKUP(A1080,[1]Municipios!$B:$B,[1]Municipios!$C:$C)</f>
        <v>Norte</v>
      </c>
      <c r="C1080" t="str">
        <f>_xlfn.XLOOKUP(A1080,[1]Municipios!$B:$B,[1]Municipios!$D:$D)</f>
        <v>Vale do Paranapanema</v>
      </c>
      <c r="D1080">
        <v>2025</v>
      </c>
      <c r="E1080" t="s">
        <v>236</v>
      </c>
      <c r="F1080">
        <v>7.690000000000001E-2</v>
      </c>
      <c r="G1080">
        <v>46.89</v>
      </c>
    </row>
    <row r="1081" spans="1:7" x14ac:dyDescent="0.25">
      <c r="A1081" t="s">
        <v>472</v>
      </c>
      <c r="B1081" t="str">
        <f>_xlfn.XLOOKUP(A1081,[1]Municipios!$B:$B,[1]Municipios!$C:$C)</f>
        <v>Norte</v>
      </c>
      <c r="C1081" t="str">
        <f>_xlfn.XLOOKUP(A1081,[1]Municipios!$B:$B,[1]Municipios!$D:$D)</f>
        <v>Vale do Paranapanema</v>
      </c>
      <c r="D1081">
        <v>2025</v>
      </c>
      <c r="E1081" t="s">
        <v>237</v>
      </c>
      <c r="F1081">
        <v>0.5</v>
      </c>
      <c r="G1081">
        <v>46.89</v>
      </c>
    </row>
    <row r="1082" spans="1:7" x14ac:dyDescent="0.25">
      <c r="A1082" t="s">
        <v>525</v>
      </c>
      <c r="B1082" t="str">
        <f>_xlfn.XLOOKUP(A1082,[1]Municipios!$B:$B,[1]Municipios!$C:$C)</f>
        <v>Oeste</v>
      </c>
      <c r="C1082" t="str">
        <f>_xlfn.XLOOKUP(A1082,[1]Municipios!$B:$B,[1]Municipios!$D:$D)</f>
        <v>Cantuquiriguaçu</v>
      </c>
      <c r="D1082">
        <v>2025</v>
      </c>
      <c r="E1082" t="s">
        <v>231</v>
      </c>
      <c r="F1082">
        <v>0.66669999999999996</v>
      </c>
      <c r="G1082">
        <v>77.83</v>
      </c>
    </row>
    <row r="1083" spans="1:7" x14ac:dyDescent="0.25">
      <c r="A1083" t="s">
        <v>525</v>
      </c>
      <c r="B1083" t="str">
        <f>_xlfn.XLOOKUP(A1083,[1]Municipios!$B:$B,[1]Municipios!$C:$C)</f>
        <v>Oeste</v>
      </c>
      <c r="C1083" t="str">
        <f>_xlfn.XLOOKUP(A1083,[1]Municipios!$B:$B,[1]Municipios!$D:$D)</f>
        <v>Cantuquiriguaçu</v>
      </c>
      <c r="D1083">
        <v>2025</v>
      </c>
      <c r="E1083" t="s">
        <v>232</v>
      </c>
      <c r="F1083">
        <v>0.84619999999999995</v>
      </c>
      <c r="G1083">
        <v>77.83</v>
      </c>
    </row>
    <row r="1084" spans="1:7" x14ac:dyDescent="0.25">
      <c r="A1084" t="s">
        <v>525</v>
      </c>
      <c r="B1084" t="str">
        <f>_xlfn.XLOOKUP(A1084,[1]Municipios!$B:$B,[1]Municipios!$C:$C)</f>
        <v>Oeste</v>
      </c>
      <c r="C1084" t="str">
        <f>_xlfn.XLOOKUP(A1084,[1]Municipios!$B:$B,[1]Municipios!$D:$D)</f>
        <v>Cantuquiriguaçu</v>
      </c>
      <c r="D1084">
        <v>2025</v>
      </c>
      <c r="E1084" t="s">
        <v>233</v>
      </c>
      <c r="F1084">
        <v>0.875</v>
      </c>
      <c r="G1084">
        <v>77.83</v>
      </c>
    </row>
    <row r="1085" spans="1:7" x14ac:dyDescent="0.25">
      <c r="A1085" t="s">
        <v>525</v>
      </c>
      <c r="B1085" t="str">
        <f>_xlfn.XLOOKUP(A1085,[1]Municipios!$B:$B,[1]Municipios!$C:$C)</f>
        <v>Oeste</v>
      </c>
      <c r="C1085" t="str">
        <f>_xlfn.XLOOKUP(A1085,[1]Municipios!$B:$B,[1]Municipios!$D:$D)</f>
        <v>Cantuquiriguaçu</v>
      </c>
      <c r="D1085">
        <v>2025</v>
      </c>
      <c r="E1085" t="s">
        <v>215</v>
      </c>
      <c r="F1085">
        <v>0.75</v>
      </c>
      <c r="G1085">
        <v>77.83</v>
      </c>
    </row>
    <row r="1086" spans="1:7" x14ac:dyDescent="0.25">
      <c r="A1086" t="s">
        <v>525</v>
      </c>
      <c r="B1086" t="str">
        <f>_xlfn.XLOOKUP(A1086,[1]Municipios!$B:$B,[1]Municipios!$C:$C)</f>
        <v>Oeste</v>
      </c>
      <c r="C1086" t="str">
        <f>_xlfn.XLOOKUP(A1086,[1]Municipios!$B:$B,[1]Municipios!$D:$D)</f>
        <v>Cantuquiriguaçu</v>
      </c>
      <c r="D1086">
        <v>2025</v>
      </c>
      <c r="E1086" t="s">
        <v>234</v>
      </c>
      <c r="F1086">
        <v>0.77780000000000005</v>
      </c>
      <c r="G1086">
        <v>77.83</v>
      </c>
    </row>
    <row r="1087" spans="1:7" x14ac:dyDescent="0.25">
      <c r="A1087" t="s">
        <v>525</v>
      </c>
      <c r="B1087" t="str">
        <f>_xlfn.XLOOKUP(A1087,[1]Municipios!$B:$B,[1]Municipios!$C:$C)</f>
        <v>Oeste</v>
      </c>
      <c r="C1087" t="str">
        <f>_xlfn.XLOOKUP(A1087,[1]Municipios!$B:$B,[1]Municipios!$D:$D)</f>
        <v>Cantuquiriguaçu</v>
      </c>
      <c r="D1087">
        <v>2025</v>
      </c>
      <c r="E1087" t="s">
        <v>235</v>
      </c>
      <c r="F1087">
        <v>1</v>
      </c>
      <c r="G1087">
        <v>77.83</v>
      </c>
    </row>
    <row r="1088" spans="1:7" x14ac:dyDescent="0.25">
      <c r="A1088" t="s">
        <v>525</v>
      </c>
      <c r="B1088" t="str">
        <f>_xlfn.XLOOKUP(A1088,[1]Municipios!$B:$B,[1]Municipios!$C:$C)</f>
        <v>Oeste</v>
      </c>
      <c r="C1088" t="str">
        <f>_xlfn.XLOOKUP(A1088,[1]Municipios!$B:$B,[1]Municipios!$D:$D)</f>
        <v>Cantuquiriguaçu</v>
      </c>
      <c r="D1088">
        <v>2025</v>
      </c>
      <c r="E1088" t="s">
        <v>236</v>
      </c>
      <c r="F1088">
        <v>0.30770000000000003</v>
      </c>
      <c r="G1088">
        <v>77.83</v>
      </c>
    </row>
    <row r="1089" spans="1:7" x14ac:dyDescent="0.25">
      <c r="A1089" t="s">
        <v>525</v>
      </c>
      <c r="B1089" t="str">
        <f>_xlfn.XLOOKUP(A1089,[1]Municipios!$B:$B,[1]Municipios!$C:$C)</f>
        <v>Oeste</v>
      </c>
      <c r="C1089" t="str">
        <f>_xlfn.XLOOKUP(A1089,[1]Municipios!$B:$B,[1]Municipios!$D:$D)</f>
        <v>Cantuquiriguaçu</v>
      </c>
      <c r="D1089">
        <v>2025</v>
      </c>
      <c r="E1089" t="s">
        <v>237</v>
      </c>
      <c r="F1089">
        <v>1</v>
      </c>
      <c r="G1089">
        <v>77.83</v>
      </c>
    </row>
    <row r="1090" spans="1:7" x14ac:dyDescent="0.25">
      <c r="A1090" t="s">
        <v>230</v>
      </c>
      <c r="B1090" t="str">
        <f>_xlfn.XLOOKUP(A1090,[1]Municipios!$B:$B,[1]Municipios!$C:$C)</f>
        <v>Centro</v>
      </c>
      <c r="C1090" t="str">
        <f>_xlfn.XLOOKUP(A1090,[1]Municipios!$B:$B,[1]Municipios!$D:$D)</f>
        <v>Paraná Centro</v>
      </c>
      <c r="D1090">
        <v>2025</v>
      </c>
      <c r="E1090" t="s">
        <v>231</v>
      </c>
      <c r="F1090">
        <v>0.88890000000000002</v>
      </c>
      <c r="G1090">
        <v>94.62</v>
      </c>
    </row>
    <row r="1091" spans="1:7" x14ac:dyDescent="0.25">
      <c r="A1091" t="s">
        <v>230</v>
      </c>
      <c r="B1091" t="str">
        <f>_xlfn.XLOOKUP(A1091,[1]Municipios!$B:$B,[1]Municipios!$C:$C)</f>
        <v>Centro</v>
      </c>
      <c r="C1091" t="str">
        <f>_xlfn.XLOOKUP(A1091,[1]Municipios!$B:$B,[1]Municipios!$D:$D)</f>
        <v>Paraná Centro</v>
      </c>
      <c r="D1091">
        <v>2025</v>
      </c>
      <c r="E1091" t="s">
        <v>232</v>
      </c>
      <c r="F1091">
        <v>0.92310000000000003</v>
      </c>
      <c r="G1091">
        <v>94.62</v>
      </c>
    </row>
    <row r="1092" spans="1:7" x14ac:dyDescent="0.25">
      <c r="A1092" t="s">
        <v>230</v>
      </c>
      <c r="B1092" t="str">
        <f>_xlfn.XLOOKUP(A1092,[1]Municipios!$B:$B,[1]Municipios!$C:$C)</f>
        <v>Centro</v>
      </c>
      <c r="C1092" t="str">
        <f>_xlfn.XLOOKUP(A1092,[1]Municipios!$B:$B,[1]Municipios!$D:$D)</f>
        <v>Paraná Centro</v>
      </c>
      <c r="D1092">
        <v>2025</v>
      </c>
      <c r="E1092" t="s">
        <v>233</v>
      </c>
      <c r="F1092">
        <v>1</v>
      </c>
      <c r="G1092">
        <v>94.62</v>
      </c>
    </row>
    <row r="1093" spans="1:7" x14ac:dyDescent="0.25">
      <c r="A1093" t="s">
        <v>230</v>
      </c>
      <c r="B1093" t="str">
        <f>_xlfn.XLOOKUP(A1093,[1]Municipios!$B:$B,[1]Municipios!$C:$C)</f>
        <v>Centro</v>
      </c>
      <c r="C1093" t="str">
        <f>_xlfn.XLOOKUP(A1093,[1]Municipios!$B:$B,[1]Municipios!$D:$D)</f>
        <v>Paraná Centro</v>
      </c>
      <c r="D1093">
        <v>2025</v>
      </c>
      <c r="E1093" t="s">
        <v>215</v>
      </c>
      <c r="F1093">
        <v>1</v>
      </c>
      <c r="G1093">
        <v>94.62</v>
      </c>
    </row>
    <row r="1094" spans="1:7" x14ac:dyDescent="0.25">
      <c r="A1094" t="s">
        <v>230</v>
      </c>
      <c r="B1094" t="str">
        <f>_xlfn.XLOOKUP(A1094,[1]Municipios!$B:$B,[1]Municipios!$C:$C)</f>
        <v>Centro</v>
      </c>
      <c r="C1094" t="str">
        <f>_xlfn.XLOOKUP(A1094,[1]Municipios!$B:$B,[1]Municipios!$D:$D)</f>
        <v>Paraná Centro</v>
      </c>
      <c r="D1094">
        <v>2025</v>
      </c>
      <c r="E1094" t="s">
        <v>234</v>
      </c>
      <c r="F1094">
        <v>0.88890000000000002</v>
      </c>
      <c r="G1094">
        <v>94.62</v>
      </c>
    </row>
    <row r="1095" spans="1:7" x14ac:dyDescent="0.25">
      <c r="A1095" t="s">
        <v>230</v>
      </c>
      <c r="B1095" t="str">
        <f>_xlfn.XLOOKUP(A1095,[1]Municipios!$B:$B,[1]Municipios!$C:$C)</f>
        <v>Centro</v>
      </c>
      <c r="C1095" t="str">
        <f>_xlfn.XLOOKUP(A1095,[1]Municipios!$B:$B,[1]Municipios!$D:$D)</f>
        <v>Paraná Centro</v>
      </c>
      <c r="D1095">
        <v>2025</v>
      </c>
      <c r="E1095" t="s">
        <v>235</v>
      </c>
      <c r="F1095">
        <v>1</v>
      </c>
      <c r="G1095">
        <v>94.62</v>
      </c>
    </row>
    <row r="1096" spans="1:7" x14ac:dyDescent="0.25">
      <c r="A1096" t="s">
        <v>230</v>
      </c>
      <c r="B1096" t="str">
        <f>_xlfn.XLOOKUP(A1096,[1]Municipios!$B:$B,[1]Municipios!$C:$C)</f>
        <v>Centro</v>
      </c>
      <c r="C1096" t="str">
        <f>_xlfn.XLOOKUP(A1096,[1]Municipios!$B:$B,[1]Municipios!$D:$D)</f>
        <v>Paraná Centro</v>
      </c>
      <c r="D1096">
        <v>2025</v>
      </c>
      <c r="E1096" t="s">
        <v>236</v>
      </c>
      <c r="F1096">
        <v>0.92309999999999992</v>
      </c>
      <c r="G1096">
        <v>94.62</v>
      </c>
    </row>
    <row r="1097" spans="1:7" x14ac:dyDescent="0.25">
      <c r="A1097" t="s">
        <v>230</v>
      </c>
      <c r="B1097" t="str">
        <f>_xlfn.XLOOKUP(A1097,[1]Municipios!$B:$B,[1]Municipios!$C:$C)</f>
        <v>Centro</v>
      </c>
      <c r="C1097" t="str">
        <f>_xlfn.XLOOKUP(A1097,[1]Municipios!$B:$B,[1]Municipios!$D:$D)</f>
        <v>Paraná Centro</v>
      </c>
      <c r="D1097">
        <v>2025</v>
      </c>
      <c r="E1097" t="s">
        <v>237</v>
      </c>
      <c r="F1097">
        <v>1</v>
      </c>
      <c r="G1097">
        <v>94.62</v>
      </c>
    </row>
    <row r="1098" spans="1:7" x14ac:dyDescent="0.25">
      <c r="A1098" t="s">
        <v>377</v>
      </c>
      <c r="B1098" t="str">
        <f>_xlfn.XLOOKUP(A1098,[1]Municipios!$B:$B,[1]Municipios!$C:$C)</f>
        <v>Leste</v>
      </c>
      <c r="C1098" t="str">
        <f>_xlfn.XLOOKUP(A1098,[1]Municipios!$B:$B,[1]Municipios!$D:$D)</f>
        <v>Litoral</v>
      </c>
      <c r="D1098">
        <v>2025</v>
      </c>
      <c r="E1098" t="s">
        <v>231</v>
      </c>
      <c r="F1098">
        <v>0.11120000000000001</v>
      </c>
      <c r="G1098">
        <v>39.520000000000003</v>
      </c>
    </row>
    <row r="1099" spans="1:7" x14ac:dyDescent="0.25">
      <c r="A1099" t="s">
        <v>377</v>
      </c>
      <c r="B1099" t="str">
        <f>_xlfn.XLOOKUP(A1099,[1]Municipios!$B:$B,[1]Municipios!$C:$C)</f>
        <v>Leste</v>
      </c>
      <c r="C1099" t="str">
        <f>_xlfn.XLOOKUP(A1099,[1]Municipios!$B:$B,[1]Municipios!$D:$D)</f>
        <v>Litoral</v>
      </c>
      <c r="D1099">
        <v>2025</v>
      </c>
      <c r="E1099" t="s">
        <v>232</v>
      </c>
      <c r="F1099">
        <v>0.46159999999999995</v>
      </c>
      <c r="G1099">
        <v>39.520000000000003</v>
      </c>
    </row>
    <row r="1100" spans="1:7" x14ac:dyDescent="0.25">
      <c r="A1100" t="s">
        <v>377</v>
      </c>
      <c r="B1100" t="str">
        <f>_xlfn.XLOOKUP(A1100,[1]Municipios!$B:$B,[1]Municipios!$C:$C)</f>
        <v>Leste</v>
      </c>
      <c r="C1100" t="str">
        <f>_xlfn.XLOOKUP(A1100,[1]Municipios!$B:$B,[1]Municipios!$D:$D)</f>
        <v>Litoral</v>
      </c>
      <c r="D1100">
        <v>2025</v>
      </c>
      <c r="E1100" t="s">
        <v>233</v>
      </c>
      <c r="F1100">
        <v>0.5</v>
      </c>
      <c r="G1100">
        <v>39.520000000000003</v>
      </c>
    </row>
    <row r="1101" spans="1:7" x14ac:dyDescent="0.25">
      <c r="A1101" t="s">
        <v>377</v>
      </c>
      <c r="B1101" t="str">
        <f>_xlfn.XLOOKUP(A1101,[1]Municipios!$B:$B,[1]Municipios!$C:$C)</f>
        <v>Leste</v>
      </c>
      <c r="C1101" t="str">
        <f>_xlfn.XLOOKUP(A1101,[1]Municipios!$B:$B,[1]Municipios!$D:$D)</f>
        <v>Litoral</v>
      </c>
      <c r="D1101">
        <v>2025</v>
      </c>
      <c r="E1101" t="s">
        <v>215</v>
      </c>
      <c r="F1101">
        <v>0.5</v>
      </c>
      <c r="G1101">
        <v>39.520000000000003</v>
      </c>
    </row>
    <row r="1102" spans="1:7" x14ac:dyDescent="0.25">
      <c r="A1102" t="s">
        <v>377</v>
      </c>
      <c r="B1102" t="str">
        <f>_xlfn.XLOOKUP(A1102,[1]Municipios!$B:$B,[1]Municipios!$C:$C)</f>
        <v>Leste</v>
      </c>
      <c r="C1102" t="str">
        <f>_xlfn.XLOOKUP(A1102,[1]Municipios!$B:$B,[1]Municipios!$D:$D)</f>
        <v>Litoral</v>
      </c>
      <c r="D1102">
        <v>2025</v>
      </c>
      <c r="E1102" t="s">
        <v>234</v>
      </c>
      <c r="F1102">
        <v>0.55549999999999999</v>
      </c>
      <c r="G1102">
        <v>39.520000000000003</v>
      </c>
    </row>
    <row r="1103" spans="1:7" x14ac:dyDescent="0.25">
      <c r="A1103" t="s">
        <v>377</v>
      </c>
      <c r="B1103" t="str">
        <f>_xlfn.XLOOKUP(A1103,[1]Municipios!$B:$B,[1]Municipios!$C:$C)</f>
        <v>Leste</v>
      </c>
      <c r="C1103" t="str">
        <f>_xlfn.XLOOKUP(A1103,[1]Municipios!$B:$B,[1]Municipios!$D:$D)</f>
        <v>Litoral</v>
      </c>
      <c r="D1103">
        <v>2025</v>
      </c>
      <c r="E1103" t="s">
        <v>235</v>
      </c>
      <c r="F1103">
        <v>0.42869999999999997</v>
      </c>
      <c r="G1103">
        <v>39.520000000000003</v>
      </c>
    </row>
    <row r="1104" spans="1:7" x14ac:dyDescent="0.25">
      <c r="A1104" t="s">
        <v>377</v>
      </c>
      <c r="B1104" t="str">
        <f>_xlfn.XLOOKUP(A1104,[1]Municipios!$B:$B,[1]Municipios!$C:$C)</f>
        <v>Leste</v>
      </c>
      <c r="C1104" t="str">
        <f>_xlfn.XLOOKUP(A1104,[1]Municipios!$B:$B,[1]Municipios!$D:$D)</f>
        <v>Litoral</v>
      </c>
      <c r="D1104">
        <v>2025</v>
      </c>
      <c r="E1104" t="s">
        <v>236</v>
      </c>
      <c r="F1104">
        <v>7.6999999999999999E-2</v>
      </c>
      <c r="G1104">
        <v>39.520000000000003</v>
      </c>
    </row>
    <row r="1105" spans="1:7" x14ac:dyDescent="0.25">
      <c r="A1105" t="s">
        <v>377</v>
      </c>
      <c r="B1105" t="str">
        <f>_xlfn.XLOOKUP(A1105,[1]Municipios!$B:$B,[1]Municipios!$C:$C)</f>
        <v>Leste</v>
      </c>
      <c r="C1105" t="str">
        <f>_xlfn.XLOOKUP(A1105,[1]Municipios!$B:$B,[1]Municipios!$D:$D)</f>
        <v>Litoral</v>
      </c>
      <c r="D1105">
        <v>2025</v>
      </c>
      <c r="E1105" t="s">
        <v>237</v>
      </c>
      <c r="F1105">
        <v>0.5</v>
      </c>
      <c r="G1105">
        <v>39.520000000000003</v>
      </c>
    </row>
    <row r="1106" spans="1:7" x14ac:dyDescent="0.25">
      <c r="A1106" t="s">
        <v>378</v>
      </c>
      <c r="B1106" t="str">
        <f>_xlfn.XLOOKUP(A1106,[1]Municipios!$B:$B,[1]Municipios!$C:$C)</f>
        <v>Leste</v>
      </c>
      <c r="C1106" t="str">
        <f>_xlfn.XLOOKUP(A1106,[1]Municipios!$B:$B,[1]Municipios!$D:$D)</f>
        <v>Litoral</v>
      </c>
      <c r="D1106">
        <v>2025</v>
      </c>
      <c r="E1106" t="s">
        <v>231</v>
      </c>
      <c r="F1106">
        <v>0.33339999999999992</v>
      </c>
      <c r="G1106">
        <v>54.63</v>
      </c>
    </row>
    <row r="1107" spans="1:7" x14ac:dyDescent="0.25">
      <c r="A1107" t="s">
        <v>378</v>
      </c>
      <c r="B1107" t="str">
        <f>_xlfn.XLOOKUP(A1107,[1]Municipios!$B:$B,[1]Municipios!$C:$C)</f>
        <v>Leste</v>
      </c>
      <c r="C1107" t="str">
        <f>_xlfn.XLOOKUP(A1107,[1]Municipios!$B:$B,[1]Municipios!$D:$D)</f>
        <v>Litoral</v>
      </c>
      <c r="D1107">
        <v>2025</v>
      </c>
      <c r="E1107" t="s">
        <v>232</v>
      </c>
      <c r="F1107">
        <v>0.76929999999999998</v>
      </c>
      <c r="G1107">
        <v>54.63</v>
      </c>
    </row>
    <row r="1108" spans="1:7" x14ac:dyDescent="0.25">
      <c r="A1108" t="s">
        <v>378</v>
      </c>
      <c r="B1108" t="str">
        <f>_xlfn.XLOOKUP(A1108,[1]Municipios!$B:$B,[1]Municipios!$C:$C)</f>
        <v>Leste</v>
      </c>
      <c r="C1108" t="str">
        <f>_xlfn.XLOOKUP(A1108,[1]Municipios!$B:$B,[1]Municipios!$D:$D)</f>
        <v>Litoral</v>
      </c>
      <c r="D1108">
        <v>2025</v>
      </c>
      <c r="E1108" t="s">
        <v>233</v>
      </c>
      <c r="F1108">
        <v>0.75</v>
      </c>
      <c r="G1108">
        <v>54.63</v>
      </c>
    </row>
    <row r="1109" spans="1:7" x14ac:dyDescent="0.25">
      <c r="A1109" t="s">
        <v>378</v>
      </c>
      <c r="B1109" t="str">
        <f>_xlfn.XLOOKUP(A1109,[1]Municipios!$B:$B,[1]Municipios!$C:$C)</f>
        <v>Leste</v>
      </c>
      <c r="C1109" t="str">
        <f>_xlfn.XLOOKUP(A1109,[1]Municipios!$B:$B,[1]Municipios!$D:$D)</f>
        <v>Litoral</v>
      </c>
      <c r="D1109">
        <v>2025</v>
      </c>
      <c r="E1109" t="s">
        <v>215</v>
      </c>
      <c r="F1109">
        <v>0.6</v>
      </c>
      <c r="G1109">
        <v>54.63</v>
      </c>
    </row>
    <row r="1110" spans="1:7" x14ac:dyDescent="0.25">
      <c r="A1110" t="s">
        <v>378</v>
      </c>
      <c r="B1110" t="str">
        <f>_xlfn.XLOOKUP(A1110,[1]Municipios!$B:$B,[1]Municipios!$C:$C)</f>
        <v>Leste</v>
      </c>
      <c r="C1110" t="str">
        <f>_xlfn.XLOOKUP(A1110,[1]Municipios!$B:$B,[1]Municipios!$D:$D)</f>
        <v>Litoral</v>
      </c>
      <c r="D1110">
        <v>2025</v>
      </c>
      <c r="E1110" t="s">
        <v>234</v>
      </c>
      <c r="F1110">
        <v>0.88890000000000002</v>
      </c>
      <c r="G1110">
        <v>54.63</v>
      </c>
    </row>
    <row r="1111" spans="1:7" x14ac:dyDescent="0.25">
      <c r="A1111" t="s">
        <v>378</v>
      </c>
      <c r="B1111" t="str">
        <f>_xlfn.XLOOKUP(A1111,[1]Municipios!$B:$B,[1]Municipios!$C:$C)</f>
        <v>Leste</v>
      </c>
      <c r="C1111" t="str">
        <f>_xlfn.XLOOKUP(A1111,[1]Municipios!$B:$B,[1]Municipios!$D:$D)</f>
        <v>Litoral</v>
      </c>
      <c r="D1111">
        <v>2025</v>
      </c>
      <c r="E1111" t="s">
        <v>235</v>
      </c>
      <c r="F1111">
        <v>0.1429</v>
      </c>
      <c r="G1111">
        <v>54.63</v>
      </c>
    </row>
    <row r="1112" spans="1:7" x14ac:dyDescent="0.25">
      <c r="A1112" t="s">
        <v>378</v>
      </c>
      <c r="B1112" t="str">
        <f>_xlfn.XLOOKUP(A1112,[1]Municipios!$B:$B,[1]Municipios!$C:$C)</f>
        <v>Leste</v>
      </c>
      <c r="C1112" t="str">
        <f>_xlfn.XLOOKUP(A1112,[1]Municipios!$B:$B,[1]Municipios!$D:$D)</f>
        <v>Litoral</v>
      </c>
      <c r="D1112">
        <v>2025</v>
      </c>
      <c r="E1112" t="s">
        <v>236</v>
      </c>
      <c r="F1112">
        <v>0.38469999999999999</v>
      </c>
      <c r="G1112">
        <v>54.63</v>
      </c>
    </row>
    <row r="1113" spans="1:7" x14ac:dyDescent="0.25">
      <c r="A1113" t="s">
        <v>378</v>
      </c>
      <c r="B1113" t="str">
        <f>_xlfn.XLOOKUP(A1113,[1]Municipios!$B:$B,[1]Municipios!$C:$C)</f>
        <v>Leste</v>
      </c>
      <c r="C1113" t="str">
        <f>_xlfn.XLOOKUP(A1113,[1]Municipios!$B:$B,[1]Municipios!$D:$D)</f>
        <v>Litoral</v>
      </c>
      <c r="D1113">
        <v>2025</v>
      </c>
      <c r="E1113" t="s">
        <v>237</v>
      </c>
      <c r="F1113">
        <v>0.5</v>
      </c>
      <c r="G1113">
        <v>54.63</v>
      </c>
    </row>
    <row r="1114" spans="1:7" x14ac:dyDescent="0.25">
      <c r="A1114" t="s">
        <v>253</v>
      </c>
      <c r="B1114" t="str">
        <f>_xlfn.XLOOKUP(A1114,[1]Municipios!$B:$B,[1]Municipios!$C:$C)</f>
        <v>Sul</v>
      </c>
      <c r="C1114" t="str">
        <f>_xlfn.XLOOKUP(A1114,[1]Municipios!$B:$B,[1]Municipios!$D:$D)</f>
        <v>Sudoeste Pioneiro</v>
      </c>
      <c r="D1114">
        <v>2025</v>
      </c>
      <c r="E1114" t="s">
        <v>231</v>
      </c>
      <c r="F1114">
        <v>0.88890000000000002</v>
      </c>
      <c r="G1114">
        <v>79.25</v>
      </c>
    </row>
    <row r="1115" spans="1:7" x14ac:dyDescent="0.25">
      <c r="A1115" t="s">
        <v>253</v>
      </c>
      <c r="B1115" t="str">
        <f>_xlfn.XLOOKUP(A1115,[1]Municipios!$B:$B,[1]Municipios!$C:$C)</f>
        <v>Sul</v>
      </c>
      <c r="C1115" t="str">
        <f>_xlfn.XLOOKUP(A1115,[1]Municipios!$B:$B,[1]Municipios!$D:$D)</f>
        <v>Sudoeste Pioneiro</v>
      </c>
      <c r="D1115">
        <v>2025</v>
      </c>
      <c r="E1115" t="s">
        <v>232</v>
      </c>
      <c r="F1115">
        <v>0.84619999999999995</v>
      </c>
      <c r="G1115">
        <v>79.25</v>
      </c>
    </row>
    <row r="1116" spans="1:7" x14ac:dyDescent="0.25">
      <c r="A1116" t="s">
        <v>253</v>
      </c>
      <c r="B1116" t="str">
        <f>_xlfn.XLOOKUP(A1116,[1]Municipios!$B:$B,[1]Municipios!$C:$C)</f>
        <v>Sul</v>
      </c>
      <c r="C1116" t="str">
        <f>_xlfn.XLOOKUP(A1116,[1]Municipios!$B:$B,[1]Municipios!$D:$D)</f>
        <v>Sudoeste Pioneiro</v>
      </c>
      <c r="D1116">
        <v>2025</v>
      </c>
      <c r="E1116" t="s">
        <v>233</v>
      </c>
      <c r="F1116">
        <v>0.875</v>
      </c>
      <c r="G1116">
        <v>79.25</v>
      </c>
    </row>
    <row r="1117" spans="1:7" x14ac:dyDescent="0.25">
      <c r="A1117" t="s">
        <v>253</v>
      </c>
      <c r="B1117" t="str">
        <f>_xlfn.XLOOKUP(A1117,[1]Municipios!$B:$B,[1]Municipios!$C:$C)</f>
        <v>Sul</v>
      </c>
      <c r="C1117" t="str">
        <f>_xlfn.XLOOKUP(A1117,[1]Municipios!$B:$B,[1]Municipios!$D:$D)</f>
        <v>Sudoeste Pioneiro</v>
      </c>
      <c r="D1117">
        <v>2025</v>
      </c>
      <c r="E1117" t="s">
        <v>215</v>
      </c>
      <c r="F1117">
        <v>0.79999999999999993</v>
      </c>
      <c r="G1117">
        <v>79.25</v>
      </c>
    </row>
    <row r="1118" spans="1:7" x14ac:dyDescent="0.25">
      <c r="A1118" t="s">
        <v>253</v>
      </c>
      <c r="B1118" t="str">
        <f>_xlfn.XLOOKUP(A1118,[1]Municipios!$B:$B,[1]Municipios!$C:$C)</f>
        <v>Sul</v>
      </c>
      <c r="C1118" t="str">
        <f>_xlfn.XLOOKUP(A1118,[1]Municipios!$B:$B,[1]Municipios!$D:$D)</f>
        <v>Sudoeste Pioneiro</v>
      </c>
      <c r="D1118">
        <v>2025</v>
      </c>
      <c r="E1118" t="s">
        <v>234</v>
      </c>
      <c r="F1118">
        <v>0.77780000000000005</v>
      </c>
      <c r="G1118">
        <v>79.25</v>
      </c>
    </row>
    <row r="1119" spans="1:7" x14ac:dyDescent="0.25">
      <c r="A1119" t="s">
        <v>253</v>
      </c>
      <c r="B1119" t="str">
        <f>_xlfn.XLOOKUP(A1119,[1]Municipios!$B:$B,[1]Municipios!$C:$C)</f>
        <v>Sul</v>
      </c>
      <c r="C1119" t="str">
        <f>_xlfn.XLOOKUP(A1119,[1]Municipios!$B:$B,[1]Municipios!$D:$D)</f>
        <v>Sudoeste Pioneiro</v>
      </c>
      <c r="D1119">
        <v>2025</v>
      </c>
      <c r="E1119" t="s">
        <v>235</v>
      </c>
      <c r="F1119">
        <v>1</v>
      </c>
      <c r="G1119">
        <v>79.25</v>
      </c>
    </row>
    <row r="1120" spans="1:7" x14ac:dyDescent="0.25">
      <c r="A1120" t="s">
        <v>253</v>
      </c>
      <c r="B1120" t="str">
        <f>_xlfn.XLOOKUP(A1120,[1]Municipios!$B:$B,[1]Municipios!$C:$C)</f>
        <v>Sul</v>
      </c>
      <c r="C1120" t="str">
        <f>_xlfn.XLOOKUP(A1120,[1]Municipios!$B:$B,[1]Municipios!$D:$D)</f>
        <v>Sudoeste Pioneiro</v>
      </c>
      <c r="D1120">
        <v>2025</v>
      </c>
      <c r="E1120" t="s">
        <v>236</v>
      </c>
      <c r="F1120">
        <v>0.15390000000000001</v>
      </c>
      <c r="G1120">
        <v>79.25</v>
      </c>
    </row>
    <row r="1121" spans="1:7" x14ac:dyDescent="0.25">
      <c r="A1121" t="s">
        <v>253</v>
      </c>
      <c r="B1121" t="str">
        <f>_xlfn.XLOOKUP(A1121,[1]Municipios!$B:$B,[1]Municipios!$C:$C)</f>
        <v>Sul</v>
      </c>
      <c r="C1121" t="str">
        <f>_xlfn.XLOOKUP(A1121,[1]Municipios!$B:$B,[1]Municipios!$D:$D)</f>
        <v>Sudoeste Pioneiro</v>
      </c>
      <c r="D1121">
        <v>2025</v>
      </c>
      <c r="E1121" t="s">
        <v>237</v>
      </c>
      <c r="F1121">
        <v>1</v>
      </c>
      <c r="G1121">
        <v>79.25</v>
      </c>
    </row>
    <row r="1122" spans="1:7" x14ac:dyDescent="0.25">
      <c r="A1122" t="s">
        <v>344</v>
      </c>
      <c r="B1122" t="str">
        <f>_xlfn.XLOOKUP(A1122,[1]Municipios!$B:$B,[1]Municipios!$C:$C)</f>
        <v>Norte</v>
      </c>
      <c r="C1122" t="str">
        <f>_xlfn.XLOOKUP(A1122,[1]Municipios!$B:$B,[1]Municipios!$D:$D)</f>
        <v>Norte Pioneiro</v>
      </c>
      <c r="D1122">
        <v>2025</v>
      </c>
      <c r="E1122" t="s">
        <v>231</v>
      </c>
      <c r="F1122">
        <v>0.88890000000000002</v>
      </c>
      <c r="G1122">
        <v>89.36</v>
      </c>
    </row>
    <row r="1123" spans="1:7" x14ac:dyDescent="0.25">
      <c r="A1123" t="s">
        <v>344</v>
      </c>
      <c r="B1123" t="str">
        <f>_xlfn.XLOOKUP(A1123,[1]Municipios!$B:$B,[1]Municipios!$C:$C)</f>
        <v>Norte</v>
      </c>
      <c r="C1123" t="str">
        <f>_xlfn.XLOOKUP(A1123,[1]Municipios!$B:$B,[1]Municipios!$D:$D)</f>
        <v>Norte Pioneiro</v>
      </c>
      <c r="D1123">
        <v>2025</v>
      </c>
      <c r="E1123" t="s">
        <v>232</v>
      </c>
      <c r="F1123">
        <v>0.84619999999999995</v>
      </c>
      <c r="G1123">
        <v>89.36</v>
      </c>
    </row>
    <row r="1124" spans="1:7" x14ac:dyDescent="0.25">
      <c r="A1124" t="s">
        <v>344</v>
      </c>
      <c r="B1124" t="str">
        <f>_xlfn.XLOOKUP(A1124,[1]Municipios!$B:$B,[1]Municipios!$C:$C)</f>
        <v>Norte</v>
      </c>
      <c r="C1124" t="str">
        <f>_xlfn.XLOOKUP(A1124,[1]Municipios!$B:$B,[1]Municipios!$D:$D)</f>
        <v>Norte Pioneiro</v>
      </c>
      <c r="D1124">
        <v>2025</v>
      </c>
      <c r="E1124" t="s">
        <v>233</v>
      </c>
      <c r="F1124">
        <v>0.875</v>
      </c>
      <c r="G1124">
        <v>89.36</v>
      </c>
    </row>
    <row r="1125" spans="1:7" x14ac:dyDescent="0.25">
      <c r="A1125" t="s">
        <v>344</v>
      </c>
      <c r="B1125" t="str">
        <f>_xlfn.XLOOKUP(A1125,[1]Municipios!$B:$B,[1]Municipios!$C:$C)</f>
        <v>Norte</v>
      </c>
      <c r="C1125" t="str">
        <f>_xlfn.XLOOKUP(A1125,[1]Municipios!$B:$B,[1]Municipios!$D:$D)</f>
        <v>Norte Pioneiro</v>
      </c>
      <c r="D1125">
        <v>2025</v>
      </c>
      <c r="E1125" t="s">
        <v>215</v>
      </c>
      <c r="F1125">
        <v>0.95000000000000007</v>
      </c>
      <c r="G1125">
        <v>89.36</v>
      </c>
    </row>
    <row r="1126" spans="1:7" x14ac:dyDescent="0.25">
      <c r="A1126" t="s">
        <v>344</v>
      </c>
      <c r="B1126" t="str">
        <f>_xlfn.XLOOKUP(A1126,[1]Municipios!$B:$B,[1]Municipios!$C:$C)</f>
        <v>Norte</v>
      </c>
      <c r="C1126" t="str">
        <f>_xlfn.XLOOKUP(A1126,[1]Municipios!$B:$B,[1]Municipios!$D:$D)</f>
        <v>Norte Pioneiro</v>
      </c>
      <c r="D1126">
        <v>2025</v>
      </c>
      <c r="E1126" t="s">
        <v>234</v>
      </c>
      <c r="F1126">
        <v>0.77780000000000005</v>
      </c>
      <c r="G1126">
        <v>89.36</v>
      </c>
    </row>
    <row r="1127" spans="1:7" x14ac:dyDescent="0.25">
      <c r="A1127" t="s">
        <v>344</v>
      </c>
      <c r="B1127" t="str">
        <f>_xlfn.XLOOKUP(A1127,[1]Municipios!$B:$B,[1]Municipios!$C:$C)</f>
        <v>Norte</v>
      </c>
      <c r="C1127" t="str">
        <f>_xlfn.XLOOKUP(A1127,[1]Municipios!$B:$B,[1]Municipios!$D:$D)</f>
        <v>Norte Pioneiro</v>
      </c>
      <c r="D1127">
        <v>2025</v>
      </c>
      <c r="E1127" t="s">
        <v>235</v>
      </c>
      <c r="F1127">
        <v>1</v>
      </c>
      <c r="G1127">
        <v>89.36</v>
      </c>
    </row>
    <row r="1128" spans="1:7" x14ac:dyDescent="0.25">
      <c r="A1128" t="s">
        <v>344</v>
      </c>
      <c r="B1128" t="str">
        <f>_xlfn.XLOOKUP(A1128,[1]Municipios!$B:$B,[1]Municipios!$C:$C)</f>
        <v>Norte</v>
      </c>
      <c r="C1128" t="str">
        <f>_xlfn.XLOOKUP(A1128,[1]Municipios!$B:$B,[1]Municipios!$D:$D)</f>
        <v>Norte Pioneiro</v>
      </c>
      <c r="D1128">
        <v>2025</v>
      </c>
      <c r="E1128" t="s">
        <v>236</v>
      </c>
      <c r="F1128">
        <v>0.84620000000000006</v>
      </c>
      <c r="G1128">
        <v>89.36</v>
      </c>
    </row>
    <row r="1129" spans="1:7" x14ac:dyDescent="0.25">
      <c r="A1129" t="s">
        <v>344</v>
      </c>
      <c r="B1129" t="str">
        <f>_xlfn.XLOOKUP(A1129,[1]Municipios!$B:$B,[1]Municipios!$C:$C)</f>
        <v>Norte</v>
      </c>
      <c r="C1129" t="str">
        <f>_xlfn.XLOOKUP(A1129,[1]Municipios!$B:$B,[1]Municipios!$D:$D)</f>
        <v>Norte Pioneiro</v>
      </c>
      <c r="D1129">
        <v>2025</v>
      </c>
      <c r="E1129" t="s">
        <v>237</v>
      </c>
      <c r="F1129">
        <v>1</v>
      </c>
      <c r="G1129">
        <v>89.36</v>
      </c>
    </row>
    <row r="1130" spans="1:7" x14ac:dyDescent="0.25">
      <c r="A1130" t="s">
        <v>559</v>
      </c>
      <c r="B1130" t="str">
        <f>_xlfn.XLOOKUP(A1130,[1]Municipios!$B:$B,[1]Municipios!$C:$C)</f>
        <v>Oeste</v>
      </c>
      <c r="C1130" t="str">
        <f>_xlfn.XLOOKUP(A1130,[1]Municipios!$B:$B,[1]Municipios!$D:$D)</f>
        <v>Cantuquiriguaçu</v>
      </c>
      <c r="D1130">
        <v>2025</v>
      </c>
      <c r="E1130" t="s">
        <v>231</v>
      </c>
      <c r="F1130">
        <v>0</v>
      </c>
      <c r="G1130">
        <v>23.32</v>
      </c>
    </row>
    <row r="1131" spans="1:7" x14ac:dyDescent="0.25">
      <c r="A1131" t="s">
        <v>559</v>
      </c>
      <c r="B1131" t="str">
        <f>_xlfn.XLOOKUP(A1131,[1]Municipios!$B:$B,[1]Municipios!$C:$C)</f>
        <v>Oeste</v>
      </c>
      <c r="C1131" t="str">
        <f>_xlfn.XLOOKUP(A1131,[1]Municipios!$B:$B,[1]Municipios!$D:$D)</f>
        <v>Cantuquiriguaçu</v>
      </c>
      <c r="D1131">
        <v>2025</v>
      </c>
      <c r="E1131" t="s">
        <v>232</v>
      </c>
      <c r="F1131">
        <v>0.69240000000000002</v>
      </c>
      <c r="G1131">
        <v>23.32</v>
      </c>
    </row>
    <row r="1132" spans="1:7" x14ac:dyDescent="0.25">
      <c r="A1132" t="s">
        <v>559</v>
      </c>
      <c r="B1132" t="str">
        <f>_xlfn.XLOOKUP(A1132,[1]Municipios!$B:$B,[1]Municipios!$C:$C)</f>
        <v>Oeste</v>
      </c>
      <c r="C1132" t="str">
        <f>_xlfn.XLOOKUP(A1132,[1]Municipios!$B:$B,[1]Municipios!$D:$D)</f>
        <v>Cantuquiriguaçu</v>
      </c>
      <c r="D1132">
        <v>2025</v>
      </c>
      <c r="E1132" t="s">
        <v>233</v>
      </c>
      <c r="F1132">
        <v>0.375</v>
      </c>
      <c r="G1132">
        <v>23.32</v>
      </c>
    </row>
    <row r="1133" spans="1:7" x14ac:dyDescent="0.25">
      <c r="A1133" t="s">
        <v>559</v>
      </c>
      <c r="B1133" t="str">
        <f>_xlfn.XLOOKUP(A1133,[1]Municipios!$B:$B,[1]Municipios!$C:$C)</f>
        <v>Oeste</v>
      </c>
      <c r="C1133" t="str">
        <f>_xlfn.XLOOKUP(A1133,[1]Municipios!$B:$B,[1]Municipios!$D:$D)</f>
        <v>Cantuquiriguaçu</v>
      </c>
      <c r="D1133">
        <v>2025</v>
      </c>
      <c r="E1133" t="s">
        <v>215</v>
      </c>
      <c r="F1133">
        <v>0</v>
      </c>
      <c r="G1133">
        <v>23.32</v>
      </c>
    </row>
    <row r="1134" spans="1:7" x14ac:dyDescent="0.25">
      <c r="A1134" t="s">
        <v>559</v>
      </c>
      <c r="B1134" t="str">
        <f>_xlfn.XLOOKUP(A1134,[1]Municipios!$B:$B,[1]Municipios!$C:$C)</f>
        <v>Oeste</v>
      </c>
      <c r="C1134" t="str">
        <f>_xlfn.XLOOKUP(A1134,[1]Municipios!$B:$B,[1]Municipios!$D:$D)</f>
        <v>Cantuquiriguaçu</v>
      </c>
      <c r="D1134">
        <v>2025</v>
      </c>
      <c r="E1134" t="s">
        <v>234</v>
      </c>
      <c r="F1134">
        <v>0.55549999999999999</v>
      </c>
      <c r="G1134">
        <v>23.32</v>
      </c>
    </row>
    <row r="1135" spans="1:7" x14ac:dyDescent="0.25">
      <c r="A1135" t="s">
        <v>559</v>
      </c>
      <c r="B1135" t="str">
        <f>_xlfn.XLOOKUP(A1135,[1]Municipios!$B:$B,[1]Municipios!$C:$C)</f>
        <v>Oeste</v>
      </c>
      <c r="C1135" t="str">
        <f>_xlfn.XLOOKUP(A1135,[1]Municipios!$B:$B,[1]Municipios!$D:$D)</f>
        <v>Cantuquiriguaçu</v>
      </c>
      <c r="D1135">
        <v>2025</v>
      </c>
      <c r="E1135" t="s">
        <v>235</v>
      </c>
      <c r="F1135">
        <v>0</v>
      </c>
      <c r="G1135">
        <v>23.32</v>
      </c>
    </row>
    <row r="1136" spans="1:7" x14ac:dyDescent="0.25">
      <c r="A1136" t="s">
        <v>559</v>
      </c>
      <c r="B1136" t="str">
        <f>_xlfn.XLOOKUP(A1136,[1]Municipios!$B:$B,[1]Municipios!$C:$C)</f>
        <v>Oeste</v>
      </c>
      <c r="C1136" t="str">
        <f>_xlfn.XLOOKUP(A1136,[1]Municipios!$B:$B,[1]Municipios!$D:$D)</f>
        <v>Cantuquiriguaçu</v>
      </c>
      <c r="D1136">
        <v>2025</v>
      </c>
      <c r="E1136" t="s">
        <v>236</v>
      </c>
      <c r="F1136">
        <v>7.6999999999999999E-2</v>
      </c>
      <c r="G1136">
        <v>23.32</v>
      </c>
    </row>
    <row r="1137" spans="1:7" x14ac:dyDescent="0.25">
      <c r="A1137" t="s">
        <v>559</v>
      </c>
      <c r="B1137" t="str">
        <f>_xlfn.XLOOKUP(A1137,[1]Municipios!$B:$B,[1]Municipios!$C:$C)</f>
        <v>Oeste</v>
      </c>
      <c r="C1137" t="str">
        <f>_xlfn.XLOOKUP(A1137,[1]Municipios!$B:$B,[1]Municipios!$D:$D)</f>
        <v>Cantuquiriguaçu</v>
      </c>
      <c r="D1137">
        <v>2025</v>
      </c>
      <c r="E1137" t="s">
        <v>237</v>
      </c>
      <c r="F1137">
        <v>0</v>
      </c>
      <c r="G1137">
        <v>23.32</v>
      </c>
    </row>
    <row r="1138" spans="1:7" x14ac:dyDescent="0.25">
      <c r="A1138" t="s">
        <v>280</v>
      </c>
      <c r="B1138" t="str">
        <f>_xlfn.XLOOKUP(A1138,[1]Municipios!$B:$B,[1]Municipios!$C:$C)</f>
        <v>Norte</v>
      </c>
      <c r="C1138" t="str">
        <f>_xlfn.XLOOKUP(A1138,[1]Municipios!$B:$B,[1]Municipios!$D:$D)</f>
        <v>Norte Do Paraná</v>
      </c>
      <c r="D1138">
        <v>2025</v>
      </c>
      <c r="E1138" t="s">
        <v>231</v>
      </c>
      <c r="F1138">
        <v>0.88890000000000002</v>
      </c>
      <c r="G1138">
        <v>87.18</v>
      </c>
    </row>
    <row r="1139" spans="1:7" x14ac:dyDescent="0.25">
      <c r="A1139" t="s">
        <v>280</v>
      </c>
      <c r="B1139" t="str">
        <f>_xlfn.XLOOKUP(A1139,[1]Municipios!$B:$B,[1]Municipios!$C:$C)</f>
        <v>Norte</v>
      </c>
      <c r="C1139" t="str">
        <f>_xlfn.XLOOKUP(A1139,[1]Municipios!$B:$B,[1]Municipios!$D:$D)</f>
        <v>Norte Do Paraná</v>
      </c>
      <c r="D1139">
        <v>2025</v>
      </c>
      <c r="E1139" t="s">
        <v>232</v>
      </c>
      <c r="F1139">
        <v>0.92310000000000003</v>
      </c>
      <c r="G1139">
        <v>87.18</v>
      </c>
    </row>
    <row r="1140" spans="1:7" x14ac:dyDescent="0.25">
      <c r="A1140" t="s">
        <v>280</v>
      </c>
      <c r="B1140" t="str">
        <f>_xlfn.XLOOKUP(A1140,[1]Municipios!$B:$B,[1]Municipios!$C:$C)</f>
        <v>Norte</v>
      </c>
      <c r="C1140" t="str">
        <f>_xlfn.XLOOKUP(A1140,[1]Municipios!$B:$B,[1]Municipios!$D:$D)</f>
        <v>Norte Do Paraná</v>
      </c>
      <c r="D1140">
        <v>2025</v>
      </c>
      <c r="E1140" t="s">
        <v>233</v>
      </c>
      <c r="F1140">
        <v>0.875</v>
      </c>
      <c r="G1140">
        <v>87.18</v>
      </c>
    </row>
    <row r="1141" spans="1:7" x14ac:dyDescent="0.25">
      <c r="A1141" t="s">
        <v>280</v>
      </c>
      <c r="B1141" t="str">
        <f>_xlfn.XLOOKUP(A1141,[1]Municipios!$B:$B,[1]Municipios!$C:$C)</f>
        <v>Norte</v>
      </c>
      <c r="C1141" t="str">
        <f>_xlfn.XLOOKUP(A1141,[1]Municipios!$B:$B,[1]Municipios!$D:$D)</f>
        <v>Norte Do Paraná</v>
      </c>
      <c r="D1141">
        <v>2025</v>
      </c>
      <c r="E1141" t="s">
        <v>215</v>
      </c>
      <c r="F1141">
        <v>0.9</v>
      </c>
      <c r="G1141">
        <v>87.18</v>
      </c>
    </row>
    <row r="1142" spans="1:7" x14ac:dyDescent="0.25">
      <c r="A1142" t="s">
        <v>280</v>
      </c>
      <c r="B1142" t="str">
        <f>_xlfn.XLOOKUP(A1142,[1]Municipios!$B:$B,[1]Municipios!$C:$C)</f>
        <v>Norte</v>
      </c>
      <c r="C1142" t="str">
        <f>_xlfn.XLOOKUP(A1142,[1]Municipios!$B:$B,[1]Municipios!$D:$D)</f>
        <v>Norte Do Paraná</v>
      </c>
      <c r="D1142">
        <v>2025</v>
      </c>
      <c r="E1142" t="s">
        <v>234</v>
      </c>
      <c r="F1142">
        <v>0.66669999999999996</v>
      </c>
      <c r="G1142">
        <v>87.18</v>
      </c>
    </row>
    <row r="1143" spans="1:7" x14ac:dyDescent="0.25">
      <c r="A1143" t="s">
        <v>280</v>
      </c>
      <c r="B1143" t="str">
        <f>_xlfn.XLOOKUP(A1143,[1]Municipios!$B:$B,[1]Municipios!$C:$C)</f>
        <v>Norte</v>
      </c>
      <c r="C1143" t="str">
        <f>_xlfn.XLOOKUP(A1143,[1]Municipios!$B:$B,[1]Municipios!$D:$D)</f>
        <v>Norte Do Paraná</v>
      </c>
      <c r="D1143">
        <v>2025</v>
      </c>
      <c r="E1143" t="s">
        <v>235</v>
      </c>
      <c r="F1143">
        <v>1</v>
      </c>
      <c r="G1143">
        <v>87.18</v>
      </c>
    </row>
    <row r="1144" spans="1:7" x14ac:dyDescent="0.25">
      <c r="A1144" t="s">
        <v>280</v>
      </c>
      <c r="B1144" t="str">
        <f>_xlfn.XLOOKUP(A1144,[1]Municipios!$B:$B,[1]Municipios!$C:$C)</f>
        <v>Norte</v>
      </c>
      <c r="C1144" t="str">
        <f>_xlfn.XLOOKUP(A1144,[1]Municipios!$B:$B,[1]Municipios!$D:$D)</f>
        <v>Norte Do Paraná</v>
      </c>
      <c r="D1144">
        <v>2025</v>
      </c>
      <c r="E1144" t="s">
        <v>236</v>
      </c>
      <c r="F1144">
        <v>0.76929999999999987</v>
      </c>
      <c r="G1144">
        <v>87.18</v>
      </c>
    </row>
    <row r="1145" spans="1:7" x14ac:dyDescent="0.25">
      <c r="A1145" t="s">
        <v>280</v>
      </c>
      <c r="B1145" t="str">
        <f>_xlfn.XLOOKUP(A1145,[1]Municipios!$B:$B,[1]Municipios!$C:$C)</f>
        <v>Norte</v>
      </c>
      <c r="C1145" t="str">
        <f>_xlfn.XLOOKUP(A1145,[1]Municipios!$B:$B,[1]Municipios!$D:$D)</f>
        <v>Norte Do Paraná</v>
      </c>
      <c r="D1145">
        <v>2025</v>
      </c>
      <c r="E1145" t="s">
        <v>237</v>
      </c>
      <c r="F1145">
        <v>1</v>
      </c>
      <c r="G1145">
        <v>87.18</v>
      </c>
    </row>
    <row r="1146" spans="1:7" x14ac:dyDescent="0.25">
      <c r="A1146" t="s">
        <v>306</v>
      </c>
      <c r="B1146" t="str">
        <f>_xlfn.XLOOKUP(A1146,[1]Municipios!$B:$B,[1]Municipios!$C:$C)</f>
        <v>Noroeste</v>
      </c>
      <c r="C1146" t="str">
        <f>_xlfn.XLOOKUP(A1146,[1]Municipios!$B:$B,[1]Municipios!$D:$D)</f>
        <v>Arenito-Caiuá</v>
      </c>
      <c r="D1146">
        <v>2025</v>
      </c>
      <c r="E1146" t="s">
        <v>231</v>
      </c>
      <c r="F1146">
        <v>0.77779999999999994</v>
      </c>
      <c r="G1146">
        <v>84.58</v>
      </c>
    </row>
    <row r="1147" spans="1:7" x14ac:dyDescent="0.25">
      <c r="A1147" t="s">
        <v>306</v>
      </c>
      <c r="B1147" t="str">
        <f>_xlfn.XLOOKUP(A1147,[1]Municipios!$B:$B,[1]Municipios!$C:$C)</f>
        <v>Noroeste</v>
      </c>
      <c r="C1147" t="str">
        <f>_xlfn.XLOOKUP(A1147,[1]Municipios!$B:$B,[1]Municipios!$D:$D)</f>
        <v>Arenito-Caiuá</v>
      </c>
      <c r="D1147">
        <v>2025</v>
      </c>
      <c r="E1147" t="s">
        <v>232</v>
      </c>
      <c r="F1147">
        <v>1</v>
      </c>
      <c r="G1147">
        <v>84.58</v>
      </c>
    </row>
    <row r="1148" spans="1:7" x14ac:dyDescent="0.25">
      <c r="A1148" t="s">
        <v>306</v>
      </c>
      <c r="B1148" t="str">
        <f>_xlfn.XLOOKUP(A1148,[1]Municipios!$B:$B,[1]Municipios!$C:$C)</f>
        <v>Noroeste</v>
      </c>
      <c r="C1148" t="str">
        <f>_xlfn.XLOOKUP(A1148,[1]Municipios!$B:$B,[1]Municipios!$D:$D)</f>
        <v>Arenito-Caiuá</v>
      </c>
      <c r="D1148">
        <v>2025</v>
      </c>
      <c r="E1148" t="s">
        <v>233</v>
      </c>
      <c r="F1148">
        <v>0.875</v>
      </c>
      <c r="G1148">
        <v>84.58</v>
      </c>
    </row>
    <row r="1149" spans="1:7" x14ac:dyDescent="0.25">
      <c r="A1149" t="s">
        <v>306</v>
      </c>
      <c r="B1149" t="str">
        <f>_xlfn.XLOOKUP(A1149,[1]Municipios!$B:$B,[1]Municipios!$C:$C)</f>
        <v>Noroeste</v>
      </c>
      <c r="C1149" t="str">
        <f>_xlfn.XLOOKUP(A1149,[1]Municipios!$B:$B,[1]Municipios!$D:$D)</f>
        <v>Arenito-Caiuá</v>
      </c>
      <c r="D1149">
        <v>2025</v>
      </c>
      <c r="E1149" t="s">
        <v>215</v>
      </c>
      <c r="F1149">
        <v>1</v>
      </c>
      <c r="G1149">
        <v>84.58</v>
      </c>
    </row>
    <row r="1150" spans="1:7" x14ac:dyDescent="0.25">
      <c r="A1150" t="s">
        <v>306</v>
      </c>
      <c r="B1150" t="str">
        <f>_xlfn.XLOOKUP(A1150,[1]Municipios!$B:$B,[1]Municipios!$C:$C)</f>
        <v>Noroeste</v>
      </c>
      <c r="C1150" t="str">
        <f>_xlfn.XLOOKUP(A1150,[1]Municipios!$B:$B,[1]Municipios!$D:$D)</f>
        <v>Arenito-Caiuá</v>
      </c>
      <c r="D1150">
        <v>2025</v>
      </c>
      <c r="E1150" t="s">
        <v>234</v>
      </c>
      <c r="F1150">
        <v>0.66669999999999996</v>
      </c>
      <c r="G1150">
        <v>84.58</v>
      </c>
    </row>
    <row r="1151" spans="1:7" x14ac:dyDescent="0.25">
      <c r="A1151" t="s">
        <v>306</v>
      </c>
      <c r="B1151" t="str">
        <f>_xlfn.XLOOKUP(A1151,[1]Municipios!$B:$B,[1]Municipios!$C:$C)</f>
        <v>Noroeste</v>
      </c>
      <c r="C1151" t="str">
        <f>_xlfn.XLOOKUP(A1151,[1]Municipios!$B:$B,[1]Municipios!$D:$D)</f>
        <v>Arenito-Caiuá</v>
      </c>
      <c r="D1151">
        <v>2025</v>
      </c>
      <c r="E1151" t="s">
        <v>235</v>
      </c>
      <c r="F1151">
        <v>1</v>
      </c>
      <c r="G1151">
        <v>84.58</v>
      </c>
    </row>
    <row r="1152" spans="1:7" x14ac:dyDescent="0.25">
      <c r="A1152" t="s">
        <v>306</v>
      </c>
      <c r="B1152" t="str">
        <f>_xlfn.XLOOKUP(A1152,[1]Municipios!$B:$B,[1]Municipios!$C:$C)</f>
        <v>Noroeste</v>
      </c>
      <c r="C1152" t="str">
        <f>_xlfn.XLOOKUP(A1152,[1]Municipios!$B:$B,[1]Municipios!$D:$D)</f>
        <v>Arenito-Caiuá</v>
      </c>
      <c r="D1152">
        <v>2025</v>
      </c>
      <c r="E1152" t="s">
        <v>236</v>
      </c>
      <c r="F1152">
        <v>0.46159999999999995</v>
      </c>
      <c r="G1152">
        <v>84.58</v>
      </c>
    </row>
    <row r="1153" spans="1:7" x14ac:dyDescent="0.25">
      <c r="A1153" t="s">
        <v>306</v>
      </c>
      <c r="B1153" t="str">
        <f>_xlfn.XLOOKUP(A1153,[1]Municipios!$B:$B,[1]Municipios!$C:$C)</f>
        <v>Noroeste</v>
      </c>
      <c r="C1153" t="str">
        <f>_xlfn.XLOOKUP(A1153,[1]Municipios!$B:$B,[1]Municipios!$D:$D)</f>
        <v>Arenito-Caiuá</v>
      </c>
      <c r="D1153">
        <v>2025</v>
      </c>
      <c r="E1153" t="s">
        <v>237</v>
      </c>
      <c r="F1153">
        <v>1</v>
      </c>
      <c r="G1153">
        <v>84.58</v>
      </c>
    </row>
    <row r="1154" spans="1:7" x14ac:dyDescent="0.25">
      <c r="A1154" t="s">
        <v>560</v>
      </c>
      <c r="B1154" t="str">
        <f>_xlfn.XLOOKUP(A1154,[1]Municipios!$B:$B,[1]Municipios!$C:$C)</f>
        <v>Noroeste</v>
      </c>
      <c r="C1154" t="str">
        <f>_xlfn.XLOOKUP(A1154,[1]Municipios!$B:$B,[1]Municipios!$D:$D)</f>
        <v>Terra Roxa</v>
      </c>
      <c r="D1154">
        <v>2025</v>
      </c>
      <c r="E1154" t="s">
        <v>231</v>
      </c>
      <c r="F1154">
        <v>0.55549999999999988</v>
      </c>
      <c r="G1154">
        <v>33.31</v>
      </c>
    </row>
    <row r="1155" spans="1:7" x14ac:dyDescent="0.25">
      <c r="A1155" t="s">
        <v>560</v>
      </c>
      <c r="B1155" t="str">
        <f>_xlfn.XLOOKUP(A1155,[1]Municipios!$B:$B,[1]Municipios!$C:$C)</f>
        <v>Noroeste</v>
      </c>
      <c r="C1155" t="str">
        <f>_xlfn.XLOOKUP(A1155,[1]Municipios!$B:$B,[1]Municipios!$D:$D)</f>
        <v>Terra Roxa</v>
      </c>
      <c r="D1155">
        <v>2025</v>
      </c>
      <c r="E1155" t="s">
        <v>232</v>
      </c>
      <c r="F1155">
        <v>0.53849999999999998</v>
      </c>
      <c r="G1155">
        <v>33.31</v>
      </c>
    </row>
    <row r="1156" spans="1:7" x14ac:dyDescent="0.25">
      <c r="A1156" t="s">
        <v>560</v>
      </c>
      <c r="B1156" t="str">
        <f>_xlfn.XLOOKUP(A1156,[1]Municipios!$B:$B,[1]Municipios!$C:$C)</f>
        <v>Noroeste</v>
      </c>
      <c r="C1156" t="str">
        <f>_xlfn.XLOOKUP(A1156,[1]Municipios!$B:$B,[1]Municipios!$D:$D)</f>
        <v>Terra Roxa</v>
      </c>
      <c r="D1156">
        <v>2025</v>
      </c>
      <c r="E1156" t="s">
        <v>233</v>
      </c>
      <c r="F1156">
        <v>0.625</v>
      </c>
      <c r="G1156">
        <v>33.31</v>
      </c>
    </row>
    <row r="1157" spans="1:7" x14ac:dyDescent="0.25">
      <c r="A1157" t="s">
        <v>560</v>
      </c>
      <c r="B1157" t="str">
        <f>_xlfn.XLOOKUP(A1157,[1]Municipios!$B:$B,[1]Municipios!$C:$C)</f>
        <v>Noroeste</v>
      </c>
      <c r="C1157" t="str">
        <f>_xlfn.XLOOKUP(A1157,[1]Municipios!$B:$B,[1]Municipios!$D:$D)</f>
        <v>Terra Roxa</v>
      </c>
      <c r="D1157">
        <v>2025</v>
      </c>
      <c r="E1157" t="s">
        <v>215</v>
      </c>
      <c r="F1157">
        <v>0</v>
      </c>
      <c r="G1157">
        <v>33.31</v>
      </c>
    </row>
    <row r="1158" spans="1:7" x14ac:dyDescent="0.25">
      <c r="A1158" t="s">
        <v>560</v>
      </c>
      <c r="B1158" t="str">
        <f>_xlfn.XLOOKUP(A1158,[1]Municipios!$B:$B,[1]Municipios!$C:$C)</f>
        <v>Noroeste</v>
      </c>
      <c r="C1158" t="str">
        <f>_xlfn.XLOOKUP(A1158,[1]Municipios!$B:$B,[1]Municipios!$D:$D)</f>
        <v>Terra Roxa</v>
      </c>
      <c r="D1158">
        <v>2025</v>
      </c>
      <c r="E1158" t="s">
        <v>234</v>
      </c>
      <c r="F1158">
        <v>0.44440000000000002</v>
      </c>
      <c r="G1158">
        <v>33.31</v>
      </c>
    </row>
    <row r="1159" spans="1:7" x14ac:dyDescent="0.25">
      <c r="A1159" t="s">
        <v>560</v>
      </c>
      <c r="B1159" t="str">
        <f>_xlfn.XLOOKUP(A1159,[1]Municipios!$B:$B,[1]Municipios!$C:$C)</f>
        <v>Noroeste</v>
      </c>
      <c r="C1159" t="str">
        <f>_xlfn.XLOOKUP(A1159,[1]Municipios!$B:$B,[1]Municipios!$D:$D)</f>
        <v>Terra Roxa</v>
      </c>
      <c r="D1159">
        <v>2025</v>
      </c>
      <c r="E1159" t="s">
        <v>235</v>
      </c>
      <c r="F1159">
        <v>0.42849999999999999</v>
      </c>
      <c r="G1159">
        <v>33.31</v>
      </c>
    </row>
    <row r="1160" spans="1:7" x14ac:dyDescent="0.25">
      <c r="A1160" t="s">
        <v>560</v>
      </c>
      <c r="B1160" t="str">
        <f>_xlfn.XLOOKUP(A1160,[1]Municipios!$B:$B,[1]Municipios!$C:$C)</f>
        <v>Noroeste</v>
      </c>
      <c r="C1160" t="str">
        <f>_xlfn.XLOOKUP(A1160,[1]Municipios!$B:$B,[1]Municipios!$D:$D)</f>
        <v>Terra Roxa</v>
      </c>
      <c r="D1160">
        <v>2025</v>
      </c>
      <c r="E1160" t="s">
        <v>236</v>
      </c>
      <c r="F1160">
        <v>7.690000000000001E-2</v>
      </c>
      <c r="G1160">
        <v>33.31</v>
      </c>
    </row>
    <row r="1161" spans="1:7" x14ac:dyDescent="0.25">
      <c r="A1161" t="s">
        <v>560</v>
      </c>
      <c r="B1161" t="str">
        <f>_xlfn.XLOOKUP(A1161,[1]Municipios!$B:$B,[1]Municipios!$C:$C)</f>
        <v>Noroeste</v>
      </c>
      <c r="C1161" t="str">
        <f>_xlfn.XLOOKUP(A1161,[1]Municipios!$B:$B,[1]Municipios!$D:$D)</f>
        <v>Terra Roxa</v>
      </c>
      <c r="D1161">
        <v>2025</v>
      </c>
      <c r="E1161" t="s">
        <v>237</v>
      </c>
      <c r="F1161">
        <v>0</v>
      </c>
      <c r="G1161">
        <v>33.31</v>
      </c>
    </row>
    <row r="1162" spans="1:7" x14ac:dyDescent="0.25">
      <c r="A1162" t="s">
        <v>443</v>
      </c>
      <c r="B1162" t="str">
        <f>_xlfn.XLOOKUP(A1162,[1]Municipios!$B:$B,[1]Municipios!$C:$C)</f>
        <v>Oeste</v>
      </c>
      <c r="C1162" t="str">
        <f>_xlfn.XLOOKUP(A1162,[1]Municipios!$B:$B,[1]Municipios!$D:$D)</f>
        <v>Oeste Integrado</v>
      </c>
      <c r="D1162">
        <v>2025</v>
      </c>
      <c r="E1162" t="s">
        <v>231</v>
      </c>
      <c r="F1162">
        <v>0.22219999999999998</v>
      </c>
      <c r="G1162">
        <v>40.369999999999997</v>
      </c>
    </row>
    <row r="1163" spans="1:7" x14ac:dyDescent="0.25">
      <c r="A1163" t="s">
        <v>443</v>
      </c>
      <c r="B1163" t="str">
        <f>_xlfn.XLOOKUP(A1163,[1]Municipios!$B:$B,[1]Municipios!$C:$C)</f>
        <v>Oeste</v>
      </c>
      <c r="C1163" t="str">
        <f>_xlfn.XLOOKUP(A1163,[1]Municipios!$B:$B,[1]Municipios!$D:$D)</f>
        <v>Oeste Integrado</v>
      </c>
      <c r="D1163">
        <v>2025</v>
      </c>
      <c r="E1163" t="s">
        <v>232</v>
      </c>
      <c r="F1163">
        <v>0.61529999999999996</v>
      </c>
      <c r="G1163">
        <v>40.369999999999997</v>
      </c>
    </row>
    <row r="1164" spans="1:7" x14ac:dyDescent="0.25">
      <c r="A1164" t="s">
        <v>443</v>
      </c>
      <c r="B1164" t="str">
        <f>_xlfn.XLOOKUP(A1164,[1]Municipios!$B:$B,[1]Municipios!$C:$C)</f>
        <v>Oeste</v>
      </c>
      <c r="C1164" t="str">
        <f>_xlfn.XLOOKUP(A1164,[1]Municipios!$B:$B,[1]Municipios!$D:$D)</f>
        <v>Oeste Integrado</v>
      </c>
      <c r="D1164">
        <v>2025</v>
      </c>
      <c r="E1164" t="s">
        <v>233</v>
      </c>
      <c r="F1164">
        <v>0.375</v>
      </c>
      <c r="G1164">
        <v>40.369999999999997</v>
      </c>
    </row>
    <row r="1165" spans="1:7" x14ac:dyDescent="0.25">
      <c r="A1165" t="s">
        <v>443</v>
      </c>
      <c r="B1165" t="str">
        <f>_xlfn.XLOOKUP(A1165,[1]Municipios!$B:$B,[1]Municipios!$C:$C)</f>
        <v>Oeste</v>
      </c>
      <c r="C1165" t="str">
        <f>_xlfn.XLOOKUP(A1165,[1]Municipios!$B:$B,[1]Municipios!$D:$D)</f>
        <v>Oeste Integrado</v>
      </c>
      <c r="D1165">
        <v>2025</v>
      </c>
      <c r="E1165" t="s">
        <v>215</v>
      </c>
      <c r="F1165">
        <v>1</v>
      </c>
      <c r="G1165">
        <v>40.369999999999997</v>
      </c>
    </row>
    <row r="1166" spans="1:7" x14ac:dyDescent="0.25">
      <c r="A1166" t="s">
        <v>443</v>
      </c>
      <c r="B1166" t="str">
        <f>_xlfn.XLOOKUP(A1166,[1]Municipios!$B:$B,[1]Municipios!$C:$C)</f>
        <v>Oeste</v>
      </c>
      <c r="C1166" t="str">
        <f>_xlfn.XLOOKUP(A1166,[1]Municipios!$B:$B,[1]Municipios!$D:$D)</f>
        <v>Oeste Integrado</v>
      </c>
      <c r="D1166">
        <v>2025</v>
      </c>
      <c r="E1166" t="s">
        <v>234</v>
      </c>
      <c r="F1166">
        <v>0.44440000000000002</v>
      </c>
      <c r="G1166">
        <v>40.369999999999997</v>
      </c>
    </row>
    <row r="1167" spans="1:7" x14ac:dyDescent="0.25">
      <c r="A1167" t="s">
        <v>443</v>
      </c>
      <c r="B1167" t="str">
        <f>_xlfn.XLOOKUP(A1167,[1]Municipios!$B:$B,[1]Municipios!$C:$C)</f>
        <v>Oeste</v>
      </c>
      <c r="C1167" t="str">
        <f>_xlfn.XLOOKUP(A1167,[1]Municipios!$B:$B,[1]Municipios!$D:$D)</f>
        <v>Oeste Integrado</v>
      </c>
      <c r="D1167">
        <v>2025</v>
      </c>
      <c r="E1167" t="s">
        <v>235</v>
      </c>
      <c r="F1167">
        <v>0.42849999999999999</v>
      </c>
      <c r="G1167">
        <v>40.369999999999997</v>
      </c>
    </row>
    <row r="1168" spans="1:7" x14ac:dyDescent="0.25">
      <c r="A1168" t="s">
        <v>443</v>
      </c>
      <c r="B1168" t="str">
        <f>_xlfn.XLOOKUP(A1168,[1]Municipios!$B:$B,[1]Municipios!$C:$C)</f>
        <v>Oeste</v>
      </c>
      <c r="C1168" t="str">
        <f>_xlfn.XLOOKUP(A1168,[1]Municipios!$B:$B,[1]Municipios!$D:$D)</f>
        <v>Oeste Integrado</v>
      </c>
      <c r="D1168">
        <v>2025</v>
      </c>
      <c r="E1168" t="s">
        <v>236</v>
      </c>
      <c r="F1168">
        <v>0</v>
      </c>
      <c r="G1168">
        <v>40.369999999999997</v>
      </c>
    </row>
    <row r="1169" spans="1:7" x14ac:dyDescent="0.25">
      <c r="A1169" t="s">
        <v>443</v>
      </c>
      <c r="B1169" t="str">
        <f>_xlfn.XLOOKUP(A1169,[1]Municipios!$B:$B,[1]Municipios!$C:$C)</f>
        <v>Oeste</v>
      </c>
      <c r="C1169" t="str">
        <f>_xlfn.XLOOKUP(A1169,[1]Municipios!$B:$B,[1]Municipios!$D:$D)</f>
        <v>Oeste Integrado</v>
      </c>
      <c r="D1169">
        <v>2025</v>
      </c>
      <c r="E1169" t="s">
        <v>237</v>
      </c>
      <c r="F1169">
        <v>0</v>
      </c>
      <c r="G1169">
        <v>40.369999999999997</v>
      </c>
    </row>
    <row r="1170" spans="1:7" x14ac:dyDescent="0.25">
      <c r="A1170" t="s">
        <v>561</v>
      </c>
      <c r="B1170" t="str">
        <f>_xlfn.XLOOKUP(A1170,[1]Municipios!$B:$B,[1]Municipios!$C:$C)</f>
        <v>Centro</v>
      </c>
      <c r="C1170" t="str">
        <f>_xlfn.XLOOKUP(A1170,[1]Municipios!$B:$B,[1]Municipios!$D:$D)</f>
        <v>Vale Do Tibagi</v>
      </c>
      <c r="D1170">
        <v>2025</v>
      </c>
      <c r="E1170" t="s">
        <v>231</v>
      </c>
      <c r="F1170">
        <v>0.22219999999999998</v>
      </c>
      <c r="G1170">
        <v>0</v>
      </c>
    </row>
    <row r="1171" spans="1:7" x14ac:dyDescent="0.25">
      <c r="A1171" t="s">
        <v>561</v>
      </c>
      <c r="B1171" t="str">
        <f>_xlfn.XLOOKUP(A1171,[1]Municipios!$B:$B,[1]Municipios!$C:$C)</f>
        <v>Centro</v>
      </c>
      <c r="C1171" t="str">
        <f>_xlfn.XLOOKUP(A1171,[1]Municipios!$B:$B,[1]Municipios!$D:$D)</f>
        <v>Vale Do Tibagi</v>
      </c>
      <c r="D1171">
        <v>2025</v>
      </c>
      <c r="E1171" t="s">
        <v>232</v>
      </c>
      <c r="F1171">
        <v>0.30760000000000004</v>
      </c>
      <c r="G1171">
        <v>0</v>
      </c>
    </row>
    <row r="1172" spans="1:7" x14ac:dyDescent="0.25">
      <c r="A1172" t="s">
        <v>561</v>
      </c>
      <c r="B1172" t="str">
        <f>_xlfn.XLOOKUP(A1172,[1]Municipios!$B:$B,[1]Municipios!$C:$C)</f>
        <v>Centro</v>
      </c>
      <c r="C1172" t="str">
        <f>_xlfn.XLOOKUP(A1172,[1]Municipios!$B:$B,[1]Municipios!$D:$D)</f>
        <v>Vale Do Tibagi</v>
      </c>
      <c r="D1172">
        <v>2025</v>
      </c>
      <c r="E1172" t="s">
        <v>233</v>
      </c>
      <c r="F1172">
        <v>0.125</v>
      </c>
      <c r="G1172">
        <v>0</v>
      </c>
    </row>
    <row r="1173" spans="1:7" x14ac:dyDescent="0.25">
      <c r="A1173" t="s">
        <v>561</v>
      </c>
      <c r="B1173" t="str">
        <f>_xlfn.XLOOKUP(A1173,[1]Municipios!$B:$B,[1]Municipios!$C:$C)</f>
        <v>Centro</v>
      </c>
      <c r="C1173" t="str">
        <f>_xlfn.XLOOKUP(A1173,[1]Municipios!$B:$B,[1]Municipios!$D:$D)</f>
        <v>Vale Do Tibagi</v>
      </c>
      <c r="D1173">
        <v>2025</v>
      </c>
      <c r="E1173" t="s">
        <v>215</v>
      </c>
      <c r="F1173">
        <v>0</v>
      </c>
      <c r="G1173">
        <v>0</v>
      </c>
    </row>
    <row r="1174" spans="1:7" x14ac:dyDescent="0.25">
      <c r="A1174" t="s">
        <v>561</v>
      </c>
      <c r="B1174" t="str">
        <f>_xlfn.XLOOKUP(A1174,[1]Municipios!$B:$B,[1]Municipios!$C:$C)</f>
        <v>Centro</v>
      </c>
      <c r="C1174" t="str">
        <f>_xlfn.XLOOKUP(A1174,[1]Municipios!$B:$B,[1]Municipios!$D:$D)</f>
        <v>Vale Do Tibagi</v>
      </c>
      <c r="D1174">
        <v>2025</v>
      </c>
      <c r="E1174" t="s">
        <v>234</v>
      </c>
      <c r="F1174">
        <v>0.1111</v>
      </c>
      <c r="G1174">
        <v>0</v>
      </c>
    </row>
    <row r="1175" spans="1:7" x14ac:dyDescent="0.25">
      <c r="A1175" t="s">
        <v>561</v>
      </c>
      <c r="B1175" t="str">
        <f>_xlfn.XLOOKUP(A1175,[1]Municipios!$B:$B,[1]Municipios!$C:$C)</f>
        <v>Centro</v>
      </c>
      <c r="C1175" t="str">
        <f>_xlfn.XLOOKUP(A1175,[1]Municipios!$B:$B,[1]Municipios!$D:$D)</f>
        <v>Vale Do Tibagi</v>
      </c>
      <c r="D1175">
        <v>2025</v>
      </c>
      <c r="E1175" t="s">
        <v>235</v>
      </c>
      <c r="F1175">
        <v>0.1429</v>
      </c>
      <c r="G1175">
        <v>0</v>
      </c>
    </row>
    <row r="1176" spans="1:7" x14ac:dyDescent="0.25">
      <c r="A1176" t="s">
        <v>561</v>
      </c>
      <c r="B1176" t="str">
        <f>_xlfn.XLOOKUP(A1176,[1]Municipios!$B:$B,[1]Municipios!$C:$C)</f>
        <v>Centro</v>
      </c>
      <c r="C1176" t="str">
        <f>_xlfn.XLOOKUP(A1176,[1]Municipios!$B:$B,[1]Municipios!$D:$D)</f>
        <v>Vale Do Tibagi</v>
      </c>
      <c r="D1176">
        <v>2025</v>
      </c>
      <c r="E1176" t="s">
        <v>236</v>
      </c>
      <c r="F1176">
        <v>0</v>
      </c>
      <c r="G1176">
        <v>0</v>
      </c>
    </row>
    <row r="1177" spans="1:7" x14ac:dyDescent="0.25">
      <c r="A1177" t="s">
        <v>561</v>
      </c>
      <c r="B1177" t="str">
        <f>_xlfn.XLOOKUP(A1177,[1]Municipios!$B:$B,[1]Municipios!$C:$C)</f>
        <v>Centro</v>
      </c>
      <c r="C1177" t="str">
        <f>_xlfn.XLOOKUP(A1177,[1]Municipios!$B:$B,[1]Municipios!$D:$D)</f>
        <v>Vale Do Tibagi</v>
      </c>
      <c r="D1177">
        <v>2025</v>
      </c>
      <c r="E1177" t="s">
        <v>237</v>
      </c>
      <c r="F1177">
        <v>0</v>
      </c>
      <c r="G1177">
        <v>0</v>
      </c>
    </row>
    <row r="1178" spans="1:7" x14ac:dyDescent="0.25">
      <c r="A1178" t="s">
        <v>562</v>
      </c>
      <c r="B1178" t="str">
        <f>_xlfn.XLOOKUP(A1178,[1]Municipios!$B:$B,[1]Municipios!$C:$C)</f>
        <v>Centro</v>
      </c>
      <c r="C1178" t="str">
        <f>_xlfn.XLOOKUP(A1178,[1]Municipios!$B:$B,[1]Municipios!$D:$D)</f>
        <v>Vale Dos Pinheirais</v>
      </c>
      <c r="D1178">
        <v>2025</v>
      </c>
      <c r="E1178" t="s">
        <v>231</v>
      </c>
      <c r="F1178">
        <v>0.33329999999999999</v>
      </c>
      <c r="G1178">
        <v>60.19</v>
      </c>
    </row>
    <row r="1179" spans="1:7" x14ac:dyDescent="0.25">
      <c r="A1179" t="s">
        <v>562</v>
      </c>
      <c r="B1179" t="str">
        <f>_xlfn.XLOOKUP(A1179,[1]Municipios!$B:$B,[1]Municipios!$C:$C)</f>
        <v>Centro</v>
      </c>
      <c r="C1179" t="str">
        <f>_xlfn.XLOOKUP(A1179,[1]Municipios!$B:$B,[1]Municipios!$D:$D)</f>
        <v>Vale Dos Pinheirais</v>
      </c>
      <c r="D1179">
        <v>2025</v>
      </c>
      <c r="E1179" t="s">
        <v>232</v>
      </c>
      <c r="F1179">
        <v>0.61539999999999995</v>
      </c>
      <c r="G1179">
        <v>60.19</v>
      </c>
    </row>
    <row r="1180" spans="1:7" x14ac:dyDescent="0.25">
      <c r="A1180" t="s">
        <v>562</v>
      </c>
      <c r="B1180" t="str">
        <f>_xlfn.XLOOKUP(A1180,[1]Municipios!$B:$B,[1]Municipios!$C:$C)</f>
        <v>Centro</v>
      </c>
      <c r="C1180" t="str">
        <f>_xlfn.XLOOKUP(A1180,[1]Municipios!$B:$B,[1]Municipios!$D:$D)</f>
        <v>Vale Dos Pinheirais</v>
      </c>
      <c r="D1180">
        <v>2025</v>
      </c>
      <c r="E1180" t="s">
        <v>233</v>
      </c>
      <c r="F1180">
        <v>0.875</v>
      </c>
      <c r="G1180">
        <v>60.19</v>
      </c>
    </row>
    <row r="1181" spans="1:7" x14ac:dyDescent="0.25">
      <c r="A1181" t="s">
        <v>562</v>
      </c>
      <c r="B1181" t="str">
        <f>_xlfn.XLOOKUP(A1181,[1]Municipios!$B:$B,[1]Municipios!$C:$C)</f>
        <v>Centro</v>
      </c>
      <c r="C1181" t="str">
        <f>_xlfn.XLOOKUP(A1181,[1]Municipios!$B:$B,[1]Municipios!$D:$D)</f>
        <v>Vale Dos Pinheirais</v>
      </c>
      <c r="D1181">
        <v>2025</v>
      </c>
      <c r="E1181" t="s">
        <v>215</v>
      </c>
      <c r="F1181">
        <v>9.9999999999999992E-2</v>
      </c>
      <c r="G1181">
        <v>60.19</v>
      </c>
    </row>
    <row r="1182" spans="1:7" x14ac:dyDescent="0.25">
      <c r="A1182" t="s">
        <v>562</v>
      </c>
      <c r="B1182" t="str">
        <f>_xlfn.XLOOKUP(A1182,[1]Municipios!$B:$B,[1]Municipios!$C:$C)</f>
        <v>Centro</v>
      </c>
      <c r="C1182" t="str">
        <f>_xlfn.XLOOKUP(A1182,[1]Municipios!$B:$B,[1]Municipios!$D:$D)</f>
        <v>Vale Dos Pinheirais</v>
      </c>
      <c r="D1182">
        <v>2025</v>
      </c>
      <c r="E1182" t="s">
        <v>234</v>
      </c>
      <c r="F1182">
        <v>0.77780000000000005</v>
      </c>
      <c r="G1182">
        <v>60.19</v>
      </c>
    </row>
    <row r="1183" spans="1:7" x14ac:dyDescent="0.25">
      <c r="A1183" t="s">
        <v>562</v>
      </c>
      <c r="B1183" t="str">
        <f>_xlfn.XLOOKUP(A1183,[1]Municipios!$B:$B,[1]Municipios!$C:$C)</f>
        <v>Centro</v>
      </c>
      <c r="C1183" t="str">
        <f>_xlfn.XLOOKUP(A1183,[1]Municipios!$B:$B,[1]Municipios!$D:$D)</f>
        <v>Vale Dos Pinheirais</v>
      </c>
      <c r="D1183">
        <v>2025</v>
      </c>
      <c r="E1183" t="s">
        <v>235</v>
      </c>
      <c r="F1183">
        <v>0.85710000000000008</v>
      </c>
      <c r="G1183">
        <v>60.19</v>
      </c>
    </row>
    <row r="1184" spans="1:7" x14ac:dyDescent="0.25">
      <c r="A1184" t="s">
        <v>562</v>
      </c>
      <c r="B1184" t="str">
        <f>_xlfn.XLOOKUP(A1184,[1]Municipios!$B:$B,[1]Municipios!$C:$C)</f>
        <v>Centro</v>
      </c>
      <c r="C1184" t="str">
        <f>_xlfn.XLOOKUP(A1184,[1]Municipios!$B:$B,[1]Municipios!$D:$D)</f>
        <v>Vale Dos Pinheirais</v>
      </c>
      <c r="D1184">
        <v>2025</v>
      </c>
      <c r="E1184" t="s">
        <v>236</v>
      </c>
      <c r="F1184">
        <v>0.30770000000000003</v>
      </c>
      <c r="G1184">
        <v>60.19</v>
      </c>
    </row>
    <row r="1185" spans="1:7" x14ac:dyDescent="0.25">
      <c r="A1185" t="s">
        <v>562</v>
      </c>
      <c r="B1185" t="str">
        <f>_xlfn.XLOOKUP(A1185,[1]Municipios!$B:$B,[1]Municipios!$C:$C)</f>
        <v>Centro</v>
      </c>
      <c r="C1185" t="str">
        <f>_xlfn.XLOOKUP(A1185,[1]Municipios!$B:$B,[1]Municipios!$D:$D)</f>
        <v>Vale Dos Pinheirais</v>
      </c>
      <c r="D1185">
        <v>2025</v>
      </c>
      <c r="E1185" t="s">
        <v>237</v>
      </c>
      <c r="F1185">
        <v>1</v>
      </c>
      <c r="G1185">
        <v>60.19</v>
      </c>
    </row>
    <row r="1186" spans="1:7" x14ac:dyDescent="0.25">
      <c r="A1186" t="s">
        <v>563</v>
      </c>
      <c r="B1186" t="str">
        <f>_xlfn.XLOOKUP(A1186,[1]Municipios!$B:$B,[1]Municipios!$C:$C)</f>
        <v>Centro</v>
      </c>
      <c r="C1186" t="str">
        <f>_xlfn.XLOOKUP(A1186,[1]Municipios!$B:$B,[1]Municipios!$D:$D)</f>
        <v>Vale Dos Pinheirais</v>
      </c>
      <c r="D1186">
        <v>2025</v>
      </c>
      <c r="E1186" t="s">
        <v>231</v>
      </c>
      <c r="F1186">
        <v>0.33339999999999992</v>
      </c>
      <c r="G1186">
        <v>36.590000000000003</v>
      </c>
    </row>
    <row r="1187" spans="1:7" x14ac:dyDescent="0.25">
      <c r="A1187" t="s">
        <v>563</v>
      </c>
      <c r="B1187" t="str">
        <f>_xlfn.XLOOKUP(A1187,[1]Municipios!$B:$B,[1]Municipios!$C:$C)</f>
        <v>Centro</v>
      </c>
      <c r="C1187" t="str">
        <f>_xlfn.XLOOKUP(A1187,[1]Municipios!$B:$B,[1]Municipios!$D:$D)</f>
        <v>Vale Dos Pinheirais</v>
      </c>
      <c r="D1187">
        <v>2025</v>
      </c>
      <c r="E1187" t="s">
        <v>232</v>
      </c>
      <c r="F1187">
        <v>1</v>
      </c>
      <c r="G1187">
        <v>36.590000000000003</v>
      </c>
    </row>
    <row r="1188" spans="1:7" x14ac:dyDescent="0.25">
      <c r="A1188" t="s">
        <v>563</v>
      </c>
      <c r="B1188" t="str">
        <f>_xlfn.XLOOKUP(A1188,[1]Municipios!$B:$B,[1]Municipios!$C:$C)</f>
        <v>Centro</v>
      </c>
      <c r="C1188" t="str">
        <f>_xlfn.XLOOKUP(A1188,[1]Municipios!$B:$B,[1]Municipios!$D:$D)</f>
        <v>Vale Dos Pinheirais</v>
      </c>
      <c r="D1188">
        <v>2025</v>
      </c>
      <c r="E1188" t="s">
        <v>233</v>
      </c>
      <c r="F1188">
        <v>0.75</v>
      </c>
      <c r="G1188">
        <v>36.590000000000003</v>
      </c>
    </row>
    <row r="1189" spans="1:7" x14ac:dyDescent="0.25">
      <c r="A1189" t="s">
        <v>563</v>
      </c>
      <c r="B1189" t="str">
        <f>_xlfn.XLOOKUP(A1189,[1]Municipios!$B:$B,[1]Municipios!$C:$C)</f>
        <v>Centro</v>
      </c>
      <c r="C1189" t="str">
        <f>_xlfn.XLOOKUP(A1189,[1]Municipios!$B:$B,[1]Municipios!$D:$D)</f>
        <v>Vale Dos Pinheirais</v>
      </c>
      <c r="D1189">
        <v>2025</v>
      </c>
      <c r="E1189" t="s">
        <v>215</v>
      </c>
      <c r="F1189">
        <v>0.3</v>
      </c>
      <c r="G1189">
        <v>36.590000000000003</v>
      </c>
    </row>
    <row r="1190" spans="1:7" x14ac:dyDescent="0.25">
      <c r="A1190" t="s">
        <v>563</v>
      </c>
      <c r="B1190" t="str">
        <f>_xlfn.XLOOKUP(A1190,[1]Municipios!$B:$B,[1]Municipios!$C:$C)</f>
        <v>Centro</v>
      </c>
      <c r="C1190" t="str">
        <f>_xlfn.XLOOKUP(A1190,[1]Municipios!$B:$B,[1]Municipios!$D:$D)</f>
        <v>Vale Dos Pinheirais</v>
      </c>
      <c r="D1190">
        <v>2025</v>
      </c>
      <c r="E1190" t="s">
        <v>234</v>
      </c>
      <c r="F1190">
        <v>0.1111</v>
      </c>
      <c r="G1190">
        <v>36.590000000000003</v>
      </c>
    </row>
    <row r="1191" spans="1:7" x14ac:dyDescent="0.25">
      <c r="A1191" t="s">
        <v>563</v>
      </c>
      <c r="B1191" t="str">
        <f>_xlfn.XLOOKUP(A1191,[1]Municipios!$B:$B,[1]Municipios!$C:$C)</f>
        <v>Centro</v>
      </c>
      <c r="C1191" t="str">
        <f>_xlfn.XLOOKUP(A1191,[1]Municipios!$B:$B,[1]Municipios!$D:$D)</f>
        <v>Vale Dos Pinheirais</v>
      </c>
      <c r="D1191">
        <v>2025</v>
      </c>
      <c r="E1191" t="s">
        <v>235</v>
      </c>
      <c r="F1191">
        <v>0.42839999999999995</v>
      </c>
      <c r="G1191">
        <v>36.590000000000003</v>
      </c>
    </row>
    <row r="1192" spans="1:7" x14ac:dyDescent="0.25">
      <c r="A1192" t="s">
        <v>563</v>
      </c>
      <c r="B1192" t="str">
        <f>_xlfn.XLOOKUP(A1192,[1]Municipios!$B:$B,[1]Municipios!$C:$C)</f>
        <v>Centro</v>
      </c>
      <c r="C1192" t="str">
        <f>_xlfn.XLOOKUP(A1192,[1]Municipios!$B:$B,[1]Municipios!$D:$D)</f>
        <v>Vale Dos Pinheirais</v>
      </c>
      <c r="D1192">
        <v>2025</v>
      </c>
      <c r="E1192" t="s">
        <v>236</v>
      </c>
      <c r="F1192">
        <v>7.690000000000001E-2</v>
      </c>
      <c r="G1192">
        <v>36.590000000000003</v>
      </c>
    </row>
    <row r="1193" spans="1:7" x14ac:dyDescent="0.25">
      <c r="A1193" t="s">
        <v>563</v>
      </c>
      <c r="B1193" t="str">
        <f>_xlfn.XLOOKUP(A1193,[1]Municipios!$B:$B,[1]Municipios!$C:$C)</f>
        <v>Centro</v>
      </c>
      <c r="C1193" t="str">
        <f>_xlfn.XLOOKUP(A1193,[1]Municipios!$B:$B,[1]Municipios!$D:$D)</f>
        <v>Vale Dos Pinheirais</v>
      </c>
      <c r="D1193">
        <v>2025</v>
      </c>
      <c r="E1193" t="s">
        <v>237</v>
      </c>
      <c r="F1193">
        <v>0</v>
      </c>
      <c r="G1193">
        <v>36.590000000000003</v>
      </c>
    </row>
    <row r="1194" spans="1:7" x14ac:dyDescent="0.25">
      <c r="A1194" t="s">
        <v>409</v>
      </c>
      <c r="B1194" t="str">
        <f>_xlfn.XLOOKUP(A1194,[1]Municipios!$B:$B,[1]Municipios!$C:$C)</f>
        <v>Noroeste</v>
      </c>
      <c r="C1194" t="str">
        <f>_xlfn.XLOOKUP(A1194,[1]Municipios!$B:$B,[1]Municipios!$D:$D)</f>
        <v>Costa Noroeste</v>
      </c>
      <c r="D1194">
        <v>2025</v>
      </c>
      <c r="E1194" t="s">
        <v>231</v>
      </c>
      <c r="F1194">
        <v>0.77769999999999995</v>
      </c>
      <c r="G1194">
        <v>68.36</v>
      </c>
    </row>
    <row r="1195" spans="1:7" x14ac:dyDescent="0.25">
      <c r="A1195" t="s">
        <v>409</v>
      </c>
      <c r="B1195" t="str">
        <f>_xlfn.XLOOKUP(A1195,[1]Municipios!$B:$B,[1]Municipios!$C:$C)</f>
        <v>Noroeste</v>
      </c>
      <c r="C1195" t="str">
        <f>_xlfn.XLOOKUP(A1195,[1]Municipios!$B:$B,[1]Municipios!$D:$D)</f>
        <v>Costa Noroeste</v>
      </c>
      <c r="D1195">
        <v>2025</v>
      </c>
      <c r="E1195" t="s">
        <v>232</v>
      </c>
      <c r="F1195">
        <v>0.61539999999999995</v>
      </c>
      <c r="G1195">
        <v>68.36</v>
      </c>
    </row>
    <row r="1196" spans="1:7" x14ac:dyDescent="0.25">
      <c r="A1196" t="s">
        <v>409</v>
      </c>
      <c r="B1196" t="str">
        <f>_xlfn.XLOOKUP(A1196,[1]Municipios!$B:$B,[1]Municipios!$C:$C)</f>
        <v>Noroeste</v>
      </c>
      <c r="C1196" t="str">
        <f>_xlfn.XLOOKUP(A1196,[1]Municipios!$B:$B,[1]Municipios!$D:$D)</f>
        <v>Costa Noroeste</v>
      </c>
      <c r="D1196">
        <v>2025</v>
      </c>
      <c r="E1196" t="s">
        <v>233</v>
      </c>
      <c r="F1196">
        <v>0.75</v>
      </c>
      <c r="G1196">
        <v>68.36</v>
      </c>
    </row>
    <row r="1197" spans="1:7" x14ac:dyDescent="0.25">
      <c r="A1197" t="s">
        <v>409</v>
      </c>
      <c r="B1197" t="str">
        <f>_xlfn.XLOOKUP(A1197,[1]Municipios!$B:$B,[1]Municipios!$C:$C)</f>
        <v>Noroeste</v>
      </c>
      <c r="C1197" t="str">
        <f>_xlfn.XLOOKUP(A1197,[1]Municipios!$B:$B,[1]Municipios!$D:$D)</f>
        <v>Costa Noroeste</v>
      </c>
      <c r="D1197">
        <v>2025</v>
      </c>
      <c r="E1197" t="s">
        <v>215</v>
      </c>
      <c r="F1197">
        <v>0.70000000000000007</v>
      </c>
      <c r="G1197">
        <v>68.36</v>
      </c>
    </row>
    <row r="1198" spans="1:7" x14ac:dyDescent="0.25">
      <c r="A1198" t="s">
        <v>409</v>
      </c>
      <c r="B1198" t="str">
        <f>_xlfn.XLOOKUP(A1198,[1]Municipios!$B:$B,[1]Municipios!$C:$C)</f>
        <v>Noroeste</v>
      </c>
      <c r="C1198" t="str">
        <f>_xlfn.XLOOKUP(A1198,[1]Municipios!$B:$B,[1]Municipios!$D:$D)</f>
        <v>Costa Noroeste</v>
      </c>
      <c r="D1198">
        <v>2025</v>
      </c>
      <c r="E1198" t="s">
        <v>234</v>
      </c>
      <c r="F1198">
        <v>0.66659999999999997</v>
      </c>
      <c r="G1198">
        <v>68.36</v>
      </c>
    </row>
    <row r="1199" spans="1:7" x14ac:dyDescent="0.25">
      <c r="A1199" t="s">
        <v>409</v>
      </c>
      <c r="B1199" t="str">
        <f>_xlfn.XLOOKUP(A1199,[1]Municipios!$B:$B,[1]Municipios!$C:$C)</f>
        <v>Noroeste</v>
      </c>
      <c r="C1199" t="str">
        <f>_xlfn.XLOOKUP(A1199,[1]Municipios!$B:$B,[1]Municipios!$D:$D)</f>
        <v>Costa Noroeste</v>
      </c>
      <c r="D1199">
        <v>2025</v>
      </c>
      <c r="E1199" t="s">
        <v>235</v>
      </c>
      <c r="F1199">
        <v>0.85710000000000008</v>
      </c>
      <c r="G1199">
        <v>68.36</v>
      </c>
    </row>
    <row r="1200" spans="1:7" x14ac:dyDescent="0.25">
      <c r="A1200" t="s">
        <v>409</v>
      </c>
      <c r="B1200" t="str">
        <f>_xlfn.XLOOKUP(A1200,[1]Municipios!$B:$B,[1]Municipios!$C:$C)</f>
        <v>Noroeste</v>
      </c>
      <c r="C1200" t="str">
        <f>_xlfn.XLOOKUP(A1200,[1]Municipios!$B:$B,[1]Municipios!$D:$D)</f>
        <v>Costa Noroeste</v>
      </c>
      <c r="D1200">
        <v>2025</v>
      </c>
      <c r="E1200" t="s">
        <v>236</v>
      </c>
      <c r="F1200">
        <v>0.15379999999999999</v>
      </c>
      <c r="G1200">
        <v>68.36</v>
      </c>
    </row>
    <row r="1201" spans="1:7" x14ac:dyDescent="0.25">
      <c r="A1201" t="s">
        <v>409</v>
      </c>
      <c r="B1201" t="str">
        <f>_xlfn.XLOOKUP(A1201,[1]Municipios!$B:$B,[1]Municipios!$C:$C)</f>
        <v>Noroeste</v>
      </c>
      <c r="C1201" t="str">
        <f>_xlfn.XLOOKUP(A1201,[1]Municipios!$B:$B,[1]Municipios!$D:$D)</f>
        <v>Costa Noroeste</v>
      </c>
      <c r="D1201">
        <v>2025</v>
      </c>
      <c r="E1201" t="s">
        <v>237</v>
      </c>
      <c r="F1201">
        <v>1</v>
      </c>
      <c r="G1201">
        <v>68.36</v>
      </c>
    </row>
    <row r="1202" spans="1:7" x14ac:dyDescent="0.25">
      <c r="A1202" t="s">
        <v>564</v>
      </c>
      <c r="B1202" t="str">
        <f>_xlfn.XLOOKUP(A1202,[1]Municipios!$B:$B,[1]Municipios!$C:$C)</f>
        <v>Noroeste</v>
      </c>
      <c r="C1202" t="str">
        <f>_xlfn.XLOOKUP(A1202,[1]Municipios!$B:$B,[1]Municipios!$D:$D)</f>
        <v>Médio Noroeste</v>
      </c>
      <c r="D1202">
        <v>2025</v>
      </c>
      <c r="E1202" t="s">
        <v>231</v>
      </c>
      <c r="F1202">
        <v>0.22219999999999998</v>
      </c>
      <c r="G1202">
        <v>29.29</v>
      </c>
    </row>
    <row r="1203" spans="1:7" x14ac:dyDescent="0.25">
      <c r="A1203" t="s">
        <v>564</v>
      </c>
      <c r="B1203" t="str">
        <f>_xlfn.XLOOKUP(A1203,[1]Municipios!$B:$B,[1]Municipios!$C:$C)</f>
        <v>Noroeste</v>
      </c>
      <c r="C1203" t="str">
        <f>_xlfn.XLOOKUP(A1203,[1]Municipios!$B:$B,[1]Municipios!$D:$D)</f>
        <v>Médio Noroeste</v>
      </c>
      <c r="D1203">
        <v>2025</v>
      </c>
      <c r="E1203" t="s">
        <v>232</v>
      </c>
      <c r="F1203">
        <v>0.53849999999999998</v>
      </c>
      <c r="G1203">
        <v>29.29</v>
      </c>
    </row>
    <row r="1204" spans="1:7" x14ac:dyDescent="0.25">
      <c r="A1204" t="s">
        <v>564</v>
      </c>
      <c r="B1204" t="str">
        <f>_xlfn.XLOOKUP(A1204,[1]Municipios!$B:$B,[1]Municipios!$C:$C)</f>
        <v>Noroeste</v>
      </c>
      <c r="C1204" t="str">
        <f>_xlfn.XLOOKUP(A1204,[1]Municipios!$B:$B,[1]Municipios!$D:$D)</f>
        <v>Médio Noroeste</v>
      </c>
      <c r="D1204">
        <v>2025</v>
      </c>
      <c r="E1204" t="s">
        <v>233</v>
      </c>
      <c r="F1204">
        <v>0.375</v>
      </c>
      <c r="G1204">
        <v>29.29</v>
      </c>
    </row>
    <row r="1205" spans="1:7" x14ac:dyDescent="0.25">
      <c r="A1205" t="s">
        <v>564</v>
      </c>
      <c r="B1205" t="str">
        <f>_xlfn.XLOOKUP(A1205,[1]Municipios!$B:$B,[1]Municipios!$C:$C)</f>
        <v>Noroeste</v>
      </c>
      <c r="C1205" t="str">
        <f>_xlfn.XLOOKUP(A1205,[1]Municipios!$B:$B,[1]Municipios!$D:$D)</f>
        <v>Médio Noroeste</v>
      </c>
      <c r="D1205">
        <v>2025</v>
      </c>
      <c r="E1205" t="s">
        <v>215</v>
      </c>
      <c r="F1205">
        <v>0.39999999999999997</v>
      </c>
      <c r="G1205">
        <v>29.29</v>
      </c>
    </row>
    <row r="1206" spans="1:7" x14ac:dyDescent="0.25">
      <c r="A1206" t="s">
        <v>564</v>
      </c>
      <c r="B1206" t="str">
        <f>_xlfn.XLOOKUP(A1206,[1]Municipios!$B:$B,[1]Municipios!$C:$C)</f>
        <v>Noroeste</v>
      </c>
      <c r="C1206" t="str">
        <f>_xlfn.XLOOKUP(A1206,[1]Municipios!$B:$B,[1]Municipios!$D:$D)</f>
        <v>Médio Noroeste</v>
      </c>
      <c r="D1206">
        <v>2025</v>
      </c>
      <c r="E1206" t="s">
        <v>234</v>
      </c>
      <c r="F1206">
        <v>0.66659999999999997</v>
      </c>
      <c r="G1206">
        <v>29.29</v>
      </c>
    </row>
    <row r="1207" spans="1:7" x14ac:dyDescent="0.25">
      <c r="A1207" t="s">
        <v>564</v>
      </c>
      <c r="B1207" t="str">
        <f>_xlfn.XLOOKUP(A1207,[1]Municipios!$B:$B,[1]Municipios!$C:$C)</f>
        <v>Noroeste</v>
      </c>
      <c r="C1207" t="str">
        <f>_xlfn.XLOOKUP(A1207,[1]Municipios!$B:$B,[1]Municipios!$D:$D)</f>
        <v>Médio Noroeste</v>
      </c>
      <c r="D1207">
        <v>2025</v>
      </c>
      <c r="E1207" t="s">
        <v>235</v>
      </c>
      <c r="F1207">
        <v>0</v>
      </c>
      <c r="G1207">
        <v>29.29</v>
      </c>
    </row>
    <row r="1208" spans="1:7" x14ac:dyDescent="0.25">
      <c r="A1208" t="s">
        <v>564</v>
      </c>
      <c r="B1208" t="str">
        <f>_xlfn.XLOOKUP(A1208,[1]Municipios!$B:$B,[1]Municipios!$C:$C)</f>
        <v>Noroeste</v>
      </c>
      <c r="C1208" t="str">
        <f>_xlfn.XLOOKUP(A1208,[1]Municipios!$B:$B,[1]Municipios!$D:$D)</f>
        <v>Médio Noroeste</v>
      </c>
      <c r="D1208">
        <v>2025</v>
      </c>
      <c r="E1208" t="s">
        <v>236</v>
      </c>
      <c r="F1208">
        <v>0</v>
      </c>
      <c r="G1208">
        <v>29.29</v>
      </c>
    </row>
    <row r="1209" spans="1:7" x14ac:dyDescent="0.25">
      <c r="A1209" t="s">
        <v>564</v>
      </c>
      <c r="B1209" t="str">
        <f>_xlfn.XLOOKUP(A1209,[1]Municipios!$B:$B,[1]Municipios!$C:$C)</f>
        <v>Noroeste</v>
      </c>
      <c r="C1209" t="str">
        <f>_xlfn.XLOOKUP(A1209,[1]Municipios!$B:$B,[1]Municipios!$D:$D)</f>
        <v>Médio Noroeste</v>
      </c>
      <c r="D1209">
        <v>2025</v>
      </c>
      <c r="E1209" t="s">
        <v>237</v>
      </c>
      <c r="F1209">
        <v>0</v>
      </c>
      <c r="G1209">
        <v>29.29</v>
      </c>
    </row>
    <row r="1210" spans="1:7" x14ac:dyDescent="0.25">
      <c r="A1210" t="s">
        <v>275</v>
      </c>
      <c r="B1210" t="str">
        <f>_xlfn.XLOOKUP(A1210,[1]Municipios!$B:$B,[1]Municipios!$C:$C)</f>
        <v>Centro</v>
      </c>
      <c r="C1210" t="str">
        <f>_xlfn.XLOOKUP(A1210,[1]Municipios!$B:$B,[1]Municipios!$D:$D)</f>
        <v>Campos Gerais</v>
      </c>
      <c r="D1210">
        <v>2025</v>
      </c>
      <c r="E1210" t="s">
        <v>231</v>
      </c>
      <c r="F1210">
        <v>0.88890000000000002</v>
      </c>
      <c r="G1210">
        <v>54.96</v>
      </c>
    </row>
    <row r="1211" spans="1:7" x14ac:dyDescent="0.25">
      <c r="A1211" t="s">
        <v>275</v>
      </c>
      <c r="B1211" t="str">
        <f>_xlfn.XLOOKUP(A1211,[1]Municipios!$B:$B,[1]Municipios!$C:$C)</f>
        <v>Centro</v>
      </c>
      <c r="C1211" t="str">
        <f>_xlfn.XLOOKUP(A1211,[1]Municipios!$B:$B,[1]Municipios!$D:$D)</f>
        <v>Campos Gerais</v>
      </c>
      <c r="D1211">
        <v>2025</v>
      </c>
      <c r="E1211" t="s">
        <v>232</v>
      </c>
      <c r="F1211">
        <v>0.76929999999999998</v>
      </c>
      <c r="G1211">
        <v>54.96</v>
      </c>
    </row>
    <row r="1212" spans="1:7" x14ac:dyDescent="0.25">
      <c r="A1212" t="s">
        <v>275</v>
      </c>
      <c r="B1212" t="str">
        <f>_xlfn.XLOOKUP(A1212,[1]Municipios!$B:$B,[1]Municipios!$C:$C)</f>
        <v>Centro</v>
      </c>
      <c r="C1212" t="str">
        <f>_xlfn.XLOOKUP(A1212,[1]Municipios!$B:$B,[1]Municipios!$D:$D)</f>
        <v>Campos Gerais</v>
      </c>
      <c r="D1212">
        <v>2025</v>
      </c>
      <c r="E1212" t="s">
        <v>233</v>
      </c>
      <c r="F1212">
        <v>0.625</v>
      </c>
      <c r="G1212">
        <v>54.96</v>
      </c>
    </row>
    <row r="1213" spans="1:7" x14ac:dyDescent="0.25">
      <c r="A1213" t="s">
        <v>275</v>
      </c>
      <c r="B1213" t="str">
        <f>_xlfn.XLOOKUP(A1213,[1]Municipios!$B:$B,[1]Municipios!$C:$C)</f>
        <v>Centro</v>
      </c>
      <c r="C1213" t="str">
        <f>_xlfn.XLOOKUP(A1213,[1]Municipios!$B:$B,[1]Municipios!$D:$D)</f>
        <v>Campos Gerais</v>
      </c>
      <c r="D1213">
        <v>2025</v>
      </c>
      <c r="E1213" t="s">
        <v>215</v>
      </c>
      <c r="F1213">
        <v>0.75</v>
      </c>
      <c r="G1213">
        <v>54.96</v>
      </c>
    </row>
    <row r="1214" spans="1:7" x14ac:dyDescent="0.25">
      <c r="A1214" t="s">
        <v>275</v>
      </c>
      <c r="B1214" t="str">
        <f>_xlfn.XLOOKUP(A1214,[1]Municipios!$B:$B,[1]Municipios!$C:$C)</f>
        <v>Centro</v>
      </c>
      <c r="C1214" t="str">
        <f>_xlfn.XLOOKUP(A1214,[1]Municipios!$B:$B,[1]Municipios!$D:$D)</f>
        <v>Campos Gerais</v>
      </c>
      <c r="D1214">
        <v>2025</v>
      </c>
      <c r="E1214" t="s">
        <v>234</v>
      </c>
      <c r="F1214">
        <v>0.55549999999999999</v>
      </c>
      <c r="G1214">
        <v>54.96</v>
      </c>
    </row>
    <row r="1215" spans="1:7" x14ac:dyDescent="0.25">
      <c r="A1215" t="s">
        <v>275</v>
      </c>
      <c r="B1215" t="str">
        <f>_xlfn.XLOOKUP(A1215,[1]Municipios!$B:$B,[1]Municipios!$C:$C)</f>
        <v>Centro</v>
      </c>
      <c r="C1215" t="str">
        <f>_xlfn.XLOOKUP(A1215,[1]Municipios!$B:$B,[1]Municipios!$D:$D)</f>
        <v>Campos Gerais</v>
      </c>
      <c r="D1215">
        <v>2025</v>
      </c>
      <c r="E1215" t="s">
        <v>235</v>
      </c>
      <c r="F1215">
        <v>0.57150000000000001</v>
      </c>
      <c r="G1215">
        <v>54.96</v>
      </c>
    </row>
    <row r="1216" spans="1:7" x14ac:dyDescent="0.25">
      <c r="A1216" t="s">
        <v>275</v>
      </c>
      <c r="B1216" t="str">
        <f>_xlfn.XLOOKUP(A1216,[1]Municipios!$B:$B,[1]Municipios!$C:$C)</f>
        <v>Centro</v>
      </c>
      <c r="C1216" t="str">
        <f>_xlfn.XLOOKUP(A1216,[1]Municipios!$B:$B,[1]Municipios!$D:$D)</f>
        <v>Campos Gerais</v>
      </c>
      <c r="D1216">
        <v>2025</v>
      </c>
      <c r="E1216" t="s">
        <v>236</v>
      </c>
      <c r="F1216">
        <v>0.15390000000000001</v>
      </c>
      <c r="G1216">
        <v>54.96</v>
      </c>
    </row>
    <row r="1217" spans="1:7" x14ac:dyDescent="0.25">
      <c r="A1217" t="s">
        <v>275</v>
      </c>
      <c r="B1217" t="str">
        <f>_xlfn.XLOOKUP(A1217,[1]Municipios!$B:$B,[1]Municipios!$C:$C)</f>
        <v>Centro</v>
      </c>
      <c r="C1217" t="str">
        <f>_xlfn.XLOOKUP(A1217,[1]Municipios!$B:$B,[1]Municipios!$D:$D)</f>
        <v>Campos Gerais</v>
      </c>
      <c r="D1217">
        <v>2025</v>
      </c>
      <c r="E1217" t="s">
        <v>237</v>
      </c>
      <c r="F1217">
        <v>0</v>
      </c>
      <c r="G1217">
        <v>54.96</v>
      </c>
    </row>
    <row r="1218" spans="1:7" x14ac:dyDescent="0.25">
      <c r="A1218" t="s">
        <v>565</v>
      </c>
      <c r="B1218" t="str">
        <f>_xlfn.XLOOKUP(A1218,[1]Municipios!$B:$B,[1]Municipios!$C:$C)</f>
        <v>Noroeste</v>
      </c>
      <c r="C1218" t="str">
        <f>_xlfn.XLOOKUP(A1218,[1]Municipios!$B:$B,[1]Municipios!$D:$D)</f>
        <v>Arenito-Caiuá</v>
      </c>
      <c r="D1218">
        <v>2025</v>
      </c>
      <c r="E1218" t="s">
        <v>231</v>
      </c>
      <c r="F1218">
        <v>0.55559999999999998</v>
      </c>
      <c r="G1218">
        <v>77.3</v>
      </c>
    </row>
    <row r="1219" spans="1:7" x14ac:dyDescent="0.25">
      <c r="A1219" t="s">
        <v>565</v>
      </c>
      <c r="B1219" t="str">
        <f>_xlfn.XLOOKUP(A1219,[1]Municipios!$B:$B,[1]Municipios!$C:$C)</f>
        <v>Noroeste</v>
      </c>
      <c r="C1219" t="str">
        <f>_xlfn.XLOOKUP(A1219,[1]Municipios!$B:$B,[1]Municipios!$D:$D)</f>
        <v>Arenito-Caiuá</v>
      </c>
      <c r="D1219">
        <v>2025</v>
      </c>
      <c r="E1219" t="s">
        <v>232</v>
      </c>
      <c r="F1219">
        <v>0.76929999999999998</v>
      </c>
      <c r="G1219">
        <v>77.3</v>
      </c>
    </row>
    <row r="1220" spans="1:7" x14ac:dyDescent="0.25">
      <c r="A1220" t="s">
        <v>565</v>
      </c>
      <c r="B1220" t="str">
        <f>_xlfn.XLOOKUP(A1220,[1]Municipios!$B:$B,[1]Municipios!$C:$C)</f>
        <v>Noroeste</v>
      </c>
      <c r="C1220" t="str">
        <f>_xlfn.XLOOKUP(A1220,[1]Municipios!$B:$B,[1]Municipios!$D:$D)</f>
        <v>Arenito-Caiuá</v>
      </c>
      <c r="D1220">
        <v>2025</v>
      </c>
      <c r="E1220" t="s">
        <v>233</v>
      </c>
      <c r="F1220">
        <v>0.875</v>
      </c>
      <c r="G1220">
        <v>77.3</v>
      </c>
    </row>
    <row r="1221" spans="1:7" x14ac:dyDescent="0.25">
      <c r="A1221" t="s">
        <v>565</v>
      </c>
      <c r="B1221" t="str">
        <f>_xlfn.XLOOKUP(A1221,[1]Municipios!$B:$B,[1]Municipios!$C:$C)</f>
        <v>Noroeste</v>
      </c>
      <c r="C1221" t="str">
        <f>_xlfn.XLOOKUP(A1221,[1]Municipios!$B:$B,[1]Municipios!$D:$D)</f>
        <v>Arenito-Caiuá</v>
      </c>
      <c r="D1221">
        <v>2025</v>
      </c>
      <c r="E1221" t="s">
        <v>215</v>
      </c>
      <c r="F1221">
        <v>1</v>
      </c>
      <c r="G1221">
        <v>77.3</v>
      </c>
    </row>
    <row r="1222" spans="1:7" x14ac:dyDescent="0.25">
      <c r="A1222" t="s">
        <v>565</v>
      </c>
      <c r="B1222" t="str">
        <f>_xlfn.XLOOKUP(A1222,[1]Municipios!$B:$B,[1]Municipios!$C:$C)</f>
        <v>Noroeste</v>
      </c>
      <c r="C1222" t="str">
        <f>_xlfn.XLOOKUP(A1222,[1]Municipios!$B:$B,[1]Municipios!$D:$D)</f>
        <v>Arenito-Caiuá</v>
      </c>
      <c r="D1222">
        <v>2025</v>
      </c>
      <c r="E1222" t="s">
        <v>234</v>
      </c>
      <c r="F1222">
        <v>0.66669999999999996</v>
      </c>
      <c r="G1222">
        <v>77.3</v>
      </c>
    </row>
    <row r="1223" spans="1:7" x14ac:dyDescent="0.25">
      <c r="A1223" t="s">
        <v>565</v>
      </c>
      <c r="B1223" t="str">
        <f>_xlfn.XLOOKUP(A1223,[1]Municipios!$B:$B,[1]Municipios!$C:$C)</f>
        <v>Noroeste</v>
      </c>
      <c r="C1223" t="str">
        <f>_xlfn.XLOOKUP(A1223,[1]Municipios!$B:$B,[1]Municipios!$D:$D)</f>
        <v>Arenito-Caiuá</v>
      </c>
      <c r="D1223">
        <v>2025</v>
      </c>
      <c r="E1223" t="s">
        <v>235</v>
      </c>
      <c r="F1223">
        <v>1</v>
      </c>
      <c r="G1223">
        <v>77.3</v>
      </c>
    </row>
    <row r="1224" spans="1:7" x14ac:dyDescent="0.25">
      <c r="A1224" t="s">
        <v>565</v>
      </c>
      <c r="B1224" t="str">
        <f>_xlfn.XLOOKUP(A1224,[1]Municipios!$B:$B,[1]Municipios!$C:$C)</f>
        <v>Noroeste</v>
      </c>
      <c r="C1224" t="str">
        <f>_xlfn.XLOOKUP(A1224,[1]Municipios!$B:$B,[1]Municipios!$D:$D)</f>
        <v>Arenito-Caiuá</v>
      </c>
      <c r="D1224">
        <v>2025</v>
      </c>
      <c r="E1224" t="s">
        <v>236</v>
      </c>
      <c r="F1224">
        <v>0.38469999999999999</v>
      </c>
      <c r="G1224">
        <v>77.3</v>
      </c>
    </row>
    <row r="1225" spans="1:7" x14ac:dyDescent="0.25">
      <c r="A1225" t="s">
        <v>565</v>
      </c>
      <c r="B1225" t="str">
        <f>_xlfn.XLOOKUP(A1225,[1]Municipios!$B:$B,[1]Municipios!$C:$C)</f>
        <v>Noroeste</v>
      </c>
      <c r="C1225" t="str">
        <f>_xlfn.XLOOKUP(A1225,[1]Municipios!$B:$B,[1]Municipios!$D:$D)</f>
        <v>Arenito-Caiuá</v>
      </c>
      <c r="D1225">
        <v>2025</v>
      </c>
      <c r="E1225" t="s">
        <v>237</v>
      </c>
      <c r="F1225">
        <v>1</v>
      </c>
      <c r="G1225">
        <v>77.3</v>
      </c>
    </row>
    <row r="1226" spans="1:7" x14ac:dyDescent="0.25">
      <c r="A1226" t="s">
        <v>444</v>
      </c>
      <c r="B1226" t="str">
        <f>_xlfn.XLOOKUP(A1226,[1]Municipios!$B:$B,[1]Municipios!$C:$C)</f>
        <v>Oeste</v>
      </c>
      <c r="C1226" t="str">
        <f>_xlfn.XLOOKUP(A1226,[1]Municipios!$B:$B,[1]Municipios!$D:$D)</f>
        <v>Oeste Integrado</v>
      </c>
      <c r="D1226">
        <v>2025</v>
      </c>
      <c r="E1226" t="s">
        <v>231</v>
      </c>
      <c r="F1226">
        <v>0.44439999999999996</v>
      </c>
      <c r="G1226">
        <v>35.99</v>
      </c>
    </row>
    <row r="1227" spans="1:7" x14ac:dyDescent="0.25">
      <c r="A1227" t="s">
        <v>444</v>
      </c>
      <c r="B1227" t="str">
        <f>_xlfn.XLOOKUP(A1227,[1]Municipios!$B:$B,[1]Municipios!$C:$C)</f>
        <v>Oeste</v>
      </c>
      <c r="C1227" t="str">
        <f>_xlfn.XLOOKUP(A1227,[1]Municipios!$B:$B,[1]Municipios!$D:$D)</f>
        <v>Oeste Integrado</v>
      </c>
      <c r="D1227">
        <v>2025</v>
      </c>
      <c r="E1227" t="s">
        <v>232</v>
      </c>
      <c r="F1227">
        <v>0.76919999999999999</v>
      </c>
      <c r="G1227">
        <v>35.99</v>
      </c>
    </row>
    <row r="1228" spans="1:7" x14ac:dyDescent="0.25">
      <c r="A1228" t="s">
        <v>444</v>
      </c>
      <c r="B1228" t="str">
        <f>_xlfn.XLOOKUP(A1228,[1]Municipios!$B:$B,[1]Municipios!$C:$C)</f>
        <v>Oeste</v>
      </c>
      <c r="C1228" t="str">
        <f>_xlfn.XLOOKUP(A1228,[1]Municipios!$B:$B,[1]Municipios!$D:$D)</f>
        <v>Oeste Integrado</v>
      </c>
      <c r="D1228">
        <v>2025</v>
      </c>
      <c r="E1228" t="s">
        <v>233</v>
      </c>
      <c r="F1228">
        <v>0.25</v>
      </c>
      <c r="G1228">
        <v>35.99</v>
      </c>
    </row>
    <row r="1229" spans="1:7" x14ac:dyDescent="0.25">
      <c r="A1229" t="s">
        <v>444</v>
      </c>
      <c r="B1229" t="str">
        <f>_xlfn.XLOOKUP(A1229,[1]Municipios!$B:$B,[1]Municipios!$C:$C)</f>
        <v>Oeste</v>
      </c>
      <c r="C1229" t="str">
        <f>_xlfn.XLOOKUP(A1229,[1]Municipios!$B:$B,[1]Municipios!$D:$D)</f>
        <v>Oeste Integrado</v>
      </c>
      <c r="D1229">
        <v>2025</v>
      </c>
      <c r="E1229" t="s">
        <v>215</v>
      </c>
      <c r="F1229">
        <v>4.9999999999999996E-2</v>
      </c>
      <c r="G1229">
        <v>35.99</v>
      </c>
    </row>
    <row r="1230" spans="1:7" x14ac:dyDescent="0.25">
      <c r="A1230" t="s">
        <v>444</v>
      </c>
      <c r="B1230" t="str">
        <f>_xlfn.XLOOKUP(A1230,[1]Municipios!$B:$B,[1]Municipios!$C:$C)</f>
        <v>Oeste</v>
      </c>
      <c r="C1230" t="str">
        <f>_xlfn.XLOOKUP(A1230,[1]Municipios!$B:$B,[1]Municipios!$D:$D)</f>
        <v>Oeste Integrado</v>
      </c>
      <c r="D1230">
        <v>2025</v>
      </c>
      <c r="E1230" t="s">
        <v>234</v>
      </c>
      <c r="F1230">
        <v>0.55549999999999999</v>
      </c>
      <c r="G1230">
        <v>35.99</v>
      </c>
    </row>
    <row r="1231" spans="1:7" x14ac:dyDescent="0.25">
      <c r="A1231" t="s">
        <v>444</v>
      </c>
      <c r="B1231" t="str">
        <f>_xlfn.XLOOKUP(A1231,[1]Municipios!$B:$B,[1]Municipios!$C:$C)</f>
        <v>Oeste</v>
      </c>
      <c r="C1231" t="str">
        <f>_xlfn.XLOOKUP(A1231,[1]Municipios!$B:$B,[1]Municipios!$D:$D)</f>
        <v>Oeste Integrado</v>
      </c>
      <c r="D1231">
        <v>2025</v>
      </c>
      <c r="E1231" t="s">
        <v>235</v>
      </c>
      <c r="F1231">
        <v>0.28570000000000001</v>
      </c>
      <c r="G1231">
        <v>35.99</v>
      </c>
    </row>
    <row r="1232" spans="1:7" x14ac:dyDescent="0.25">
      <c r="A1232" t="s">
        <v>444</v>
      </c>
      <c r="B1232" t="str">
        <f>_xlfn.XLOOKUP(A1232,[1]Municipios!$B:$B,[1]Municipios!$C:$C)</f>
        <v>Oeste</v>
      </c>
      <c r="C1232" t="str">
        <f>_xlfn.XLOOKUP(A1232,[1]Municipios!$B:$B,[1]Municipios!$D:$D)</f>
        <v>Oeste Integrado</v>
      </c>
      <c r="D1232">
        <v>2025</v>
      </c>
      <c r="E1232" t="s">
        <v>236</v>
      </c>
      <c r="F1232">
        <v>0.23099999999999998</v>
      </c>
      <c r="G1232">
        <v>35.99</v>
      </c>
    </row>
    <row r="1233" spans="1:7" x14ac:dyDescent="0.25">
      <c r="A1233" t="s">
        <v>444</v>
      </c>
      <c r="B1233" t="str">
        <f>_xlfn.XLOOKUP(A1233,[1]Municipios!$B:$B,[1]Municipios!$C:$C)</f>
        <v>Oeste</v>
      </c>
      <c r="C1233" t="str">
        <f>_xlfn.XLOOKUP(A1233,[1]Municipios!$B:$B,[1]Municipios!$D:$D)</f>
        <v>Oeste Integrado</v>
      </c>
      <c r="D1233">
        <v>2025</v>
      </c>
      <c r="E1233" t="s">
        <v>237</v>
      </c>
      <c r="F1233">
        <v>0</v>
      </c>
      <c r="G1233">
        <v>35.99</v>
      </c>
    </row>
    <row r="1234" spans="1:7" x14ac:dyDescent="0.25">
      <c r="A1234" t="s">
        <v>270</v>
      </c>
      <c r="B1234" t="str">
        <f>_xlfn.XLOOKUP(A1234,[1]Municipios!$B:$B,[1]Municipios!$C:$C)</f>
        <v>Centro</v>
      </c>
      <c r="C1234" t="str">
        <f>_xlfn.XLOOKUP(A1234,[1]Municipios!$B:$B,[1]Municipios!$D:$D)</f>
        <v>Vale Dos Pinheirais</v>
      </c>
      <c r="D1234">
        <v>2025</v>
      </c>
      <c r="E1234" t="s">
        <v>231</v>
      </c>
      <c r="F1234">
        <v>0.55559999999999998</v>
      </c>
      <c r="G1234">
        <v>81.96</v>
      </c>
    </row>
    <row r="1235" spans="1:7" x14ac:dyDescent="0.25">
      <c r="A1235" t="s">
        <v>270</v>
      </c>
      <c r="B1235" t="str">
        <f>_xlfn.XLOOKUP(A1235,[1]Municipios!$B:$B,[1]Municipios!$C:$C)</f>
        <v>Centro</v>
      </c>
      <c r="C1235" t="str">
        <f>_xlfn.XLOOKUP(A1235,[1]Municipios!$B:$B,[1]Municipios!$D:$D)</f>
        <v>Vale Dos Pinheirais</v>
      </c>
      <c r="D1235">
        <v>2025</v>
      </c>
      <c r="E1235" t="s">
        <v>232</v>
      </c>
      <c r="F1235">
        <v>1</v>
      </c>
      <c r="G1235">
        <v>81.96</v>
      </c>
    </row>
    <row r="1236" spans="1:7" x14ac:dyDescent="0.25">
      <c r="A1236" t="s">
        <v>270</v>
      </c>
      <c r="B1236" t="str">
        <f>_xlfn.XLOOKUP(A1236,[1]Municipios!$B:$B,[1]Municipios!$C:$C)</f>
        <v>Centro</v>
      </c>
      <c r="C1236" t="str">
        <f>_xlfn.XLOOKUP(A1236,[1]Municipios!$B:$B,[1]Municipios!$D:$D)</f>
        <v>Vale Dos Pinheirais</v>
      </c>
      <c r="D1236">
        <v>2025</v>
      </c>
      <c r="E1236" t="s">
        <v>233</v>
      </c>
      <c r="F1236">
        <v>0.875</v>
      </c>
      <c r="G1236">
        <v>81.96</v>
      </c>
    </row>
    <row r="1237" spans="1:7" x14ac:dyDescent="0.25">
      <c r="A1237" t="s">
        <v>270</v>
      </c>
      <c r="B1237" t="str">
        <f>_xlfn.XLOOKUP(A1237,[1]Municipios!$B:$B,[1]Municipios!$C:$C)</f>
        <v>Centro</v>
      </c>
      <c r="C1237" t="str">
        <f>_xlfn.XLOOKUP(A1237,[1]Municipios!$B:$B,[1]Municipios!$D:$D)</f>
        <v>Vale Dos Pinheirais</v>
      </c>
      <c r="D1237">
        <v>2025</v>
      </c>
      <c r="E1237" t="s">
        <v>215</v>
      </c>
      <c r="F1237">
        <v>0.70000000000000007</v>
      </c>
      <c r="G1237">
        <v>81.96</v>
      </c>
    </row>
    <row r="1238" spans="1:7" x14ac:dyDescent="0.25">
      <c r="A1238" t="s">
        <v>270</v>
      </c>
      <c r="B1238" t="str">
        <f>_xlfn.XLOOKUP(A1238,[1]Municipios!$B:$B,[1]Municipios!$C:$C)</f>
        <v>Centro</v>
      </c>
      <c r="C1238" t="str">
        <f>_xlfn.XLOOKUP(A1238,[1]Municipios!$B:$B,[1]Municipios!$D:$D)</f>
        <v>Vale Dos Pinheirais</v>
      </c>
      <c r="D1238">
        <v>2025</v>
      </c>
      <c r="E1238" t="s">
        <v>234</v>
      </c>
      <c r="F1238">
        <v>0.55559999999999998</v>
      </c>
      <c r="G1238">
        <v>81.96</v>
      </c>
    </row>
    <row r="1239" spans="1:7" x14ac:dyDescent="0.25">
      <c r="A1239" t="s">
        <v>270</v>
      </c>
      <c r="B1239" t="str">
        <f>_xlfn.XLOOKUP(A1239,[1]Municipios!$B:$B,[1]Municipios!$C:$C)</f>
        <v>Centro</v>
      </c>
      <c r="C1239" t="str">
        <f>_xlfn.XLOOKUP(A1239,[1]Municipios!$B:$B,[1]Municipios!$D:$D)</f>
        <v>Vale Dos Pinheirais</v>
      </c>
      <c r="D1239">
        <v>2025</v>
      </c>
      <c r="E1239" t="s">
        <v>235</v>
      </c>
      <c r="F1239">
        <v>1</v>
      </c>
      <c r="G1239">
        <v>81.96</v>
      </c>
    </row>
    <row r="1240" spans="1:7" x14ac:dyDescent="0.25">
      <c r="A1240" t="s">
        <v>270</v>
      </c>
      <c r="B1240" t="str">
        <f>_xlfn.XLOOKUP(A1240,[1]Municipios!$B:$B,[1]Municipios!$C:$C)</f>
        <v>Centro</v>
      </c>
      <c r="C1240" t="str">
        <f>_xlfn.XLOOKUP(A1240,[1]Municipios!$B:$B,[1]Municipios!$D:$D)</f>
        <v>Vale Dos Pinheirais</v>
      </c>
      <c r="D1240">
        <v>2025</v>
      </c>
      <c r="E1240" t="s">
        <v>236</v>
      </c>
      <c r="F1240">
        <v>0.92309999999999992</v>
      </c>
      <c r="G1240">
        <v>81.96</v>
      </c>
    </row>
    <row r="1241" spans="1:7" x14ac:dyDescent="0.25">
      <c r="A1241" t="s">
        <v>270</v>
      </c>
      <c r="B1241" t="str">
        <f>_xlfn.XLOOKUP(A1241,[1]Municipios!$B:$B,[1]Municipios!$C:$C)</f>
        <v>Centro</v>
      </c>
      <c r="C1241" t="str">
        <f>_xlfn.XLOOKUP(A1241,[1]Municipios!$B:$B,[1]Municipios!$D:$D)</f>
        <v>Vale Dos Pinheirais</v>
      </c>
      <c r="D1241">
        <v>2025</v>
      </c>
      <c r="E1241" t="s">
        <v>237</v>
      </c>
      <c r="F1241">
        <v>1</v>
      </c>
      <c r="G1241">
        <v>81.96</v>
      </c>
    </row>
    <row r="1242" spans="1:7" x14ac:dyDescent="0.25">
      <c r="A1242" t="s">
        <v>566</v>
      </c>
      <c r="B1242" t="str">
        <f>_xlfn.XLOOKUP(A1242,[1]Municipios!$B:$B,[1]Municipios!$C:$C)</f>
        <v>Noroeste</v>
      </c>
      <c r="C1242" t="str">
        <f>_xlfn.XLOOKUP(A1242,[1]Municipios!$B:$B,[1]Municipios!$D:$D)</f>
        <v>Centro Ocidental</v>
      </c>
      <c r="D1242">
        <v>2025</v>
      </c>
      <c r="E1242" t="s">
        <v>231</v>
      </c>
      <c r="F1242">
        <v>0.33329999999999999</v>
      </c>
      <c r="G1242">
        <v>20.16</v>
      </c>
    </row>
    <row r="1243" spans="1:7" x14ac:dyDescent="0.25">
      <c r="A1243" t="s">
        <v>566</v>
      </c>
      <c r="B1243" t="str">
        <f>_xlfn.XLOOKUP(A1243,[1]Municipios!$B:$B,[1]Municipios!$C:$C)</f>
        <v>Noroeste</v>
      </c>
      <c r="C1243" t="str">
        <f>_xlfn.XLOOKUP(A1243,[1]Municipios!$B:$B,[1]Municipios!$D:$D)</f>
        <v>Centro Ocidental</v>
      </c>
      <c r="D1243">
        <v>2025</v>
      </c>
      <c r="E1243" t="s">
        <v>232</v>
      </c>
      <c r="F1243">
        <v>0.23069999999999999</v>
      </c>
      <c r="G1243">
        <v>20.16</v>
      </c>
    </row>
    <row r="1244" spans="1:7" x14ac:dyDescent="0.25">
      <c r="A1244" t="s">
        <v>566</v>
      </c>
      <c r="B1244" t="str">
        <f>_xlfn.XLOOKUP(A1244,[1]Municipios!$B:$B,[1]Municipios!$C:$C)</f>
        <v>Noroeste</v>
      </c>
      <c r="C1244" t="str">
        <f>_xlfn.XLOOKUP(A1244,[1]Municipios!$B:$B,[1]Municipios!$D:$D)</f>
        <v>Centro Ocidental</v>
      </c>
      <c r="D1244">
        <v>2025</v>
      </c>
      <c r="E1244" t="s">
        <v>233</v>
      </c>
      <c r="F1244">
        <v>0.125</v>
      </c>
      <c r="G1244">
        <v>20.16</v>
      </c>
    </row>
    <row r="1245" spans="1:7" x14ac:dyDescent="0.25">
      <c r="A1245" t="s">
        <v>566</v>
      </c>
      <c r="B1245" t="str">
        <f>_xlfn.XLOOKUP(A1245,[1]Municipios!$B:$B,[1]Municipios!$C:$C)</f>
        <v>Noroeste</v>
      </c>
      <c r="C1245" t="str">
        <f>_xlfn.XLOOKUP(A1245,[1]Municipios!$B:$B,[1]Municipios!$D:$D)</f>
        <v>Centro Ocidental</v>
      </c>
      <c r="D1245">
        <v>2025</v>
      </c>
      <c r="E1245" t="s">
        <v>215</v>
      </c>
      <c r="F1245">
        <v>0</v>
      </c>
      <c r="G1245">
        <v>20.16</v>
      </c>
    </row>
    <row r="1246" spans="1:7" x14ac:dyDescent="0.25">
      <c r="A1246" t="s">
        <v>566</v>
      </c>
      <c r="B1246" t="str">
        <f>_xlfn.XLOOKUP(A1246,[1]Municipios!$B:$B,[1]Municipios!$C:$C)</f>
        <v>Noroeste</v>
      </c>
      <c r="C1246" t="str">
        <f>_xlfn.XLOOKUP(A1246,[1]Municipios!$B:$B,[1]Municipios!$D:$D)</f>
        <v>Centro Ocidental</v>
      </c>
      <c r="D1246">
        <v>2025</v>
      </c>
      <c r="E1246" t="s">
        <v>234</v>
      </c>
      <c r="F1246">
        <v>0.44440000000000002</v>
      </c>
      <c r="G1246">
        <v>20.16</v>
      </c>
    </row>
    <row r="1247" spans="1:7" x14ac:dyDescent="0.25">
      <c r="A1247" t="s">
        <v>566</v>
      </c>
      <c r="B1247" t="str">
        <f>_xlfn.XLOOKUP(A1247,[1]Municipios!$B:$B,[1]Municipios!$C:$C)</f>
        <v>Noroeste</v>
      </c>
      <c r="C1247" t="str">
        <f>_xlfn.XLOOKUP(A1247,[1]Municipios!$B:$B,[1]Municipios!$D:$D)</f>
        <v>Centro Ocidental</v>
      </c>
      <c r="D1247">
        <v>2025</v>
      </c>
      <c r="E1247" t="s">
        <v>235</v>
      </c>
      <c r="F1247">
        <v>0.2858</v>
      </c>
      <c r="G1247">
        <v>20.16</v>
      </c>
    </row>
    <row r="1248" spans="1:7" x14ac:dyDescent="0.25">
      <c r="A1248" t="s">
        <v>566</v>
      </c>
      <c r="B1248" t="str">
        <f>_xlfn.XLOOKUP(A1248,[1]Municipios!$B:$B,[1]Municipios!$C:$C)</f>
        <v>Noroeste</v>
      </c>
      <c r="C1248" t="str">
        <f>_xlfn.XLOOKUP(A1248,[1]Municipios!$B:$B,[1]Municipios!$D:$D)</f>
        <v>Centro Ocidental</v>
      </c>
      <c r="D1248">
        <v>2025</v>
      </c>
      <c r="E1248" t="s">
        <v>236</v>
      </c>
      <c r="F1248">
        <v>0</v>
      </c>
      <c r="G1248">
        <v>20.16</v>
      </c>
    </row>
    <row r="1249" spans="1:7" x14ac:dyDescent="0.25">
      <c r="A1249" t="s">
        <v>566</v>
      </c>
      <c r="B1249" t="str">
        <f>_xlfn.XLOOKUP(A1249,[1]Municipios!$B:$B,[1]Municipios!$C:$C)</f>
        <v>Noroeste</v>
      </c>
      <c r="C1249" t="str">
        <f>_xlfn.XLOOKUP(A1249,[1]Municipios!$B:$B,[1]Municipios!$D:$D)</f>
        <v>Centro Ocidental</v>
      </c>
      <c r="D1249">
        <v>2025</v>
      </c>
      <c r="E1249" t="s">
        <v>237</v>
      </c>
      <c r="F1249">
        <v>0</v>
      </c>
      <c r="G1249">
        <v>20.16</v>
      </c>
    </row>
    <row r="1250" spans="1:7" x14ac:dyDescent="0.25">
      <c r="A1250" t="s">
        <v>567</v>
      </c>
      <c r="B1250" t="str">
        <f>_xlfn.XLOOKUP(A1250,[1]Municipios!$B:$B,[1]Municipios!$C:$C)</f>
        <v>Noroeste</v>
      </c>
      <c r="C1250" t="str">
        <f>_xlfn.XLOOKUP(A1250,[1]Municipios!$B:$B,[1]Municipios!$D:$D)</f>
        <v>Terra Roxa</v>
      </c>
      <c r="D1250">
        <v>2025</v>
      </c>
      <c r="E1250" t="s">
        <v>231</v>
      </c>
      <c r="F1250">
        <v>0.33329999999999999</v>
      </c>
      <c r="G1250">
        <v>26.04</v>
      </c>
    </row>
    <row r="1251" spans="1:7" x14ac:dyDescent="0.25">
      <c r="A1251" t="s">
        <v>567</v>
      </c>
      <c r="B1251" t="str">
        <f>_xlfn.XLOOKUP(A1251,[1]Municipios!$B:$B,[1]Municipios!$C:$C)</f>
        <v>Noroeste</v>
      </c>
      <c r="C1251" t="str">
        <f>_xlfn.XLOOKUP(A1251,[1]Municipios!$B:$B,[1]Municipios!$D:$D)</f>
        <v>Terra Roxa</v>
      </c>
      <c r="D1251">
        <v>2025</v>
      </c>
      <c r="E1251" t="s">
        <v>232</v>
      </c>
      <c r="F1251">
        <v>0.61529999999999996</v>
      </c>
      <c r="G1251">
        <v>26.04</v>
      </c>
    </row>
    <row r="1252" spans="1:7" x14ac:dyDescent="0.25">
      <c r="A1252" t="s">
        <v>567</v>
      </c>
      <c r="B1252" t="str">
        <f>_xlfn.XLOOKUP(A1252,[1]Municipios!$B:$B,[1]Municipios!$C:$C)</f>
        <v>Noroeste</v>
      </c>
      <c r="C1252" t="str">
        <f>_xlfn.XLOOKUP(A1252,[1]Municipios!$B:$B,[1]Municipios!$D:$D)</f>
        <v>Terra Roxa</v>
      </c>
      <c r="D1252">
        <v>2025</v>
      </c>
      <c r="E1252" t="s">
        <v>233</v>
      </c>
      <c r="F1252">
        <v>0.5</v>
      </c>
      <c r="G1252">
        <v>26.04</v>
      </c>
    </row>
    <row r="1253" spans="1:7" x14ac:dyDescent="0.25">
      <c r="A1253" t="s">
        <v>567</v>
      </c>
      <c r="B1253" t="str">
        <f>_xlfn.XLOOKUP(A1253,[1]Municipios!$B:$B,[1]Municipios!$C:$C)</f>
        <v>Noroeste</v>
      </c>
      <c r="C1253" t="str">
        <f>_xlfn.XLOOKUP(A1253,[1]Municipios!$B:$B,[1]Municipios!$D:$D)</f>
        <v>Terra Roxa</v>
      </c>
      <c r="D1253">
        <v>2025</v>
      </c>
      <c r="E1253" t="s">
        <v>215</v>
      </c>
      <c r="F1253">
        <v>0</v>
      </c>
      <c r="G1253">
        <v>26.04</v>
      </c>
    </row>
    <row r="1254" spans="1:7" x14ac:dyDescent="0.25">
      <c r="A1254" t="s">
        <v>567</v>
      </c>
      <c r="B1254" t="str">
        <f>_xlfn.XLOOKUP(A1254,[1]Municipios!$B:$B,[1]Municipios!$C:$C)</f>
        <v>Noroeste</v>
      </c>
      <c r="C1254" t="str">
        <f>_xlfn.XLOOKUP(A1254,[1]Municipios!$B:$B,[1]Municipios!$D:$D)</f>
        <v>Terra Roxa</v>
      </c>
      <c r="D1254">
        <v>2025</v>
      </c>
      <c r="E1254" t="s">
        <v>234</v>
      </c>
      <c r="F1254">
        <v>0.44440000000000002</v>
      </c>
      <c r="G1254">
        <v>26.04</v>
      </c>
    </row>
    <row r="1255" spans="1:7" x14ac:dyDescent="0.25">
      <c r="A1255" t="s">
        <v>567</v>
      </c>
      <c r="B1255" t="str">
        <f>_xlfn.XLOOKUP(A1255,[1]Municipios!$B:$B,[1]Municipios!$C:$C)</f>
        <v>Noroeste</v>
      </c>
      <c r="C1255" t="str">
        <f>_xlfn.XLOOKUP(A1255,[1]Municipios!$B:$B,[1]Municipios!$D:$D)</f>
        <v>Terra Roxa</v>
      </c>
      <c r="D1255">
        <v>2025</v>
      </c>
      <c r="E1255" t="s">
        <v>235</v>
      </c>
      <c r="F1255">
        <v>0.1429</v>
      </c>
      <c r="G1255">
        <v>26.04</v>
      </c>
    </row>
    <row r="1256" spans="1:7" x14ac:dyDescent="0.25">
      <c r="A1256" t="s">
        <v>567</v>
      </c>
      <c r="B1256" t="str">
        <f>_xlfn.XLOOKUP(A1256,[1]Municipios!$B:$B,[1]Municipios!$C:$C)</f>
        <v>Noroeste</v>
      </c>
      <c r="C1256" t="str">
        <f>_xlfn.XLOOKUP(A1256,[1]Municipios!$B:$B,[1]Municipios!$D:$D)</f>
        <v>Terra Roxa</v>
      </c>
      <c r="D1256">
        <v>2025</v>
      </c>
      <c r="E1256" t="s">
        <v>236</v>
      </c>
      <c r="F1256">
        <v>0</v>
      </c>
      <c r="G1256">
        <v>26.04</v>
      </c>
    </row>
    <row r="1257" spans="1:7" x14ac:dyDescent="0.25">
      <c r="A1257" t="s">
        <v>567</v>
      </c>
      <c r="B1257" t="str">
        <f>_xlfn.XLOOKUP(A1257,[1]Municipios!$B:$B,[1]Municipios!$C:$C)</f>
        <v>Noroeste</v>
      </c>
      <c r="C1257" t="str">
        <f>_xlfn.XLOOKUP(A1257,[1]Municipios!$B:$B,[1]Municipios!$D:$D)</f>
        <v>Terra Roxa</v>
      </c>
      <c r="D1257">
        <v>2025</v>
      </c>
      <c r="E1257" t="s">
        <v>237</v>
      </c>
      <c r="F1257">
        <v>0</v>
      </c>
      <c r="G1257">
        <v>26.04</v>
      </c>
    </row>
    <row r="1258" spans="1:7" x14ac:dyDescent="0.25">
      <c r="A1258" t="s">
        <v>445</v>
      </c>
      <c r="B1258" t="str">
        <f>_xlfn.XLOOKUP(A1258,[1]Municipios!$B:$B,[1]Municipios!$C:$C)</f>
        <v>Oeste</v>
      </c>
      <c r="C1258" t="str">
        <f>_xlfn.XLOOKUP(A1258,[1]Municipios!$B:$B,[1]Municipios!$D:$D)</f>
        <v>Oeste Integrado</v>
      </c>
      <c r="D1258">
        <v>2025</v>
      </c>
      <c r="E1258" t="s">
        <v>231</v>
      </c>
      <c r="F1258">
        <v>0.66669999999999996</v>
      </c>
      <c r="G1258">
        <v>75.38</v>
      </c>
    </row>
    <row r="1259" spans="1:7" x14ac:dyDescent="0.25">
      <c r="A1259" t="s">
        <v>445</v>
      </c>
      <c r="B1259" t="str">
        <f>_xlfn.XLOOKUP(A1259,[1]Municipios!$B:$B,[1]Municipios!$C:$C)</f>
        <v>Oeste</v>
      </c>
      <c r="C1259" t="str">
        <f>_xlfn.XLOOKUP(A1259,[1]Municipios!$B:$B,[1]Municipios!$D:$D)</f>
        <v>Oeste Integrado</v>
      </c>
      <c r="D1259">
        <v>2025</v>
      </c>
      <c r="E1259" t="s">
        <v>232</v>
      </c>
      <c r="F1259">
        <v>0.76929999999999998</v>
      </c>
      <c r="G1259">
        <v>75.38</v>
      </c>
    </row>
    <row r="1260" spans="1:7" x14ac:dyDescent="0.25">
      <c r="A1260" t="s">
        <v>445</v>
      </c>
      <c r="B1260" t="str">
        <f>_xlfn.XLOOKUP(A1260,[1]Municipios!$B:$B,[1]Municipios!$C:$C)</f>
        <v>Oeste</v>
      </c>
      <c r="C1260" t="str">
        <f>_xlfn.XLOOKUP(A1260,[1]Municipios!$B:$B,[1]Municipios!$D:$D)</f>
        <v>Oeste Integrado</v>
      </c>
      <c r="D1260">
        <v>2025</v>
      </c>
      <c r="E1260" t="s">
        <v>233</v>
      </c>
      <c r="F1260">
        <v>0.75</v>
      </c>
      <c r="G1260">
        <v>75.38</v>
      </c>
    </row>
    <row r="1261" spans="1:7" x14ac:dyDescent="0.25">
      <c r="A1261" t="s">
        <v>445</v>
      </c>
      <c r="B1261" t="str">
        <f>_xlfn.XLOOKUP(A1261,[1]Municipios!$B:$B,[1]Municipios!$C:$C)</f>
        <v>Oeste</v>
      </c>
      <c r="C1261" t="str">
        <f>_xlfn.XLOOKUP(A1261,[1]Municipios!$B:$B,[1]Municipios!$D:$D)</f>
        <v>Oeste Integrado</v>
      </c>
      <c r="D1261">
        <v>2025</v>
      </c>
      <c r="E1261" t="s">
        <v>215</v>
      </c>
      <c r="F1261">
        <v>0.70000000000000007</v>
      </c>
      <c r="G1261">
        <v>75.38</v>
      </c>
    </row>
    <row r="1262" spans="1:7" x14ac:dyDescent="0.25">
      <c r="A1262" t="s">
        <v>445</v>
      </c>
      <c r="B1262" t="str">
        <f>_xlfn.XLOOKUP(A1262,[1]Municipios!$B:$B,[1]Municipios!$C:$C)</f>
        <v>Oeste</v>
      </c>
      <c r="C1262" t="str">
        <f>_xlfn.XLOOKUP(A1262,[1]Municipios!$B:$B,[1]Municipios!$D:$D)</f>
        <v>Oeste Integrado</v>
      </c>
      <c r="D1262">
        <v>2025</v>
      </c>
      <c r="E1262" t="s">
        <v>234</v>
      </c>
      <c r="F1262">
        <v>0.77780000000000005</v>
      </c>
      <c r="G1262">
        <v>75.38</v>
      </c>
    </row>
    <row r="1263" spans="1:7" x14ac:dyDescent="0.25">
      <c r="A1263" t="s">
        <v>445</v>
      </c>
      <c r="B1263" t="str">
        <f>_xlfn.XLOOKUP(A1263,[1]Municipios!$B:$B,[1]Municipios!$C:$C)</f>
        <v>Oeste</v>
      </c>
      <c r="C1263" t="str">
        <f>_xlfn.XLOOKUP(A1263,[1]Municipios!$B:$B,[1]Municipios!$D:$D)</f>
        <v>Oeste Integrado</v>
      </c>
      <c r="D1263">
        <v>2025</v>
      </c>
      <c r="E1263" t="s">
        <v>235</v>
      </c>
      <c r="F1263">
        <v>1</v>
      </c>
      <c r="G1263">
        <v>75.38</v>
      </c>
    </row>
    <row r="1264" spans="1:7" x14ac:dyDescent="0.25">
      <c r="A1264" t="s">
        <v>445</v>
      </c>
      <c r="B1264" t="str">
        <f>_xlfn.XLOOKUP(A1264,[1]Municipios!$B:$B,[1]Municipios!$C:$C)</f>
        <v>Oeste</v>
      </c>
      <c r="C1264" t="str">
        <f>_xlfn.XLOOKUP(A1264,[1]Municipios!$B:$B,[1]Municipios!$D:$D)</f>
        <v>Oeste Integrado</v>
      </c>
      <c r="D1264">
        <v>2025</v>
      </c>
      <c r="E1264" t="s">
        <v>236</v>
      </c>
      <c r="F1264">
        <v>0.30780000000000002</v>
      </c>
      <c r="G1264">
        <v>75.38</v>
      </c>
    </row>
    <row r="1265" spans="1:7" x14ac:dyDescent="0.25">
      <c r="A1265" t="s">
        <v>445</v>
      </c>
      <c r="B1265" t="str">
        <f>_xlfn.XLOOKUP(A1265,[1]Municipios!$B:$B,[1]Municipios!$C:$C)</f>
        <v>Oeste</v>
      </c>
      <c r="C1265" t="str">
        <f>_xlfn.XLOOKUP(A1265,[1]Municipios!$B:$B,[1]Municipios!$D:$D)</f>
        <v>Oeste Integrado</v>
      </c>
      <c r="D1265">
        <v>2025</v>
      </c>
      <c r="E1265" t="s">
        <v>237</v>
      </c>
      <c r="F1265">
        <v>1</v>
      </c>
      <c r="G1265">
        <v>75.38</v>
      </c>
    </row>
    <row r="1266" spans="1:7" x14ac:dyDescent="0.25">
      <c r="A1266" t="s">
        <v>345</v>
      </c>
      <c r="B1266" t="str">
        <f>_xlfn.XLOOKUP(A1266,[1]Municipios!$B:$B,[1]Municipios!$C:$C)</f>
        <v>Norte</v>
      </c>
      <c r="C1266" t="str">
        <f>_xlfn.XLOOKUP(A1266,[1]Municipios!$B:$B,[1]Municipios!$D:$D)</f>
        <v>Norte Pioneiro</v>
      </c>
      <c r="D1266">
        <v>2025</v>
      </c>
      <c r="E1266" t="s">
        <v>231</v>
      </c>
      <c r="F1266">
        <v>0.66669999999999996</v>
      </c>
      <c r="G1266">
        <v>86.4</v>
      </c>
    </row>
    <row r="1267" spans="1:7" x14ac:dyDescent="0.25">
      <c r="A1267" t="s">
        <v>345</v>
      </c>
      <c r="B1267" t="str">
        <f>_xlfn.XLOOKUP(A1267,[1]Municipios!$B:$B,[1]Municipios!$C:$C)</f>
        <v>Norte</v>
      </c>
      <c r="C1267" t="str">
        <f>_xlfn.XLOOKUP(A1267,[1]Municipios!$B:$B,[1]Municipios!$D:$D)</f>
        <v>Norte Pioneiro</v>
      </c>
      <c r="D1267">
        <v>2025</v>
      </c>
      <c r="E1267" t="s">
        <v>232</v>
      </c>
      <c r="F1267">
        <v>0.92310000000000003</v>
      </c>
      <c r="G1267">
        <v>86.4</v>
      </c>
    </row>
    <row r="1268" spans="1:7" x14ac:dyDescent="0.25">
      <c r="A1268" t="s">
        <v>345</v>
      </c>
      <c r="B1268" t="str">
        <f>_xlfn.XLOOKUP(A1268,[1]Municipios!$B:$B,[1]Municipios!$C:$C)</f>
        <v>Norte</v>
      </c>
      <c r="C1268" t="str">
        <f>_xlfn.XLOOKUP(A1268,[1]Municipios!$B:$B,[1]Municipios!$D:$D)</f>
        <v>Norte Pioneiro</v>
      </c>
      <c r="D1268">
        <v>2025</v>
      </c>
      <c r="E1268" t="s">
        <v>233</v>
      </c>
      <c r="F1268">
        <v>0.875</v>
      </c>
      <c r="G1268">
        <v>86.4</v>
      </c>
    </row>
    <row r="1269" spans="1:7" x14ac:dyDescent="0.25">
      <c r="A1269" t="s">
        <v>345</v>
      </c>
      <c r="B1269" t="str">
        <f>_xlfn.XLOOKUP(A1269,[1]Municipios!$B:$B,[1]Municipios!$C:$C)</f>
        <v>Norte</v>
      </c>
      <c r="C1269" t="str">
        <f>_xlfn.XLOOKUP(A1269,[1]Municipios!$B:$B,[1]Municipios!$D:$D)</f>
        <v>Norte Pioneiro</v>
      </c>
      <c r="D1269">
        <v>2025</v>
      </c>
      <c r="E1269" t="s">
        <v>215</v>
      </c>
      <c r="F1269">
        <v>0.9</v>
      </c>
      <c r="G1269">
        <v>86.4</v>
      </c>
    </row>
    <row r="1270" spans="1:7" x14ac:dyDescent="0.25">
      <c r="A1270" t="s">
        <v>345</v>
      </c>
      <c r="B1270" t="str">
        <f>_xlfn.XLOOKUP(A1270,[1]Municipios!$B:$B,[1]Municipios!$C:$C)</f>
        <v>Norte</v>
      </c>
      <c r="C1270" t="str">
        <f>_xlfn.XLOOKUP(A1270,[1]Municipios!$B:$B,[1]Municipios!$D:$D)</f>
        <v>Norte Pioneiro</v>
      </c>
      <c r="D1270">
        <v>2025</v>
      </c>
      <c r="E1270" t="s">
        <v>234</v>
      </c>
      <c r="F1270">
        <v>0.77780000000000005</v>
      </c>
      <c r="G1270">
        <v>86.4</v>
      </c>
    </row>
    <row r="1271" spans="1:7" x14ac:dyDescent="0.25">
      <c r="A1271" t="s">
        <v>345</v>
      </c>
      <c r="B1271" t="str">
        <f>_xlfn.XLOOKUP(A1271,[1]Municipios!$B:$B,[1]Municipios!$C:$C)</f>
        <v>Norte</v>
      </c>
      <c r="C1271" t="str">
        <f>_xlfn.XLOOKUP(A1271,[1]Municipios!$B:$B,[1]Municipios!$D:$D)</f>
        <v>Norte Pioneiro</v>
      </c>
      <c r="D1271">
        <v>2025</v>
      </c>
      <c r="E1271" t="s">
        <v>235</v>
      </c>
      <c r="F1271">
        <v>1</v>
      </c>
      <c r="G1271">
        <v>86.4</v>
      </c>
    </row>
    <row r="1272" spans="1:7" x14ac:dyDescent="0.25">
      <c r="A1272" t="s">
        <v>345</v>
      </c>
      <c r="B1272" t="str">
        <f>_xlfn.XLOOKUP(A1272,[1]Municipios!$B:$B,[1]Municipios!$C:$C)</f>
        <v>Norte</v>
      </c>
      <c r="C1272" t="str">
        <f>_xlfn.XLOOKUP(A1272,[1]Municipios!$B:$B,[1]Municipios!$D:$D)</f>
        <v>Norte Pioneiro</v>
      </c>
      <c r="D1272">
        <v>2025</v>
      </c>
      <c r="E1272" t="s">
        <v>236</v>
      </c>
      <c r="F1272">
        <v>0.76929999999999987</v>
      </c>
      <c r="G1272">
        <v>86.4</v>
      </c>
    </row>
    <row r="1273" spans="1:7" x14ac:dyDescent="0.25">
      <c r="A1273" t="s">
        <v>345</v>
      </c>
      <c r="B1273" t="str">
        <f>_xlfn.XLOOKUP(A1273,[1]Municipios!$B:$B,[1]Municipios!$C:$C)</f>
        <v>Norte</v>
      </c>
      <c r="C1273" t="str">
        <f>_xlfn.XLOOKUP(A1273,[1]Municipios!$B:$B,[1]Municipios!$D:$D)</f>
        <v>Norte Pioneiro</v>
      </c>
      <c r="D1273">
        <v>2025</v>
      </c>
      <c r="E1273" t="s">
        <v>237</v>
      </c>
      <c r="F1273">
        <v>1</v>
      </c>
      <c r="G1273">
        <v>86.4</v>
      </c>
    </row>
    <row r="1274" spans="1:7" x14ac:dyDescent="0.25">
      <c r="A1274" t="s">
        <v>568</v>
      </c>
      <c r="B1274" t="str">
        <f>_xlfn.XLOOKUP(A1274,[1]Municipios!$B:$B,[1]Municipios!$C:$C)</f>
        <v>Noroeste</v>
      </c>
      <c r="C1274" t="str">
        <f>_xlfn.XLOOKUP(A1274,[1]Municipios!$B:$B,[1]Municipios!$D:$D)</f>
        <v>Terra Roxa</v>
      </c>
      <c r="D1274">
        <v>2025</v>
      </c>
      <c r="E1274" t="s">
        <v>231</v>
      </c>
      <c r="F1274">
        <v>0.44439999999999996</v>
      </c>
      <c r="G1274">
        <v>50.37</v>
      </c>
    </row>
    <row r="1275" spans="1:7" x14ac:dyDescent="0.25">
      <c r="A1275" t="s">
        <v>568</v>
      </c>
      <c r="B1275" t="str">
        <f>_xlfn.XLOOKUP(A1275,[1]Municipios!$B:$B,[1]Municipios!$C:$C)</f>
        <v>Noroeste</v>
      </c>
      <c r="C1275" t="str">
        <f>_xlfn.XLOOKUP(A1275,[1]Municipios!$B:$B,[1]Municipios!$D:$D)</f>
        <v>Terra Roxa</v>
      </c>
      <c r="D1275">
        <v>2025</v>
      </c>
      <c r="E1275" t="s">
        <v>232</v>
      </c>
      <c r="F1275">
        <v>0.61539999999999995</v>
      </c>
      <c r="G1275">
        <v>50.37</v>
      </c>
    </row>
    <row r="1276" spans="1:7" x14ac:dyDescent="0.25">
      <c r="A1276" t="s">
        <v>568</v>
      </c>
      <c r="B1276" t="str">
        <f>_xlfn.XLOOKUP(A1276,[1]Municipios!$B:$B,[1]Municipios!$C:$C)</f>
        <v>Noroeste</v>
      </c>
      <c r="C1276" t="str">
        <f>_xlfn.XLOOKUP(A1276,[1]Municipios!$B:$B,[1]Municipios!$D:$D)</f>
        <v>Terra Roxa</v>
      </c>
      <c r="D1276">
        <v>2025</v>
      </c>
      <c r="E1276" t="s">
        <v>233</v>
      </c>
      <c r="F1276">
        <v>0.625</v>
      </c>
      <c r="G1276">
        <v>50.37</v>
      </c>
    </row>
    <row r="1277" spans="1:7" x14ac:dyDescent="0.25">
      <c r="A1277" t="s">
        <v>568</v>
      </c>
      <c r="B1277" t="str">
        <f>_xlfn.XLOOKUP(A1277,[1]Municipios!$B:$B,[1]Municipios!$C:$C)</f>
        <v>Noroeste</v>
      </c>
      <c r="C1277" t="str">
        <f>_xlfn.XLOOKUP(A1277,[1]Municipios!$B:$B,[1]Municipios!$D:$D)</f>
        <v>Terra Roxa</v>
      </c>
      <c r="D1277">
        <v>2025</v>
      </c>
      <c r="E1277" t="s">
        <v>215</v>
      </c>
      <c r="F1277">
        <v>0.95000000000000007</v>
      </c>
      <c r="G1277">
        <v>50.37</v>
      </c>
    </row>
    <row r="1278" spans="1:7" x14ac:dyDescent="0.25">
      <c r="A1278" t="s">
        <v>568</v>
      </c>
      <c r="B1278" t="str">
        <f>_xlfn.XLOOKUP(A1278,[1]Municipios!$B:$B,[1]Municipios!$C:$C)</f>
        <v>Noroeste</v>
      </c>
      <c r="C1278" t="str">
        <f>_xlfn.XLOOKUP(A1278,[1]Municipios!$B:$B,[1]Municipios!$D:$D)</f>
        <v>Terra Roxa</v>
      </c>
      <c r="D1278">
        <v>2025</v>
      </c>
      <c r="E1278" t="s">
        <v>234</v>
      </c>
      <c r="F1278">
        <v>0.33329999999999999</v>
      </c>
      <c r="G1278">
        <v>50.37</v>
      </c>
    </row>
    <row r="1279" spans="1:7" x14ac:dyDescent="0.25">
      <c r="A1279" t="s">
        <v>568</v>
      </c>
      <c r="B1279" t="str">
        <f>_xlfn.XLOOKUP(A1279,[1]Municipios!$B:$B,[1]Municipios!$C:$C)</f>
        <v>Noroeste</v>
      </c>
      <c r="C1279" t="str">
        <f>_xlfn.XLOOKUP(A1279,[1]Municipios!$B:$B,[1]Municipios!$D:$D)</f>
        <v>Terra Roxa</v>
      </c>
      <c r="D1279">
        <v>2025</v>
      </c>
      <c r="E1279" t="s">
        <v>235</v>
      </c>
      <c r="F1279">
        <v>0.57150000000000001</v>
      </c>
      <c r="G1279">
        <v>50.37</v>
      </c>
    </row>
    <row r="1280" spans="1:7" x14ac:dyDescent="0.25">
      <c r="A1280" t="s">
        <v>568</v>
      </c>
      <c r="B1280" t="str">
        <f>_xlfn.XLOOKUP(A1280,[1]Municipios!$B:$B,[1]Municipios!$C:$C)</f>
        <v>Noroeste</v>
      </c>
      <c r="C1280" t="str">
        <f>_xlfn.XLOOKUP(A1280,[1]Municipios!$B:$B,[1]Municipios!$D:$D)</f>
        <v>Terra Roxa</v>
      </c>
      <c r="D1280">
        <v>2025</v>
      </c>
      <c r="E1280" t="s">
        <v>236</v>
      </c>
      <c r="F1280">
        <v>7.6999999999999999E-2</v>
      </c>
      <c r="G1280">
        <v>50.37</v>
      </c>
    </row>
    <row r="1281" spans="1:7" x14ac:dyDescent="0.25">
      <c r="A1281" t="s">
        <v>568</v>
      </c>
      <c r="B1281" t="str">
        <f>_xlfn.XLOOKUP(A1281,[1]Municipios!$B:$B,[1]Municipios!$C:$C)</f>
        <v>Noroeste</v>
      </c>
      <c r="C1281" t="str">
        <f>_xlfn.XLOOKUP(A1281,[1]Municipios!$B:$B,[1]Municipios!$D:$D)</f>
        <v>Terra Roxa</v>
      </c>
      <c r="D1281">
        <v>2025</v>
      </c>
      <c r="E1281" t="s">
        <v>237</v>
      </c>
      <c r="F1281">
        <v>0.5</v>
      </c>
      <c r="G1281">
        <v>50.37</v>
      </c>
    </row>
    <row r="1282" spans="1:7" x14ac:dyDescent="0.25">
      <c r="A1282" t="s">
        <v>254</v>
      </c>
      <c r="B1282" t="str">
        <f>_xlfn.XLOOKUP(A1282,[1]Municipios!$B:$B,[1]Municipios!$C:$C)</f>
        <v>Sul</v>
      </c>
      <c r="C1282" t="str">
        <f>_xlfn.XLOOKUP(A1282,[1]Municipios!$B:$B,[1]Municipios!$D:$D)</f>
        <v>Sudoeste Pioneiro</v>
      </c>
      <c r="D1282">
        <v>2025</v>
      </c>
      <c r="E1282" t="s">
        <v>231</v>
      </c>
      <c r="F1282">
        <v>0.55559999999999998</v>
      </c>
      <c r="G1282">
        <v>81.430000000000007</v>
      </c>
    </row>
    <row r="1283" spans="1:7" x14ac:dyDescent="0.25">
      <c r="A1283" t="s">
        <v>254</v>
      </c>
      <c r="B1283" t="str">
        <f>_xlfn.XLOOKUP(A1283,[1]Municipios!$B:$B,[1]Municipios!$C:$C)</f>
        <v>Sul</v>
      </c>
      <c r="C1283" t="str">
        <f>_xlfn.XLOOKUP(A1283,[1]Municipios!$B:$B,[1]Municipios!$D:$D)</f>
        <v>Sudoeste Pioneiro</v>
      </c>
      <c r="D1283">
        <v>2025</v>
      </c>
      <c r="E1283" t="s">
        <v>232</v>
      </c>
      <c r="F1283">
        <v>0.84619999999999995</v>
      </c>
      <c r="G1283">
        <v>81.430000000000007</v>
      </c>
    </row>
    <row r="1284" spans="1:7" x14ac:dyDescent="0.25">
      <c r="A1284" t="s">
        <v>254</v>
      </c>
      <c r="B1284" t="str">
        <f>_xlfn.XLOOKUP(A1284,[1]Municipios!$B:$B,[1]Municipios!$C:$C)</f>
        <v>Sul</v>
      </c>
      <c r="C1284" t="str">
        <f>_xlfn.XLOOKUP(A1284,[1]Municipios!$B:$B,[1]Municipios!$D:$D)</f>
        <v>Sudoeste Pioneiro</v>
      </c>
      <c r="D1284">
        <v>2025</v>
      </c>
      <c r="E1284" t="s">
        <v>233</v>
      </c>
      <c r="F1284">
        <v>0.875</v>
      </c>
      <c r="G1284">
        <v>81.430000000000007</v>
      </c>
    </row>
    <row r="1285" spans="1:7" x14ac:dyDescent="0.25">
      <c r="A1285" t="s">
        <v>254</v>
      </c>
      <c r="B1285" t="str">
        <f>_xlfn.XLOOKUP(A1285,[1]Municipios!$B:$B,[1]Municipios!$C:$C)</f>
        <v>Sul</v>
      </c>
      <c r="C1285" t="str">
        <f>_xlfn.XLOOKUP(A1285,[1]Municipios!$B:$B,[1]Municipios!$D:$D)</f>
        <v>Sudoeste Pioneiro</v>
      </c>
      <c r="D1285">
        <v>2025</v>
      </c>
      <c r="E1285" t="s">
        <v>215</v>
      </c>
      <c r="F1285">
        <v>1</v>
      </c>
      <c r="G1285">
        <v>81.430000000000007</v>
      </c>
    </row>
    <row r="1286" spans="1:7" x14ac:dyDescent="0.25">
      <c r="A1286" t="s">
        <v>254</v>
      </c>
      <c r="B1286" t="str">
        <f>_xlfn.XLOOKUP(A1286,[1]Municipios!$B:$B,[1]Municipios!$C:$C)</f>
        <v>Sul</v>
      </c>
      <c r="C1286" t="str">
        <f>_xlfn.XLOOKUP(A1286,[1]Municipios!$B:$B,[1]Municipios!$D:$D)</f>
        <v>Sudoeste Pioneiro</v>
      </c>
      <c r="D1286">
        <v>2025</v>
      </c>
      <c r="E1286" t="s">
        <v>234</v>
      </c>
      <c r="F1286">
        <v>1</v>
      </c>
      <c r="G1286">
        <v>81.430000000000007</v>
      </c>
    </row>
    <row r="1287" spans="1:7" x14ac:dyDescent="0.25">
      <c r="A1287" t="s">
        <v>254</v>
      </c>
      <c r="B1287" t="str">
        <f>_xlfn.XLOOKUP(A1287,[1]Municipios!$B:$B,[1]Municipios!$C:$C)</f>
        <v>Sul</v>
      </c>
      <c r="C1287" t="str">
        <f>_xlfn.XLOOKUP(A1287,[1]Municipios!$B:$B,[1]Municipios!$D:$D)</f>
        <v>Sudoeste Pioneiro</v>
      </c>
      <c r="D1287">
        <v>2025</v>
      </c>
      <c r="E1287" t="s">
        <v>235</v>
      </c>
      <c r="F1287">
        <v>1</v>
      </c>
      <c r="G1287">
        <v>81.430000000000007</v>
      </c>
    </row>
    <row r="1288" spans="1:7" x14ac:dyDescent="0.25">
      <c r="A1288" t="s">
        <v>254</v>
      </c>
      <c r="B1288" t="str">
        <f>_xlfn.XLOOKUP(A1288,[1]Municipios!$B:$B,[1]Municipios!$C:$C)</f>
        <v>Sul</v>
      </c>
      <c r="C1288" t="str">
        <f>_xlfn.XLOOKUP(A1288,[1]Municipios!$B:$B,[1]Municipios!$D:$D)</f>
        <v>Sudoeste Pioneiro</v>
      </c>
      <c r="D1288">
        <v>2025</v>
      </c>
      <c r="E1288" t="s">
        <v>236</v>
      </c>
      <c r="F1288">
        <v>0.154</v>
      </c>
      <c r="G1288">
        <v>81.430000000000007</v>
      </c>
    </row>
    <row r="1289" spans="1:7" x14ac:dyDescent="0.25">
      <c r="A1289" t="s">
        <v>254</v>
      </c>
      <c r="B1289" t="str">
        <f>_xlfn.XLOOKUP(A1289,[1]Municipios!$B:$B,[1]Municipios!$C:$C)</f>
        <v>Sul</v>
      </c>
      <c r="C1289" t="str">
        <f>_xlfn.XLOOKUP(A1289,[1]Municipios!$B:$B,[1]Municipios!$D:$D)</f>
        <v>Sudoeste Pioneiro</v>
      </c>
      <c r="D1289">
        <v>2025</v>
      </c>
      <c r="E1289" t="s">
        <v>237</v>
      </c>
      <c r="F1289">
        <v>1</v>
      </c>
      <c r="G1289">
        <v>81.430000000000007</v>
      </c>
    </row>
    <row r="1290" spans="1:7" x14ac:dyDescent="0.25">
      <c r="A1290" t="s">
        <v>536</v>
      </c>
      <c r="B1290" t="str">
        <f>_xlfn.XLOOKUP(A1290,[1]Municipios!$B:$B,[1]Municipios!$C:$C)</f>
        <v>Leste</v>
      </c>
      <c r="C1290" t="str">
        <f>_xlfn.XLOOKUP(A1290,[1]Municipios!$B:$B,[1]Municipios!$D:$D)</f>
        <v>Vale Do Ribeira</v>
      </c>
      <c r="D1290">
        <v>2025</v>
      </c>
      <c r="E1290" t="s">
        <v>231</v>
      </c>
      <c r="F1290">
        <v>0.55559999999999998</v>
      </c>
      <c r="G1290">
        <v>36.61</v>
      </c>
    </row>
    <row r="1291" spans="1:7" x14ac:dyDescent="0.25">
      <c r="A1291" t="s">
        <v>536</v>
      </c>
      <c r="B1291" t="str">
        <f>_xlfn.XLOOKUP(A1291,[1]Municipios!$B:$B,[1]Municipios!$C:$C)</f>
        <v>Leste</v>
      </c>
      <c r="C1291" t="str">
        <f>_xlfn.XLOOKUP(A1291,[1]Municipios!$B:$B,[1]Municipios!$D:$D)</f>
        <v>Vale Do Ribeira</v>
      </c>
      <c r="D1291">
        <v>2025</v>
      </c>
      <c r="E1291" t="s">
        <v>232</v>
      </c>
      <c r="F1291">
        <v>0.61539999999999995</v>
      </c>
      <c r="G1291">
        <v>36.61</v>
      </c>
    </row>
    <row r="1292" spans="1:7" x14ac:dyDescent="0.25">
      <c r="A1292" t="s">
        <v>536</v>
      </c>
      <c r="B1292" t="str">
        <f>_xlfn.XLOOKUP(A1292,[1]Municipios!$B:$B,[1]Municipios!$C:$C)</f>
        <v>Leste</v>
      </c>
      <c r="C1292" t="str">
        <f>_xlfn.XLOOKUP(A1292,[1]Municipios!$B:$B,[1]Municipios!$D:$D)</f>
        <v>Vale Do Ribeira</v>
      </c>
      <c r="D1292">
        <v>2025</v>
      </c>
      <c r="E1292" t="s">
        <v>233</v>
      </c>
      <c r="F1292">
        <v>0.5</v>
      </c>
      <c r="G1292">
        <v>36.61</v>
      </c>
    </row>
    <row r="1293" spans="1:7" x14ac:dyDescent="0.25">
      <c r="A1293" t="s">
        <v>536</v>
      </c>
      <c r="B1293" t="str">
        <f>_xlfn.XLOOKUP(A1293,[1]Municipios!$B:$B,[1]Municipios!$C:$C)</f>
        <v>Leste</v>
      </c>
      <c r="C1293" t="str">
        <f>_xlfn.XLOOKUP(A1293,[1]Municipios!$B:$B,[1]Municipios!$D:$D)</f>
        <v>Vale Do Ribeira</v>
      </c>
      <c r="D1293">
        <v>2025</v>
      </c>
      <c r="E1293" t="s">
        <v>215</v>
      </c>
      <c r="F1293">
        <v>0</v>
      </c>
      <c r="G1293">
        <v>36.61</v>
      </c>
    </row>
    <row r="1294" spans="1:7" x14ac:dyDescent="0.25">
      <c r="A1294" t="s">
        <v>536</v>
      </c>
      <c r="B1294" t="str">
        <f>_xlfn.XLOOKUP(A1294,[1]Municipios!$B:$B,[1]Municipios!$C:$C)</f>
        <v>Leste</v>
      </c>
      <c r="C1294" t="str">
        <f>_xlfn.XLOOKUP(A1294,[1]Municipios!$B:$B,[1]Municipios!$D:$D)</f>
        <v>Vale Do Ribeira</v>
      </c>
      <c r="D1294">
        <v>2025</v>
      </c>
      <c r="E1294" t="s">
        <v>234</v>
      </c>
      <c r="F1294">
        <v>0.33329999999999999</v>
      </c>
      <c r="G1294">
        <v>36.61</v>
      </c>
    </row>
    <row r="1295" spans="1:7" x14ac:dyDescent="0.25">
      <c r="A1295" t="s">
        <v>536</v>
      </c>
      <c r="B1295" t="str">
        <f>_xlfn.XLOOKUP(A1295,[1]Municipios!$B:$B,[1]Municipios!$C:$C)</f>
        <v>Leste</v>
      </c>
      <c r="C1295" t="str">
        <f>_xlfn.XLOOKUP(A1295,[1]Municipios!$B:$B,[1]Municipios!$D:$D)</f>
        <v>Vale Do Ribeira</v>
      </c>
      <c r="D1295">
        <v>2025</v>
      </c>
      <c r="E1295" t="s">
        <v>235</v>
      </c>
      <c r="F1295">
        <v>0.42869999999999997</v>
      </c>
      <c r="G1295">
        <v>36.61</v>
      </c>
    </row>
    <row r="1296" spans="1:7" x14ac:dyDescent="0.25">
      <c r="A1296" t="s">
        <v>536</v>
      </c>
      <c r="B1296" t="str">
        <f>_xlfn.XLOOKUP(A1296,[1]Municipios!$B:$B,[1]Municipios!$C:$C)</f>
        <v>Leste</v>
      </c>
      <c r="C1296" t="str">
        <f>_xlfn.XLOOKUP(A1296,[1]Municipios!$B:$B,[1]Municipios!$D:$D)</f>
        <v>Vale Do Ribeira</v>
      </c>
      <c r="D1296">
        <v>2025</v>
      </c>
      <c r="E1296" t="s">
        <v>236</v>
      </c>
      <c r="F1296">
        <v>0</v>
      </c>
      <c r="G1296">
        <v>36.61</v>
      </c>
    </row>
    <row r="1297" spans="1:7" x14ac:dyDescent="0.25">
      <c r="A1297" t="s">
        <v>536</v>
      </c>
      <c r="B1297" t="str">
        <f>_xlfn.XLOOKUP(A1297,[1]Municipios!$B:$B,[1]Municipios!$C:$C)</f>
        <v>Leste</v>
      </c>
      <c r="C1297" t="str">
        <f>_xlfn.XLOOKUP(A1297,[1]Municipios!$B:$B,[1]Municipios!$D:$D)</f>
        <v>Vale Do Ribeira</v>
      </c>
      <c r="D1297">
        <v>2025</v>
      </c>
      <c r="E1297" t="s">
        <v>237</v>
      </c>
      <c r="F1297">
        <v>0.5</v>
      </c>
      <c r="G1297">
        <v>36.61</v>
      </c>
    </row>
    <row r="1298" spans="1:7" x14ac:dyDescent="0.25">
      <c r="A1298" t="s">
        <v>569</v>
      </c>
      <c r="B1298" t="str">
        <f>_xlfn.XLOOKUP(A1298,[1]Municipios!$B:$B,[1]Municipios!$C:$C)</f>
        <v>Noroeste</v>
      </c>
      <c r="C1298" t="str">
        <f>_xlfn.XLOOKUP(A1298,[1]Municipios!$B:$B,[1]Municipios!$D:$D)</f>
        <v>Costa Noroeste</v>
      </c>
      <c r="D1298">
        <v>2025</v>
      </c>
      <c r="E1298" t="s">
        <v>231</v>
      </c>
      <c r="F1298">
        <v>0</v>
      </c>
      <c r="G1298">
        <v>0</v>
      </c>
    </row>
    <row r="1299" spans="1:7" x14ac:dyDescent="0.25">
      <c r="A1299" t="s">
        <v>569</v>
      </c>
      <c r="B1299" t="str">
        <f>_xlfn.XLOOKUP(A1299,[1]Municipios!$B:$B,[1]Municipios!$C:$C)</f>
        <v>Noroeste</v>
      </c>
      <c r="C1299" t="str">
        <f>_xlfn.XLOOKUP(A1299,[1]Municipios!$B:$B,[1]Municipios!$D:$D)</f>
        <v>Costa Noroeste</v>
      </c>
      <c r="D1299">
        <v>2025</v>
      </c>
      <c r="E1299" t="s">
        <v>232</v>
      </c>
      <c r="F1299">
        <v>0.30760000000000004</v>
      </c>
      <c r="G1299">
        <v>0</v>
      </c>
    </row>
    <row r="1300" spans="1:7" x14ac:dyDescent="0.25">
      <c r="A1300" t="s">
        <v>569</v>
      </c>
      <c r="B1300" t="str">
        <f>_xlfn.XLOOKUP(A1300,[1]Municipios!$B:$B,[1]Municipios!$C:$C)</f>
        <v>Noroeste</v>
      </c>
      <c r="C1300" t="str">
        <f>_xlfn.XLOOKUP(A1300,[1]Municipios!$B:$B,[1]Municipios!$D:$D)</f>
        <v>Costa Noroeste</v>
      </c>
      <c r="D1300">
        <v>2025</v>
      </c>
      <c r="E1300" t="s">
        <v>233</v>
      </c>
      <c r="F1300">
        <v>0.125</v>
      </c>
      <c r="G1300">
        <v>0</v>
      </c>
    </row>
    <row r="1301" spans="1:7" x14ac:dyDescent="0.25">
      <c r="A1301" t="s">
        <v>569</v>
      </c>
      <c r="B1301" t="str">
        <f>_xlfn.XLOOKUP(A1301,[1]Municipios!$B:$B,[1]Municipios!$C:$C)</f>
        <v>Noroeste</v>
      </c>
      <c r="C1301" t="str">
        <f>_xlfn.XLOOKUP(A1301,[1]Municipios!$B:$B,[1]Municipios!$D:$D)</f>
        <v>Costa Noroeste</v>
      </c>
      <c r="D1301">
        <v>2025</v>
      </c>
      <c r="E1301" t="s">
        <v>215</v>
      </c>
      <c r="F1301">
        <v>0</v>
      </c>
      <c r="G1301">
        <v>0</v>
      </c>
    </row>
    <row r="1302" spans="1:7" x14ac:dyDescent="0.25">
      <c r="A1302" t="s">
        <v>569</v>
      </c>
      <c r="B1302" t="str">
        <f>_xlfn.XLOOKUP(A1302,[1]Municipios!$B:$B,[1]Municipios!$C:$C)</f>
        <v>Noroeste</v>
      </c>
      <c r="C1302" t="str">
        <f>_xlfn.XLOOKUP(A1302,[1]Municipios!$B:$B,[1]Municipios!$D:$D)</f>
        <v>Costa Noroeste</v>
      </c>
      <c r="D1302">
        <v>2025</v>
      </c>
      <c r="E1302" t="s">
        <v>234</v>
      </c>
      <c r="F1302">
        <v>0</v>
      </c>
      <c r="G1302">
        <v>0</v>
      </c>
    </row>
    <row r="1303" spans="1:7" x14ac:dyDescent="0.25">
      <c r="A1303" t="s">
        <v>569</v>
      </c>
      <c r="B1303" t="str">
        <f>_xlfn.XLOOKUP(A1303,[1]Municipios!$B:$B,[1]Municipios!$C:$C)</f>
        <v>Noroeste</v>
      </c>
      <c r="C1303" t="str">
        <f>_xlfn.XLOOKUP(A1303,[1]Municipios!$B:$B,[1]Municipios!$D:$D)</f>
        <v>Costa Noroeste</v>
      </c>
      <c r="D1303">
        <v>2025</v>
      </c>
      <c r="E1303" t="s">
        <v>235</v>
      </c>
      <c r="F1303">
        <v>0.1429</v>
      </c>
      <c r="G1303">
        <v>0</v>
      </c>
    </row>
    <row r="1304" spans="1:7" x14ac:dyDescent="0.25">
      <c r="A1304" t="s">
        <v>569</v>
      </c>
      <c r="B1304" t="str">
        <f>_xlfn.XLOOKUP(A1304,[1]Municipios!$B:$B,[1]Municipios!$C:$C)</f>
        <v>Noroeste</v>
      </c>
      <c r="C1304" t="str">
        <f>_xlfn.XLOOKUP(A1304,[1]Municipios!$B:$B,[1]Municipios!$D:$D)</f>
        <v>Costa Noroeste</v>
      </c>
      <c r="D1304">
        <v>2025</v>
      </c>
      <c r="E1304" t="s">
        <v>236</v>
      </c>
      <c r="F1304">
        <v>0</v>
      </c>
      <c r="G1304">
        <v>0</v>
      </c>
    </row>
    <row r="1305" spans="1:7" x14ac:dyDescent="0.25">
      <c r="A1305" t="s">
        <v>569</v>
      </c>
      <c r="B1305" t="str">
        <f>_xlfn.XLOOKUP(A1305,[1]Municipios!$B:$B,[1]Municipios!$C:$C)</f>
        <v>Noroeste</v>
      </c>
      <c r="C1305" t="str">
        <f>_xlfn.XLOOKUP(A1305,[1]Municipios!$B:$B,[1]Municipios!$D:$D)</f>
        <v>Costa Noroeste</v>
      </c>
      <c r="D1305">
        <v>2025</v>
      </c>
      <c r="E1305" t="s">
        <v>237</v>
      </c>
      <c r="F1305">
        <v>0</v>
      </c>
      <c r="G1305">
        <v>0</v>
      </c>
    </row>
    <row r="1306" spans="1:7" x14ac:dyDescent="0.25">
      <c r="A1306" t="s">
        <v>486</v>
      </c>
      <c r="B1306" t="str">
        <f>_xlfn.XLOOKUP(A1306,[1]Municipios!$B:$B,[1]Municipios!$C:$C)</f>
        <v>Centro</v>
      </c>
      <c r="C1306" t="str">
        <f>_xlfn.XLOOKUP(A1306,[1]Municipios!$B:$B,[1]Municipios!$D:$D)</f>
        <v>Vale Do Tibagi</v>
      </c>
      <c r="D1306">
        <v>2025</v>
      </c>
      <c r="E1306" t="s">
        <v>231</v>
      </c>
      <c r="F1306">
        <v>0.33329999999999999</v>
      </c>
      <c r="G1306">
        <v>40.200000000000003</v>
      </c>
    </row>
    <row r="1307" spans="1:7" x14ac:dyDescent="0.25">
      <c r="A1307" t="s">
        <v>486</v>
      </c>
      <c r="B1307" t="str">
        <f>_xlfn.XLOOKUP(A1307,[1]Municipios!$B:$B,[1]Municipios!$C:$C)</f>
        <v>Centro</v>
      </c>
      <c r="C1307" t="str">
        <f>_xlfn.XLOOKUP(A1307,[1]Municipios!$B:$B,[1]Municipios!$D:$D)</f>
        <v>Vale Do Tibagi</v>
      </c>
      <c r="D1307">
        <v>2025</v>
      </c>
      <c r="E1307" t="s">
        <v>232</v>
      </c>
      <c r="F1307">
        <v>0.46150000000000002</v>
      </c>
      <c r="G1307">
        <v>40.200000000000003</v>
      </c>
    </row>
    <row r="1308" spans="1:7" x14ac:dyDescent="0.25">
      <c r="A1308" t="s">
        <v>486</v>
      </c>
      <c r="B1308" t="str">
        <f>_xlfn.XLOOKUP(A1308,[1]Municipios!$B:$B,[1]Municipios!$C:$C)</f>
        <v>Centro</v>
      </c>
      <c r="C1308" t="str">
        <f>_xlfn.XLOOKUP(A1308,[1]Municipios!$B:$B,[1]Municipios!$D:$D)</f>
        <v>Vale Do Tibagi</v>
      </c>
      <c r="D1308">
        <v>2025</v>
      </c>
      <c r="E1308" t="s">
        <v>233</v>
      </c>
      <c r="F1308">
        <v>0.375</v>
      </c>
      <c r="G1308">
        <v>40.200000000000003</v>
      </c>
    </row>
    <row r="1309" spans="1:7" x14ac:dyDescent="0.25">
      <c r="A1309" t="s">
        <v>486</v>
      </c>
      <c r="B1309" t="str">
        <f>_xlfn.XLOOKUP(A1309,[1]Municipios!$B:$B,[1]Municipios!$C:$C)</f>
        <v>Centro</v>
      </c>
      <c r="C1309" t="str">
        <f>_xlfn.XLOOKUP(A1309,[1]Municipios!$B:$B,[1]Municipios!$D:$D)</f>
        <v>Vale Do Tibagi</v>
      </c>
      <c r="D1309">
        <v>2025</v>
      </c>
      <c r="E1309" t="s">
        <v>215</v>
      </c>
      <c r="F1309">
        <v>0.79999999999999993</v>
      </c>
      <c r="G1309">
        <v>40.200000000000003</v>
      </c>
    </row>
    <row r="1310" spans="1:7" x14ac:dyDescent="0.25">
      <c r="A1310" t="s">
        <v>486</v>
      </c>
      <c r="B1310" t="str">
        <f>_xlfn.XLOOKUP(A1310,[1]Municipios!$B:$B,[1]Municipios!$C:$C)</f>
        <v>Centro</v>
      </c>
      <c r="C1310" t="str">
        <f>_xlfn.XLOOKUP(A1310,[1]Municipios!$B:$B,[1]Municipios!$D:$D)</f>
        <v>Vale Do Tibagi</v>
      </c>
      <c r="D1310">
        <v>2025</v>
      </c>
      <c r="E1310" t="s">
        <v>234</v>
      </c>
      <c r="F1310">
        <v>0.44440000000000002</v>
      </c>
      <c r="G1310">
        <v>40.200000000000003</v>
      </c>
    </row>
    <row r="1311" spans="1:7" x14ac:dyDescent="0.25">
      <c r="A1311" t="s">
        <v>486</v>
      </c>
      <c r="B1311" t="str">
        <f>_xlfn.XLOOKUP(A1311,[1]Municipios!$B:$B,[1]Municipios!$C:$C)</f>
        <v>Centro</v>
      </c>
      <c r="C1311" t="str">
        <f>_xlfn.XLOOKUP(A1311,[1]Municipios!$B:$B,[1]Municipios!$D:$D)</f>
        <v>Vale Do Tibagi</v>
      </c>
      <c r="D1311">
        <v>2025</v>
      </c>
      <c r="E1311" t="s">
        <v>235</v>
      </c>
      <c r="F1311">
        <v>0.2858</v>
      </c>
      <c r="G1311">
        <v>40.200000000000003</v>
      </c>
    </row>
    <row r="1312" spans="1:7" x14ac:dyDescent="0.25">
      <c r="A1312" t="s">
        <v>486</v>
      </c>
      <c r="B1312" t="str">
        <f>_xlfn.XLOOKUP(A1312,[1]Municipios!$B:$B,[1]Municipios!$C:$C)</f>
        <v>Centro</v>
      </c>
      <c r="C1312" t="str">
        <f>_xlfn.XLOOKUP(A1312,[1]Municipios!$B:$B,[1]Municipios!$D:$D)</f>
        <v>Vale Do Tibagi</v>
      </c>
      <c r="D1312">
        <v>2025</v>
      </c>
      <c r="E1312" t="s">
        <v>236</v>
      </c>
      <c r="F1312">
        <v>0</v>
      </c>
      <c r="G1312">
        <v>40.200000000000003</v>
      </c>
    </row>
    <row r="1313" spans="1:7" x14ac:dyDescent="0.25">
      <c r="A1313" t="s">
        <v>486</v>
      </c>
      <c r="B1313" t="str">
        <f>_xlfn.XLOOKUP(A1313,[1]Municipios!$B:$B,[1]Municipios!$C:$C)</f>
        <v>Centro</v>
      </c>
      <c r="C1313" t="str">
        <f>_xlfn.XLOOKUP(A1313,[1]Municipios!$B:$B,[1]Municipios!$D:$D)</f>
        <v>Vale Do Tibagi</v>
      </c>
      <c r="D1313">
        <v>2025</v>
      </c>
      <c r="E1313" t="s">
        <v>237</v>
      </c>
      <c r="F1313">
        <v>0.5</v>
      </c>
      <c r="G1313">
        <v>40.200000000000003</v>
      </c>
    </row>
    <row r="1314" spans="1:7" x14ac:dyDescent="0.25">
      <c r="A1314" t="s">
        <v>510</v>
      </c>
      <c r="B1314" t="str">
        <f>_xlfn.XLOOKUP(A1314,[1]Municipios!$B:$B,[1]Municipios!$C:$C)</f>
        <v>Norte</v>
      </c>
      <c r="C1314" t="str">
        <f>_xlfn.XLOOKUP(A1314,[1]Municipios!$B:$B,[1]Municipios!$D:$D)</f>
        <v>Vale Do Ivaí</v>
      </c>
      <c r="D1314">
        <v>2025</v>
      </c>
      <c r="E1314" t="s">
        <v>231</v>
      </c>
      <c r="F1314">
        <v>0.88890000000000002</v>
      </c>
      <c r="G1314">
        <v>89.26</v>
      </c>
    </row>
    <row r="1315" spans="1:7" x14ac:dyDescent="0.25">
      <c r="A1315" t="s">
        <v>510</v>
      </c>
      <c r="B1315" t="str">
        <f>_xlfn.XLOOKUP(A1315,[1]Municipios!$B:$B,[1]Municipios!$C:$C)</f>
        <v>Norte</v>
      </c>
      <c r="C1315" t="str">
        <f>_xlfn.XLOOKUP(A1315,[1]Municipios!$B:$B,[1]Municipios!$D:$D)</f>
        <v>Vale Do Ivaí</v>
      </c>
      <c r="D1315">
        <v>2025</v>
      </c>
      <c r="E1315" t="s">
        <v>232</v>
      </c>
      <c r="F1315">
        <v>0.92310000000000003</v>
      </c>
      <c r="G1315">
        <v>89.26</v>
      </c>
    </row>
    <row r="1316" spans="1:7" x14ac:dyDescent="0.25">
      <c r="A1316" t="s">
        <v>510</v>
      </c>
      <c r="B1316" t="str">
        <f>_xlfn.XLOOKUP(A1316,[1]Municipios!$B:$B,[1]Municipios!$C:$C)</f>
        <v>Norte</v>
      </c>
      <c r="C1316" t="str">
        <f>_xlfn.XLOOKUP(A1316,[1]Municipios!$B:$B,[1]Municipios!$D:$D)</f>
        <v>Vale Do Ivaí</v>
      </c>
      <c r="D1316">
        <v>2025</v>
      </c>
      <c r="E1316" t="s">
        <v>233</v>
      </c>
      <c r="F1316">
        <v>0.75</v>
      </c>
      <c r="G1316">
        <v>89.26</v>
      </c>
    </row>
    <row r="1317" spans="1:7" x14ac:dyDescent="0.25">
      <c r="A1317" t="s">
        <v>510</v>
      </c>
      <c r="B1317" t="str">
        <f>_xlfn.XLOOKUP(A1317,[1]Municipios!$B:$B,[1]Municipios!$C:$C)</f>
        <v>Norte</v>
      </c>
      <c r="C1317" t="str">
        <f>_xlfn.XLOOKUP(A1317,[1]Municipios!$B:$B,[1]Municipios!$D:$D)</f>
        <v>Vale Do Ivaí</v>
      </c>
      <c r="D1317">
        <v>2025</v>
      </c>
      <c r="E1317" t="s">
        <v>215</v>
      </c>
      <c r="F1317">
        <v>0.5</v>
      </c>
      <c r="G1317">
        <v>89.26</v>
      </c>
    </row>
    <row r="1318" spans="1:7" x14ac:dyDescent="0.25">
      <c r="A1318" t="s">
        <v>510</v>
      </c>
      <c r="B1318" t="str">
        <f>_xlfn.XLOOKUP(A1318,[1]Municipios!$B:$B,[1]Municipios!$C:$C)</f>
        <v>Norte</v>
      </c>
      <c r="C1318" t="str">
        <f>_xlfn.XLOOKUP(A1318,[1]Municipios!$B:$B,[1]Municipios!$D:$D)</f>
        <v>Vale Do Ivaí</v>
      </c>
      <c r="D1318">
        <v>2025</v>
      </c>
      <c r="E1318" t="s">
        <v>234</v>
      </c>
      <c r="F1318">
        <v>1</v>
      </c>
      <c r="G1318">
        <v>89.26</v>
      </c>
    </row>
    <row r="1319" spans="1:7" x14ac:dyDescent="0.25">
      <c r="A1319" t="s">
        <v>510</v>
      </c>
      <c r="B1319" t="str">
        <f>_xlfn.XLOOKUP(A1319,[1]Municipios!$B:$B,[1]Municipios!$C:$C)</f>
        <v>Norte</v>
      </c>
      <c r="C1319" t="str">
        <f>_xlfn.XLOOKUP(A1319,[1]Municipios!$B:$B,[1]Municipios!$D:$D)</f>
        <v>Vale Do Ivaí</v>
      </c>
      <c r="D1319">
        <v>2025</v>
      </c>
      <c r="E1319" t="s">
        <v>235</v>
      </c>
      <c r="F1319">
        <v>1</v>
      </c>
      <c r="G1319">
        <v>89.26</v>
      </c>
    </row>
    <row r="1320" spans="1:7" x14ac:dyDescent="0.25">
      <c r="A1320" t="s">
        <v>510</v>
      </c>
      <c r="B1320" t="str">
        <f>_xlfn.XLOOKUP(A1320,[1]Municipios!$B:$B,[1]Municipios!$C:$C)</f>
        <v>Norte</v>
      </c>
      <c r="C1320" t="str">
        <f>_xlfn.XLOOKUP(A1320,[1]Municipios!$B:$B,[1]Municipios!$D:$D)</f>
        <v>Vale Do Ivaí</v>
      </c>
      <c r="D1320">
        <v>2025</v>
      </c>
      <c r="E1320" t="s">
        <v>236</v>
      </c>
      <c r="F1320">
        <v>0.92309999999999992</v>
      </c>
      <c r="G1320">
        <v>89.26</v>
      </c>
    </row>
    <row r="1321" spans="1:7" x14ac:dyDescent="0.25">
      <c r="A1321" t="s">
        <v>510</v>
      </c>
      <c r="B1321" t="str">
        <f>_xlfn.XLOOKUP(A1321,[1]Municipios!$B:$B,[1]Municipios!$C:$C)</f>
        <v>Norte</v>
      </c>
      <c r="C1321" t="str">
        <f>_xlfn.XLOOKUP(A1321,[1]Municipios!$B:$B,[1]Municipios!$D:$D)</f>
        <v>Vale Do Ivaí</v>
      </c>
      <c r="D1321">
        <v>2025</v>
      </c>
      <c r="E1321" t="s">
        <v>237</v>
      </c>
      <c r="F1321">
        <v>1</v>
      </c>
      <c r="G1321">
        <v>89.26</v>
      </c>
    </row>
    <row r="1322" spans="1:7" x14ac:dyDescent="0.25">
      <c r="A1322" t="s">
        <v>570</v>
      </c>
      <c r="B1322" t="str">
        <f>_xlfn.XLOOKUP(A1322,[1]Municipios!$B:$B,[1]Municipios!$C:$C)</f>
        <v>Noroeste</v>
      </c>
      <c r="C1322" t="str">
        <f>_xlfn.XLOOKUP(A1322,[1]Municipios!$B:$B,[1]Municipios!$D:$D)</f>
        <v>Arenito-Caiuá</v>
      </c>
      <c r="D1322">
        <v>2025</v>
      </c>
      <c r="E1322" t="s">
        <v>231</v>
      </c>
      <c r="F1322">
        <v>0.11120000000000001</v>
      </c>
      <c r="G1322">
        <v>27.59</v>
      </c>
    </row>
    <row r="1323" spans="1:7" x14ac:dyDescent="0.25">
      <c r="A1323" t="s">
        <v>570</v>
      </c>
      <c r="B1323" t="str">
        <f>_xlfn.XLOOKUP(A1323,[1]Municipios!$B:$B,[1]Municipios!$C:$C)</f>
        <v>Noroeste</v>
      </c>
      <c r="C1323" t="str">
        <f>_xlfn.XLOOKUP(A1323,[1]Municipios!$B:$B,[1]Municipios!$D:$D)</f>
        <v>Arenito-Caiuá</v>
      </c>
      <c r="D1323">
        <v>2025</v>
      </c>
      <c r="E1323" t="s">
        <v>232</v>
      </c>
      <c r="F1323">
        <v>0.92310000000000003</v>
      </c>
      <c r="G1323">
        <v>27.59</v>
      </c>
    </row>
    <row r="1324" spans="1:7" x14ac:dyDescent="0.25">
      <c r="A1324" t="s">
        <v>570</v>
      </c>
      <c r="B1324" t="str">
        <f>_xlfn.XLOOKUP(A1324,[1]Municipios!$B:$B,[1]Municipios!$C:$C)</f>
        <v>Noroeste</v>
      </c>
      <c r="C1324" t="str">
        <f>_xlfn.XLOOKUP(A1324,[1]Municipios!$B:$B,[1]Municipios!$D:$D)</f>
        <v>Arenito-Caiuá</v>
      </c>
      <c r="D1324">
        <v>2025</v>
      </c>
      <c r="E1324" t="s">
        <v>233</v>
      </c>
      <c r="F1324">
        <v>0.5</v>
      </c>
      <c r="G1324">
        <v>27.59</v>
      </c>
    </row>
    <row r="1325" spans="1:7" x14ac:dyDescent="0.25">
      <c r="A1325" t="s">
        <v>570</v>
      </c>
      <c r="B1325" t="str">
        <f>_xlfn.XLOOKUP(A1325,[1]Municipios!$B:$B,[1]Municipios!$C:$C)</f>
        <v>Noroeste</v>
      </c>
      <c r="C1325" t="str">
        <f>_xlfn.XLOOKUP(A1325,[1]Municipios!$B:$B,[1]Municipios!$D:$D)</f>
        <v>Arenito-Caiuá</v>
      </c>
      <c r="D1325">
        <v>2025</v>
      </c>
      <c r="E1325" t="s">
        <v>215</v>
      </c>
      <c r="F1325">
        <v>0</v>
      </c>
      <c r="G1325">
        <v>27.59</v>
      </c>
    </row>
    <row r="1326" spans="1:7" x14ac:dyDescent="0.25">
      <c r="A1326" t="s">
        <v>570</v>
      </c>
      <c r="B1326" t="str">
        <f>_xlfn.XLOOKUP(A1326,[1]Municipios!$B:$B,[1]Municipios!$C:$C)</f>
        <v>Noroeste</v>
      </c>
      <c r="C1326" t="str">
        <f>_xlfn.XLOOKUP(A1326,[1]Municipios!$B:$B,[1]Municipios!$D:$D)</f>
        <v>Arenito-Caiuá</v>
      </c>
      <c r="D1326">
        <v>2025</v>
      </c>
      <c r="E1326" t="s">
        <v>234</v>
      </c>
      <c r="F1326">
        <v>0.22220000000000001</v>
      </c>
      <c r="G1326">
        <v>27.59</v>
      </c>
    </row>
    <row r="1327" spans="1:7" x14ac:dyDescent="0.25">
      <c r="A1327" t="s">
        <v>570</v>
      </c>
      <c r="B1327" t="str">
        <f>_xlfn.XLOOKUP(A1327,[1]Municipios!$B:$B,[1]Municipios!$C:$C)</f>
        <v>Noroeste</v>
      </c>
      <c r="C1327" t="str">
        <f>_xlfn.XLOOKUP(A1327,[1]Municipios!$B:$B,[1]Municipios!$D:$D)</f>
        <v>Arenito-Caiuá</v>
      </c>
      <c r="D1327">
        <v>2025</v>
      </c>
      <c r="E1327" t="s">
        <v>235</v>
      </c>
      <c r="F1327">
        <v>0.28559999999999997</v>
      </c>
      <c r="G1327">
        <v>27.59</v>
      </c>
    </row>
    <row r="1328" spans="1:7" x14ac:dyDescent="0.25">
      <c r="A1328" t="s">
        <v>570</v>
      </c>
      <c r="B1328" t="str">
        <f>_xlfn.XLOOKUP(A1328,[1]Municipios!$B:$B,[1]Municipios!$C:$C)</f>
        <v>Noroeste</v>
      </c>
      <c r="C1328" t="str">
        <f>_xlfn.XLOOKUP(A1328,[1]Municipios!$B:$B,[1]Municipios!$D:$D)</f>
        <v>Arenito-Caiuá</v>
      </c>
      <c r="D1328">
        <v>2025</v>
      </c>
      <c r="E1328" t="s">
        <v>236</v>
      </c>
      <c r="F1328">
        <v>7.6999999999999999E-2</v>
      </c>
      <c r="G1328">
        <v>27.59</v>
      </c>
    </row>
    <row r="1329" spans="1:7" x14ac:dyDescent="0.25">
      <c r="A1329" t="s">
        <v>570</v>
      </c>
      <c r="B1329" t="str">
        <f>_xlfn.XLOOKUP(A1329,[1]Municipios!$B:$B,[1]Municipios!$C:$C)</f>
        <v>Noroeste</v>
      </c>
      <c r="C1329" t="str">
        <f>_xlfn.XLOOKUP(A1329,[1]Municipios!$B:$B,[1]Municipios!$D:$D)</f>
        <v>Arenito-Caiuá</v>
      </c>
      <c r="D1329">
        <v>2025</v>
      </c>
      <c r="E1329" t="s">
        <v>237</v>
      </c>
      <c r="F1329">
        <v>0</v>
      </c>
      <c r="G1329">
        <v>27.59</v>
      </c>
    </row>
    <row r="1330" spans="1:7" x14ac:dyDescent="0.25">
      <c r="A1330" t="s">
        <v>571</v>
      </c>
      <c r="B1330" t="str">
        <f>_xlfn.XLOOKUP(A1330,[1]Municipios!$B:$B,[1]Municipios!$C:$C)</f>
        <v>Noroeste</v>
      </c>
      <c r="C1330" t="str">
        <f>_xlfn.XLOOKUP(A1330,[1]Municipios!$B:$B,[1]Municipios!$D:$D)</f>
        <v>Terra Roxa</v>
      </c>
      <c r="D1330">
        <v>2025</v>
      </c>
      <c r="E1330" t="s">
        <v>231</v>
      </c>
      <c r="F1330">
        <v>0.55559999999999998</v>
      </c>
      <c r="G1330">
        <v>66.27</v>
      </c>
    </row>
    <row r="1331" spans="1:7" x14ac:dyDescent="0.25">
      <c r="A1331" t="s">
        <v>571</v>
      </c>
      <c r="B1331" t="str">
        <f>_xlfn.XLOOKUP(A1331,[1]Municipios!$B:$B,[1]Municipios!$C:$C)</f>
        <v>Noroeste</v>
      </c>
      <c r="C1331" t="str">
        <f>_xlfn.XLOOKUP(A1331,[1]Municipios!$B:$B,[1]Municipios!$D:$D)</f>
        <v>Terra Roxa</v>
      </c>
      <c r="D1331">
        <v>2025</v>
      </c>
      <c r="E1331" t="s">
        <v>232</v>
      </c>
      <c r="F1331">
        <v>0.76929999999999998</v>
      </c>
      <c r="G1331">
        <v>66.27</v>
      </c>
    </row>
    <row r="1332" spans="1:7" x14ac:dyDescent="0.25">
      <c r="A1332" t="s">
        <v>571</v>
      </c>
      <c r="B1332" t="str">
        <f>_xlfn.XLOOKUP(A1332,[1]Municipios!$B:$B,[1]Municipios!$C:$C)</f>
        <v>Noroeste</v>
      </c>
      <c r="C1332" t="str">
        <f>_xlfn.XLOOKUP(A1332,[1]Municipios!$B:$B,[1]Municipios!$D:$D)</f>
        <v>Terra Roxa</v>
      </c>
      <c r="D1332">
        <v>2025</v>
      </c>
      <c r="E1332" t="s">
        <v>233</v>
      </c>
      <c r="F1332">
        <v>0.625</v>
      </c>
      <c r="G1332">
        <v>66.27</v>
      </c>
    </row>
    <row r="1333" spans="1:7" x14ac:dyDescent="0.25">
      <c r="A1333" t="s">
        <v>571</v>
      </c>
      <c r="B1333" t="str">
        <f>_xlfn.XLOOKUP(A1333,[1]Municipios!$B:$B,[1]Municipios!$C:$C)</f>
        <v>Noroeste</v>
      </c>
      <c r="C1333" t="str">
        <f>_xlfn.XLOOKUP(A1333,[1]Municipios!$B:$B,[1]Municipios!$D:$D)</f>
        <v>Terra Roxa</v>
      </c>
      <c r="D1333">
        <v>2025</v>
      </c>
      <c r="E1333" t="s">
        <v>215</v>
      </c>
      <c r="F1333">
        <v>0.5</v>
      </c>
      <c r="G1333">
        <v>66.27</v>
      </c>
    </row>
    <row r="1334" spans="1:7" x14ac:dyDescent="0.25">
      <c r="A1334" t="s">
        <v>571</v>
      </c>
      <c r="B1334" t="str">
        <f>_xlfn.XLOOKUP(A1334,[1]Municipios!$B:$B,[1]Municipios!$C:$C)</f>
        <v>Noroeste</v>
      </c>
      <c r="C1334" t="str">
        <f>_xlfn.XLOOKUP(A1334,[1]Municipios!$B:$B,[1]Municipios!$D:$D)</f>
        <v>Terra Roxa</v>
      </c>
      <c r="D1334">
        <v>2025</v>
      </c>
      <c r="E1334" t="s">
        <v>234</v>
      </c>
      <c r="F1334">
        <v>0.44440000000000002</v>
      </c>
      <c r="G1334">
        <v>66.27</v>
      </c>
    </row>
    <row r="1335" spans="1:7" x14ac:dyDescent="0.25">
      <c r="A1335" t="s">
        <v>571</v>
      </c>
      <c r="B1335" t="str">
        <f>_xlfn.XLOOKUP(A1335,[1]Municipios!$B:$B,[1]Municipios!$C:$C)</f>
        <v>Noroeste</v>
      </c>
      <c r="C1335" t="str">
        <f>_xlfn.XLOOKUP(A1335,[1]Municipios!$B:$B,[1]Municipios!$D:$D)</f>
        <v>Terra Roxa</v>
      </c>
      <c r="D1335">
        <v>2025</v>
      </c>
      <c r="E1335" t="s">
        <v>235</v>
      </c>
      <c r="F1335">
        <v>1</v>
      </c>
      <c r="G1335">
        <v>66.27</v>
      </c>
    </row>
    <row r="1336" spans="1:7" x14ac:dyDescent="0.25">
      <c r="A1336" t="s">
        <v>571</v>
      </c>
      <c r="B1336" t="str">
        <f>_xlfn.XLOOKUP(A1336,[1]Municipios!$B:$B,[1]Municipios!$C:$C)</f>
        <v>Noroeste</v>
      </c>
      <c r="C1336" t="str">
        <f>_xlfn.XLOOKUP(A1336,[1]Municipios!$B:$B,[1]Municipios!$D:$D)</f>
        <v>Terra Roxa</v>
      </c>
      <c r="D1336">
        <v>2025</v>
      </c>
      <c r="E1336" t="s">
        <v>236</v>
      </c>
      <c r="F1336">
        <v>0.3846</v>
      </c>
      <c r="G1336">
        <v>66.27</v>
      </c>
    </row>
    <row r="1337" spans="1:7" x14ac:dyDescent="0.25">
      <c r="A1337" t="s">
        <v>571</v>
      </c>
      <c r="B1337" t="str">
        <f>_xlfn.XLOOKUP(A1337,[1]Municipios!$B:$B,[1]Municipios!$C:$C)</f>
        <v>Noroeste</v>
      </c>
      <c r="C1337" t="str">
        <f>_xlfn.XLOOKUP(A1337,[1]Municipios!$B:$B,[1]Municipios!$D:$D)</f>
        <v>Terra Roxa</v>
      </c>
      <c r="D1337">
        <v>2025</v>
      </c>
      <c r="E1337" t="s">
        <v>237</v>
      </c>
      <c r="F1337">
        <v>1</v>
      </c>
      <c r="G1337">
        <v>66.27</v>
      </c>
    </row>
    <row r="1338" spans="1:7" x14ac:dyDescent="0.25">
      <c r="A1338" t="s">
        <v>346</v>
      </c>
      <c r="B1338" t="str">
        <f>_xlfn.XLOOKUP(A1338,[1]Municipios!$B:$B,[1]Municipios!$C:$C)</f>
        <v>Norte</v>
      </c>
      <c r="C1338" t="str">
        <f>_xlfn.XLOOKUP(A1338,[1]Municipios!$B:$B,[1]Municipios!$D:$D)</f>
        <v>Norte Pioneiro</v>
      </c>
      <c r="D1338">
        <v>2025</v>
      </c>
      <c r="E1338" t="s">
        <v>231</v>
      </c>
      <c r="F1338">
        <v>0.88890000000000002</v>
      </c>
      <c r="G1338">
        <v>86.9</v>
      </c>
    </row>
    <row r="1339" spans="1:7" x14ac:dyDescent="0.25">
      <c r="A1339" t="s">
        <v>346</v>
      </c>
      <c r="B1339" t="str">
        <f>_xlfn.XLOOKUP(A1339,[1]Municipios!$B:$B,[1]Municipios!$C:$C)</f>
        <v>Norte</v>
      </c>
      <c r="C1339" t="str">
        <f>_xlfn.XLOOKUP(A1339,[1]Municipios!$B:$B,[1]Municipios!$D:$D)</f>
        <v>Norte Pioneiro</v>
      </c>
      <c r="D1339">
        <v>2025</v>
      </c>
      <c r="E1339" t="s">
        <v>232</v>
      </c>
      <c r="F1339">
        <v>0.92310000000000003</v>
      </c>
      <c r="G1339">
        <v>86.9</v>
      </c>
    </row>
    <row r="1340" spans="1:7" x14ac:dyDescent="0.25">
      <c r="A1340" t="s">
        <v>346</v>
      </c>
      <c r="B1340" t="str">
        <f>_xlfn.XLOOKUP(A1340,[1]Municipios!$B:$B,[1]Municipios!$C:$C)</f>
        <v>Norte</v>
      </c>
      <c r="C1340" t="str">
        <f>_xlfn.XLOOKUP(A1340,[1]Municipios!$B:$B,[1]Municipios!$D:$D)</f>
        <v>Norte Pioneiro</v>
      </c>
      <c r="D1340">
        <v>2025</v>
      </c>
      <c r="E1340" t="s">
        <v>233</v>
      </c>
      <c r="F1340">
        <v>0.875</v>
      </c>
      <c r="G1340">
        <v>86.9</v>
      </c>
    </row>
    <row r="1341" spans="1:7" x14ac:dyDescent="0.25">
      <c r="A1341" t="s">
        <v>346</v>
      </c>
      <c r="B1341" t="str">
        <f>_xlfn.XLOOKUP(A1341,[1]Municipios!$B:$B,[1]Municipios!$C:$C)</f>
        <v>Norte</v>
      </c>
      <c r="C1341" t="str">
        <f>_xlfn.XLOOKUP(A1341,[1]Municipios!$B:$B,[1]Municipios!$D:$D)</f>
        <v>Norte Pioneiro</v>
      </c>
      <c r="D1341">
        <v>2025</v>
      </c>
      <c r="E1341" t="s">
        <v>215</v>
      </c>
      <c r="F1341">
        <v>0.79999999999999993</v>
      </c>
      <c r="G1341">
        <v>86.9</v>
      </c>
    </row>
    <row r="1342" spans="1:7" x14ac:dyDescent="0.25">
      <c r="A1342" t="s">
        <v>346</v>
      </c>
      <c r="B1342" t="str">
        <f>_xlfn.XLOOKUP(A1342,[1]Municipios!$B:$B,[1]Municipios!$C:$C)</f>
        <v>Norte</v>
      </c>
      <c r="C1342" t="str">
        <f>_xlfn.XLOOKUP(A1342,[1]Municipios!$B:$B,[1]Municipios!$D:$D)</f>
        <v>Norte Pioneiro</v>
      </c>
      <c r="D1342">
        <v>2025</v>
      </c>
      <c r="E1342" t="s">
        <v>234</v>
      </c>
      <c r="F1342">
        <v>0.66669999999999996</v>
      </c>
      <c r="G1342">
        <v>86.9</v>
      </c>
    </row>
    <row r="1343" spans="1:7" x14ac:dyDescent="0.25">
      <c r="A1343" t="s">
        <v>346</v>
      </c>
      <c r="B1343" t="str">
        <f>_xlfn.XLOOKUP(A1343,[1]Municipios!$B:$B,[1]Municipios!$C:$C)</f>
        <v>Norte</v>
      </c>
      <c r="C1343" t="str">
        <f>_xlfn.XLOOKUP(A1343,[1]Municipios!$B:$B,[1]Municipios!$D:$D)</f>
        <v>Norte Pioneiro</v>
      </c>
      <c r="D1343">
        <v>2025</v>
      </c>
      <c r="E1343" t="s">
        <v>235</v>
      </c>
      <c r="F1343">
        <v>1</v>
      </c>
      <c r="G1343">
        <v>86.9</v>
      </c>
    </row>
    <row r="1344" spans="1:7" x14ac:dyDescent="0.25">
      <c r="A1344" t="s">
        <v>346</v>
      </c>
      <c r="B1344" t="str">
        <f>_xlfn.XLOOKUP(A1344,[1]Municipios!$B:$B,[1]Municipios!$C:$C)</f>
        <v>Norte</v>
      </c>
      <c r="C1344" t="str">
        <f>_xlfn.XLOOKUP(A1344,[1]Municipios!$B:$B,[1]Municipios!$D:$D)</f>
        <v>Norte Pioneiro</v>
      </c>
      <c r="D1344">
        <v>2025</v>
      </c>
      <c r="E1344" t="s">
        <v>236</v>
      </c>
      <c r="F1344">
        <v>0.84620000000000006</v>
      </c>
      <c r="G1344">
        <v>86.9</v>
      </c>
    </row>
    <row r="1345" spans="1:7" x14ac:dyDescent="0.25">
      <c r="A1345" t="s">
        <v>346</v>
      </c>
      <c r="B1345" t="str">
        <f>_xlfn.XLOOKUP(A1345,[1]Municipios!$B:$B,[1]Municipios!$C:$C)</f>
        <v>Norte</v>
      </c>
      <c r="C1345" t="str">
        <f>_xlfn.XLOOKUP(A1345,[1]Municipios!$B:$B,[1]Municipios!$D:$D)</f>
        <v>Norte Pioneiro</v>
      </c>
      <c r="D1345">
        <v>2025</v>
      </c>
      <c r="E1345" t="s">
        <v>237</v>
      </c>
      <c r="F1345">
        <v>1</v>
      </c>
      <c r="G1345">
        <v>86.9</v>
      </c>
    </row>
    <row r="1346" spans="1:7" x14ac:dyDescent="0.25">
      <c r="A1346" t="s">
        <v>347</v>
      </c>
      <c r="B1346" t="str">
        <f>_xlfn.XLOOKUP(A1346,[1]Municipios!$B:$B,[1]Municipios!$C:$C)</f>
        <v>Norte</v>
      </c>
      <c r="C1346" t="str">
        <f>_xlfn.XLOOKUP(A1346,[1]Municipios!$B:$B,[1]Municipios!$D:$D)</f>
        <v>Norte Pioneiro</v>
      </c>
      <c r="D1346">
        <v>2025</v>
      </c>
      <c r="E1346" t="s">
        <v>231</v>
      </c>
      <c r="F1346">
        <v>0.77769999999999995</v>
      </c>
      <c r="G1346">
        <v>92.49</v>
      </c>
    </row>
    <row r="1347" spans="1:7" x14ac:dyDescent="0.25">
      <c r="A1347" t="s">
        <v>347</v>
      </c>
      <c r="B1347" t="str">
        <f>_xlfn.XLOOKUP(A1347,[1]Municipios!$B:$B,[1]Municipios!$C:$C)</f>
        <v>Norte</v>
      </c>
      <c r="C1347" t="str">
        <f>_xlfn.XLOOKUP(A1347,[1]Municipios!$B:$B,[1]Municipios!$D:$D)</f>
        <v>Norte Pioneiro</v>
      </c>
      <c r="D1347">
        <v>2025</v>
      </c>
      <c r="E1347" t="s">
        <v>232</v>
      </c>
      <c r="F1347">
        <v>1</v>
      </c>
      <c r="G1347">
        <v>92.49</v>
      </c>
    </row>
    <row r="1348" spans="1:7" x14ac:dyDescent="0.25">
      <c r="A1348" t="s">
        <v>347</v>
      </c>
      <c r="B1348" t="str">
        <f>_xlfn.XLOOKUP(A1348,[1]Municipios!$B:$B,[1]Municipios!$C:$C)</f>
        <v>Norte</v>
      </c>
      <c r="C1348" t="str">
        <f>_xlfn.XLOOKUP(A1348,[1]Municipios!$B:$B,[1]Municipios!$D:$D)</f>
        <v>Norte Pioneiro</v>
      </c>
      <c r="D1348">
        <v>2025</v>
      </c>
      <c r="E1348" t="s">
        <v>233</v>
      </c>
      <c r="F1348">
        <v>1</v>
      </c>
      <c r="G1348">
        <v>92.49</v>
      </c>
    </row>
    <row r="1349" spans="1:7" x14ac:dyDescent="0.25">
      <c r="A1349" t="s">
        <v>347</v>
      </c>
      <c r="B1349" t="str">
        <f>_xlfn.XLOOKUP(A1349,[1]Municipios!$B:$B,[1]Municipios!$C:$C)</f>
        <v>Norte</v>
      </c>
      <c r="C1349" t="str">
        <f>_xlfn.XLOOKUP(A1349,[1]Municipios!$B:$B,[1]Municipios!$D:$D)</f>
        <v>Norte Pioneiro</v>
      </c>
      <c r="D1349">
        <v>2025</v>
      </c>
      <c r="E1349" t="s">
        <v>215</v>
      </c>
      <c r="F1349">
        <v>0.75</v>
      </c>
      <c r="G1349">
        <v>92.49</v>
      </c>
    </row>
    <row r="1350" spans="1:7" x14ac:dyDescent="0.25">
      <c r="A1350" t="s">
        <v>347</v>
      </c>
      <c r="B1350" t="str">
        <f>_xlfn.XLOOKUP(A1350,[1]Municipios!$B:$B,[1]Municipios!$C:$C)</f>
        <v>Norte</v>
      </c>
      <c r="C1350" t="str">
        <f>_xlfn.XLOOKUP(A1350,[1]Municipios!$B:$B,[1]Municipios!$D:$D)</f>
        <v>Norte Pioneiro</v>
      </c>
      <c r="D1350">
        <v>2025</v>
      </c>
      <c r="E1350" t="s">
        <v>234</v>
      </c>
      <c r="F1350">
        <v>1</v>
      </c>
      <c r="G1350">
        <v>92.49</v>
      </c>
    </row>
    <row r="1351" spans="1:7" x14ac:dyDescent="0.25">
      <c r="A1351" t="s">
        <v>347</v>
      </c>
      <c r="B1351" t="str">
        <f>_xlfn.XLOOKUP(A1351,[1]Municipios!$B:$B,[1]Municipios!$C:$C)</f>
        <v>Norte</v>
      </c>
      <c r="C1351" t="str">
        <f>_xlfn.XLOOKUP(A1351,[1]Municipios!$B:$B,[1]Municipios!$D:$D)</f>
        <v>Norte Pioneiro</v>
      </c>
      <c r="D1351">
        <v>2025</v>
      </c>
      <c r="E1351" t="s">
        <v>235</v>
      </c>
      <c r="F1351">
        <v>1</v>
      </c>
      <c r="G1351">
        <v>92.49</v>
      </c>
    </row>
    <row r="1352" spans="1:7" x14ac:dyDescent="0.25">
      <c r="A1352" t="s">
        <v>347</v>
      </c>
      <c r="B1352" t="str">
        <f>_xlfn.XLOOKUP(A1352,[1]Municipios!$B:$B,[1]Municipios!$C:$C)</f>
        <v>Norte</v>
      </c>
      <c r="C1352" t="str">
        <f>_xlfn.XLOOKUP(A1352,[1]Municipios!$B:$B,[1]Municipios!$D:$D)</f>
        <v>Norte Pioneiro</v>
      </c>
      <c r="D1352">
        <v>2025</v>
      </c>
      <c r="E1352" t="s">
        <v>236</v>
      </c>
      <c r="F1352">
        <v>0.84609999999999996</v>
      </c>
      <c r="G1352">
        <v>92.49</v>
      </c>
    </row>
    <row r="1353" spans="1:7" x14ac:dyDescent="0.25">
      <c r="A1353" t="s">
        <v>347</v>
      </c>
      <c r="B1353" t="str">
        <f>_xlfn.XLOOKUP(A1353,[1]Municipios!$B:$B,[1]Municipios!$C:$C)</f>
        <v>Norte</v>
      </c>
      <c r="C1353" t="str">
        <f>_xlfn.XLOOKUP(A1353,[1]Municipios!$B:$B,[1]Municipios!$D:$D)</f>
        <v>Norte Pioneiro</v>
      </c>
      <c r="D1353">
        <v>2025</v>
      </c>
      <c r="E1353" t="s">
        <v>237</v>
      </c>
      <c r="F1353">
        <v>1</v>
      </c>
      <c r="G1353">
        <v>92.49</v>
      </c>
    </row>
    <row r="1354" spans="1:7" x14ac:dyDescent="0.25">
      <c r="A1354" t="s">
        <v>473</v>
      </c>
      <c r="B1354" t="str">
        <f>_xlfn.XLOOKUP(A1354,[1]Municipios!$B:$B,[1]Municipios!$C:$C)</f>
        <v>Norte</v>
      </c>
      <c r="C1354" t="str">
        <f>_xlfn.XLOOKUP(A1354,[1]Municipios!$B:$B,[1]Municipios!$D:$D)</f>
        <v>Vale do Paranapanema</v>
      </c>
      <c r="D1354">
        <v>2025</v>
      </c>
      <c r="E1354" t="s">
        <v>231</v>
      </c>
      <c r="F1354">
        <v>0.44449999999999995</v>
      </c>
      <c r="G1354">
        <v>73.42</v>
      </c>
    </row>
    <row r="1355" spans="1:7" x14ac:dyDescent="0.25">
      <c r="A1355" t="s">
        <v>473</v>
      </c>
      <c r="B1355" t="str">
        <f>_xlfn.XLOOKUP(A1355,[1]Municipios!$B:$B,[1]Municipios!$C:$C)</f>
        <v>Norte</v>
      </c>
      <c r="C1355" t="str">
        <f>_xlfn.XLOOKUP(A1355,[1]Municipios!$B:$B,[1]Municipios!$D:$D)</f>
        <v>Vale do Paranapanema</v>
      </c>
      <c r="D1355">
        <v>2025</v>
      </c>
      <c r="E1355" t="s">
        <v>232</v>
      </c>
      <c r="F1355">
        <v>0.84609999999999996</v>
      </c>
      <c r="G1355">
        <v>73.42</v>
      </c>
    </row>
    <row r="1356" spans="1:7" x14ac:dyDescent="0.25">
      <c r="A1356" t="s">
        <v>473</v>
      </c>
      <c r="B1356" t="str">
        <f>_xlfn.XLOOKUP(A1356,[1]Municipios!$B:$B,[1]Municipios!$C:$C)</f>
        <v>Norte</v>
      </c>
      <c r="C1356" t="str">
        <f>_xlfn.XLOOKUP(A1356,[1]Municipios!$B:$B,[1]Municipios!$D:$D)</f>
        <v>Vale do Paranapanema</v>
      </c>
      <c r="D1356">
        <v>2025</v>
      </c>
      <c r="E1356" t="s">
        <v>233</v>
      </c>
      <c r="F1356">
        <v>0.875</v>
      </c>
      <c r="G1356">
        <v>73.42</v>
      </c>
    </row>
    <row r="1357" spans="1:7" x14ac:dyDescent="0.25">
      <c r="A1357" t="s">
        <v>473</v>
      </c>
      <c r="B1357" t="str">
        <f>_xlfn.XLOOKUP(A1357,[1]Municipios!$B:$B,[1]Municipios!$C:$C)</f>
        <v>Norte</v>
      </c>
      <c r="C1357" t="str">
        <f>_xlfn.XLOOKUP(A1357,[1]Municipios!$B:$B,[1]Municipios!$D:$D)</f>
        <v>Vale do Paranapanema</v>
      </c>
      <c r="D1357">
        <v>2025</v>
      </c>
      <c r="E1357" t="s">
        <v>215</v>
      </c>
      <c r="F1357">
        <v>1</v>
      </c>
      <c r="G1357">
        <v>73.42</v>
      </c>
    </row>
    <row r="1358" spans="1:7" x14ac:dyDescent="0.25">
      <c r="A1358" t="s">
        <v>473</v>
      </c>
      <c r="B1358" t="str">
        <f>_xlfn.XLOOKUP(A1358,[1]Municipios!$B:$B,[1]Municipios!$C:$C)</f>
        <v>Norte</v>
      </c>
      <c r="C1358" t="str">
        <f>_xlfn.XLOOKUP(A1358,[1]Municipios!$B:$B,[1]Municipios!$D:$D)</f>
        <v>Vale do Paranapanema</v>
      </c>
      <c r="D1358">
        <v>2025</v>
      </c>
      <c r="E1358" t="s">
        <v>234</v>
      </c>
      <c r="F1358">
        <v>0.44440000000000002</v>
      </c>
      <c r="G1358">
        <v>73.42</v>
      </c>
    </row>
    <row r="1359" spans="1:7" x14ac:dyDescent="0.25">
      <c r="A1359" t="s">
        <v>473</v>
      </c>
      <c r="B1359" t="str">
        <f>_xlfn.XLOOKUP(A1359,[1]Municipios!$B:$B,[1]Municipios!$C:$C)</f>
        <v>Norte</v>
      </c>
      <c r="C1359" t="str">
        <f>_xlfn.XLOOKUP(A1359,[1]Municipios!$B:$B,[1]Municipios!$D:$D)</f>
        <v>Vale do Paranapanema</v>
      </c>
      <c r="D1359">
        <v>2025</v>
      </c>
      <c r="E1359" t="s">
        <v>235</v>
      </c>
      <c r="F1359">
        <v>1</v>
      </c>
      <c r="G1359">
        <v>73.42</v>
      </c>
    </row>
    <row r="1360" spans="1:7" x14ac:dyDescent="0.25">
      <c r="A1360" t="s">
        <v>473</v>
      </c>
      <c r="B1360" t="str">
        <f>_xlfn.XLOOKUP(A1360,[1]Municipios!$B:$B,[1]Municipios!$C:$C)</f>
        <v>Norte</v>
      </c>
      <c r="C1360" t="str">
        <f>_xlfn.XLOOKUP(A1360,[1]Municipios!$B:$B,[1]Municipios!$D:$D)</f>
        <v>Vale do Paranapanema</v>
      </c>
      <c r="D1360">
        <v>2025</v>
      </c>
      <c r="E1360" t="s">
        <v>236</v>
      </c>
      <c r="F1360">
        <v>0.38450000000000001</v>
      </c>
      <c r="G1360">
        <v>73.42</v>
      </c>
    </row>
    <row r="1361" spans="1:7" x14ac:dyDescent="0.25">
      <c r="A1361" t="s">
        <v>473</v>
      </c>
      <c r="B1361" t="str">
        <f>_xlfn.XLOOKUP(A1361,[1]Municipios!$B:$B,[1]Municipios!$C:$C)</f>
        <v>Norte</v>
      </c>
      <c r="C1361" t="str">
        <f>_xlfn.XLOOKUP(A1361,[1]Municipios!$B:$B,[1]Municipios!$D:$D)</f>
        <v>Vale do Paranapanema</v>
      </c>
      <c r="D1361">
        <v>2025</v>
      </c>
      <c r="E1361" t="s">
        <v>237</v>
      </c>
      <c r="F1361">
        <v>1</v>
      </c>
      <c r="G1361">
        <v>73.42</v>
      </c>
    </row>
    <row r="1362" spans="1:7" x14ac:dyDescent="0.25">
      <c r="A1362" t="s">
        <v>276</v>
      </c>
      <c r="B1362" t="str">
        <f>_xlfn.XLOOKUP(A1362,[1]Municipios!$B:$B,[1]Municipios!$C:$C)</f>
        <v>Centro</v>
      </c>
      <c r="C1362" t="str">
        <f>_xlfn.XLOOKUP(A1362,[1]Municipios!$B:$B,[1]Municipios!$D:$D)</f>
        <v>Campos Gerais</v>
      </c>
      <c r="D1362">
        <v>2025</v>
      </c>
      <c r="E1362" t="s">
        <v>231</v>
      </c>
      <c r="F1362">
        <v>0.55559999999999998</v>
      </c>
      <c r="G1362">
        <v>71.62</v>
      </c>
    </row>
    <row r="1363" spans="1:7" x14ac:dyDescent="0.25">
      <c r="A1363" t="s">
        <v>276</v>
      </c>
      <c r="B1363" t="str">
        <f>_xlfn.XLOOKUP(A1363,[1]Municipios!$B:$B,[1]Municipios!$C:$C)</f>
        <v>Centro</v>
      </c>
      <c r="C1363" t="str">
        <f>_xlfn.XLOOKUP(A1363,[1]Municipios!$B:$B,[1]Municipios!$D:$D)</f>
        <v>Campos Gerais</v>
      </c>
      <c r="D1363">
        <v>2025</v>
      </c>
      <c r="E1363" t="s">
        <v>232</v>
      </c>
      <c r="F1363">
        <v>0.92310000000000003</v>
      </c>
      <c r="G1363">
        <v>71.62</v>
      </c>
    </row>
    <row r="1364" spans="1:7" x14ac:dyDescent="0.25">
      <c r="A1364" t="s">
        <v>276</v>
      </c>
      <c r="B1364" t="str">
        <f>_xlfn.XLOOKUP(A1364,[1]Municipios!$B:$B,[1]Municipios!$C:$C)</f>
        <v>Centro</v>
      </c>
      <c r="C1364" t="str">
        <f>_xlfn.XLOOKUP(A1364,[1]Municipios!$B:$B,[1]Municipios!$D:$D)</f>
        <v>Campos Gerais</v>
      </c>
      <c r="D1364">
        <v>2025</v>
      </c>
      <c r="E1364" t="s">
        <v>233</v>
      </c>
      <c r="F1364">
        <v>1</v>
      </c>
      <c r="G1364">
        <v>71.62</v>
      </c>
    </row>
    <row r="1365" spans="1:7" x14ac:dyDescent="0.25">
      <c r="A1365" t="s">
        <v>276</v>
      </c>
      <c r="B1365" t="str">
        <f>_xlfn.XLOOKUP(A1365,[1]Municipios!$B:$B,[1]Municipios!$C:$C)</f>
        <v>Centro</v>
      </c>
      <c r="C1365" t="str">
        <f>_xlfn.XLOOKUP(A1365,[1]Municipios!$B:$B,[1]Municipios!$D:$D)</f>
        <v>Campos Gerais</v>
      </c>
      <c r="D1365">
        <v>2025</v>
      </c>
      <c r="E1365" t="s">
        <v>215</v>
      </c>
      <c r="F1365">
        <v>0.5</v>
      </c>
      <c r="G1365">
        <v>71.62</v>
      </c>
    </row>
    <row r="1366" spans="1:7" x14ac:dyDescent="0.25">
      <c r="A1366" t="s">
        <v>276</v>
      </c>
      <c r="B1366" t="str">
        <f>_xlfn.XLOOKUP(A1366,[1]Municipios!$B:$B,[1]Municipios!$C:$C)</f>
        <v>Centro</v>
      </c>
      <c r="C1366" t="str">
        <f>_xlfn.XLOOKUP(A1366,[1]Municipios!$B:$B,[1]Municipios!$D:$D)</f>
        <v>Campos Gerais</v>
      </c>
      <c r="D1366">
        <v>2025</v>
      </c>
      <c r="E1366" t="s">
        <v>234</v>
      </c>
      <c r="F1366">
        <v>0.66669999999999996</v>
      </c>
      <c r="G1366">
        <v>71.62</v>
      </c>
    </row>
    <row r="1367" spans="1:7" x14ac:dyDescent="0.25">
      <c r="A1367" t="s">
        <v>276</v>
      </c>
      <c r="B1367" t="str">
        <f>_xlfn.XLOOKUP(A1367,[1]Municipios!$B:$B,[1]Municipios!$C:$C)</f>
        <v>Centro</v>
      </c>
      <c r="C1367" t="str">
        <f>_xlfn.XLOOKUP(A1367,[1]Municipios!$B:$B,[1]Municipios!$D:$D)</f>
        <v>Campos Gerais</v>
      </c>
      <c r="D1367">
        <v>2025</v>
      </c>
      <c r="E1367" t="s">
        <v>235</v>
      </c>
      <c r="F1367">
        <v>1</v>
      </c>
      <c r="G1367">
        <v>71.62</v>
      </c>
    </row>
    <row r="1368" spans="1:7" x14ac:dyDescent="0.25">
      <c r="A1368" t="s">
        <v>276</v>
      </c>
      <c r="B1368" t="str">
        <f>_xlfn.XLOOKUP(A1368,[1]Municipios!$B:$B,[1]Municipios!$C:$C)</f>
        <v>Centro</v>
      </c>
      <c r="C1368" t="str">
        <f>_xlfn.XLOOKUP(A1368,[1]Municipios!$B:$B,[1]Municipios!$D:$D)</f>
        <v>Campos Gerais</v>
      </c>
      <c r="D1368">
        <v>2025</v>
      </c>
      <c r="E1368" t="s">
        <v>236</v>
      </c>
      <c r="F1368">
        <v>0.15390000000000001</v>
      </c>
      <c r="G1368">
        <v>71.62</v>
      </c>
    </row>
    <row r="1369" spans="1:7" x14ac:dyDescent="0.25">
      <c r="A1369" t="s">
        <v>276</v>
      </c>
      <c r="B1369" t="str">
        <f>_xlfn.XLOOKUP(A1369,[1]Municipios!$B:$B,[1]Municipios!$C:$C)</f>
        <v>Centro</v>
      </c>
      <c r="C1369" t="str">
        <f>_xlfn.XLOOKUP(A1369,[1]Municipios!$B:$B,[1]Municipios!$D:$D)</f>
        <v>Campos Gerais</v>
      </c>
      <c r="D1369">
        <v>2025</v>
      </c>
      <c r="E1369" t="s">
        <v>237</v>
      </c>
      <c r="F1369">
        <v>1</v>
      </c>
      <c r="G1369">
        <v>71.62</v>
      </c>
    </row>
    <row r="1370" spans="1:7" x14ac:dyDescent="0.25">
      <c r="A1370" t="s">
        <v>511</v>
      </c>
      <c r="B1370" t="str">
        <f>_xlfn.XLOOKUP(A1370,[1]Municipios!$B:$B,[1]Municipios!$C:$C)</f>
        <v>Norte</v>
      </c>
      <c r="C1370" t="str">
        <f>_xlfn.XLOOKUP(A1370,[1]Municipios!$B:$B,[1]Municipios!$D:$D)</f>
        <v>Vale Do Ivaí</v>
      </c>
      <c r="D1370">
        <v>2025</v>
      </c>
      <c r="E1370" t="s">
        <v>231</v>
      </c>
      <c r="F1370">
        <v>0.66669999999999996</v>
      </c>
      <c r="G1370">
        <v>79.39</v>
      </c>
    </row>
    <row r="1371" spans="1:7" x14ac:dyDescent="0.25">
      <c r="A1371" t="s">
        <v>511</v>
      </c>
      <c r="B1371" t="str">
        <f>_xlfn.XLOOKUP(A1371,[1]Municipios!$B:$B,[1]Municipios!$C:$C)</f>
        <v>Norte</v>
      </c>
      <c r="C1371" t="str">
        <f>_xlfn.XLOOKUP(A1371,[1]Municipios!$B:$B,[1]Municipios!$D:$D)</f>
        <v>Vale Do Ivaí</v>
      </c>
      <c r="D1371">
        <v>2025</v>
      </c>
      <c r="E1371" t="s">
        <v>232</v>
      </c>
      <c r="F1371">
        <v>0.76929999999999998</v>
      </c>
      <c r="G1371">
        <v>79.39</v>
      </c>
    </row>
    <row r="1372" spans="1:7" x14ac:dyDescent="0.25">
      <c r="A1372" t="s">
        <v>511</v>
      </c>
      <c r="B1372" t="str">
        <f>_xlfn.XLOOKUP(A1372,[1]Municipios!$B:$B,[1]Municipios!$C:$C)</f>
        <v>Norte</v>
      </c>
      <c r="C1372" t="str">
        <f>_xlfn.XLOOKUP(A1372,[1]Municipios!$B:$B,[1]Municipios!$D:$D)</f>
        <v>Vale Do Ivaí</v>
      </c>
      <c r="D1372">
        <v>2025</v>
      </c>
      <c r="E1372" t="s">
        <v>233</v>
      </c>
      <c r="F1372">
        <v>0.75</v>
      </c>
      <c r="G1372">
        <v>79.39</v>
      </c>
    </row>
    <row r="1373" spans="1:7" x14ac:dyDescent="0.25">
      <c r="A1373" t="s">
        <v>511</v>
      </c>
      <c r="B1373" t="str">
        <f>_xlfn.XLOOKUP(A1373,[1]Municipios!$B:$B,[1]Municipios!$C:$C)</f>
        <v>Norte</v>
      </c>
      <c r="C1373" t="str">
        <f>_xlfn.XLOOKUP(A1373,[1]Municipios!$B:$B,[1]Municipios!$D:$D)</f>
        <v>Vale Do Ivaí</v>
      </c>
      <c r="D1373">
        <v>2025</v>
      </c>
      <c r="E1373" t="s">
        <v>215</v>
      </c>
      <c r="F1373">
        <v>0.65</v>
      </c>
      <c r="G1373">
        <v>79.39</v>
      </c>
    </row>
    <row r="1374" spans="1:7" x14ac:dyDescent="0.25">
      <c r="A1374" t="s">
        <v>511</v>
      </c>
      <c r="B1374" t="str">
        <f>_xlfn.XLOOKUP(A1374,[1]Municipios!$B:$B,[1]Municipios!$C:$C)</f>
        <v>Norte</v>
      </c>
      <c r="C1374" t="str">
        <f>_xlfn.XLOOKUP(A1374,[1]Municipios!$B:$B,[1]Municipios!$D:$D)</f>
        <v>Vale Do Ivaí</v>
      </c>
      <c r="D1374">
        <v>2025</v>
      </c>
      <c r="E1374" t="s">
        <v>234</v>
      </c>
      <c r="F1374">
        <v>0.77770000000000006</v>
      </c>
      <c r="G1374">
        <v>79.39</v>
      </c>
    </row>
    <row r="1375" spans="1:7" x14ac:dyDescent="0.25">
      <c r="A1375" t="s">
        <v>511</v>
      </c>
      <c r="B1375" t="str">
        <f>_xlfn.XLOOKUP(A1375,[1]Municipios!$B:$B,[1]Municipios!$C:$C)</f>
        <v>Norte</v>
      </c>
      <c r="C1375" t="str">
        <f>_xlfn.XLOOKUP(A1375,[1]Municipios!$B:$B,[1]Municipios!$D:$D)</f>
        <v>Vale Do Ivaí</v>
      </c>
      <c r="D1375">
        <v>2025</v>
      </c>
      <c r="E1375" t="s">
        <v>235</v>
      </c>
      <c r="F1375">
        <v>1</v>
      </c>
      <c r="G1375">
        <v>79.39</v>
      </c>
    </row>
    <row r="1376" spans="1:7" x14ac:dyDescent="0.25">
      <c r="A1376" t="s">
        <v>511</v>
      </c>
      <c r="B1376" t="str">
        <f>_xlfn.XLOOKUP(A1376,[1]Municipios!$B:$B,[1]Municipios!$C:$C)</f>
        <v>Norte</v>
      </c>
      <c r="C1376" t="str">
        <f>_xlfn.XLOOKUP(A1376,[1]Municipios!$B:$B,[1]Municipios!$D:$D)</f>
        <v>Vale Do Ivaí</v>
      </c>
      <c r="D1376">
        <v>2025</v>
      </c>
      <c r="E1376" t="s">
        <v>236</v>
      </c>
      <c r="F1376">
        <v>0.69229999999999992</v>
      </c>
      <c r="G1376">
        <v>79.39</v>
      </c>
    </row>
    <row r="1377" spans="1:7" x14ac:dyDescent="0.25">
      <c r="A1377" t="s">
        <v>511</v>
      </c>
      <c r="B1377" t="str">
        <f>_xlfn.XLOOKUP(A1377,[1]Municipios!$B:$B,[1]Municipios!$C:$C)</f>
        <v>Norte</v>
      </c>
      <c r="C1377" t="str">
        <f>_xlfn.XLOOKUP(A1377,[1]Municipios!$B:$B,[1]Municipios!$D:$D)</f>
        <v>Vale Do Ivaí</v>
      </c>
      <c r="D1377">
        <v>2025</v>
      </c>
      <c r="E1377" t="s">
        <v>237</v>
      </c>
      <c r="F1377">
        <v>1</v>
      </c>
      <c r="G1377">
        <v>79.39</v>
      </c>
    </row>
    <row r="1378" spans="1:7" x14ac:dyDescent="0.25">
      <c r="A1378" t="s">
        <v>572</v>
      </c>
      <c r="B1378" t="str">
        <f>_xlfn.XLOOKUP(A1378,[1]Municipios!$B:$B,[1]Municipios!$C:$C)</f>
        <v>Noroeste</v>
      </c>
      <c r="C1378" t="str">
        <f>_xlfn.XLOOKUP(A1378,[1]Municipios!$B:$B,[1]Municipios!$D:$D)</f>
        <v>Centro Ocidental</v>
      </c>
      <c r="D1378">
        <v>2025</v>
      </c>
      <c r="E1378" t="s">
        <v>231</v>
      </c>
      <c r="F1378">
        <v>0.11109999999999999</v>
      </c>
      <c r="G1378">
        <v>38.24</v>
      </c>
    </row>
    <row r="1379" spans="1:7" x14ac:dyDescent="0.25">
      <c r="A1379" t="s">
        <v>572</v>
      </c>
      <c r="B1379" t="str">
        <f>_xlfn.XLOOKUP(A1379,[1]Municipios!$B:$B,[1]Municipios!$C:$C)</f>
        <v>Noroeste</v>
      </c>
      <c r="C1379" t="str">
        <f>_xlfn.XLOOKUP(A1379,[1]Municipios!$B:$B,[1]Municipios!$D:$D)</f>
        <v>Centro Ocidental</v>
      </c>
      <c r="D1379">
        <v>2025</v>
      </c>
      <c r="E1379" t="s">
        <v>232</v>
      </c>
      <c r="F1379">
        <v>0.61529999999999996</v>
      </c>
      <c r="G1379">
        <v>38.24</v>
      </c>
    </row>
    <row r="1380" spans="1:7" x14ac:dyDescent="0.25">
      <c r="A1380" t="s">
        <v>572</v>
      </c>
      <c r="B1380" t="str">
        <f>_xlfn.XLOOKUP(A1380,[1]Municipios!$B:$B,[1]Municipios!$C:$C)</f>
        <v>Noroeste</v>
      </c>
      <c r="C1380" t="str">
        <f>_xlfn.XLOOKUP(A1380,[1]Municipios!$B:$B,[1]Municipios!$D:$D)</f>
        <v>Centro Ocidental</v>
      </c>
      <c r="D1380">
        <v>2025</v>
      </c>
      <c r="E1380" t="s">
        <v>233</v>
      </c>
      <c r="F1380">
        <v>0.625</v>
      </c>
      <c r="G1380">
        <v>38.24</v>
      </c>
    </row>
    <row r="1381" spans="1:7" x14ac:dyDescent="0.25">
      <c r="A1381" t="s">
        <v>572</v>
      </c>
      <c r="B1381" t="str">
        <f>_xlfn.XLOOKUP(A1381,[1]Municipios!$B:$B,[1]Municipios!$C:$C)</f>
        <v>Noroeste</v>
      </c>
      <c r="C1381" t="str">
        <f>_xlfn.XLOOKUP(A1381,[1]Municipios!$B:$B,[1]Municipios!$D:$D)</f>
        <v>Centro Ocidental</v>
      </c>
      <c r="D1381">
        <v>2025</v>
      </c>
      <c r="E1381" t="s">
        <v>215</v>
      </c>
      <c r="F1381">
        <v>0.19999999999999998</v>
      </c>
      <c r="G1381">
        <v>38.24</v>
      </c>
    </row>
    <row r="1382" spans="1:7" x14ac:dyDescent="0.25">
      <c r="A1382" t="s">
        <v>572</v>
      </c>
      <c r="B1382" t="str">
        <f>_xlfn.XLOOKUP(A1382,[1]Municipios!$B:$B,[1]Municipios!$C:$C)</f>
        <v>Noroeste</v>
      </c>
      <c r="C1382" t="str">
        <f>_xlfn.XLOOKUP(A1382,[1]Municipios!$B:$B,[1]Municipios!$D:$D)</f>
        <v>Centro Ocidental</v>
      </c>
      <c r="D1382">
        <v>2025</v>
      </c>
      <c r="E1382" t="s">
        <v>234</v>
      </c>
      <c r="F1382">
        <v>0.88880000000000003</v>
      </c>
      <c r="G1382">
        <v>38.24</v>
      </c>
    </row>
    <row r="1383" spans="1:7" x14ac:dyDescent="0.25">
      <c r="A1383" t="s">
        <v>572</v>
      </c>
      <c r="B1383" t="str">
        <f>_xlfn.XLOOKUP(A1383,[1]Municipios!$B:$B,[1]Municipios!$C:$C)</f>
        <v>Noroeste</v>
      </c>
      <c r="C1383" t="str">
        <f>_xlfn.XLOOKUP(A1383,[1]Municipios!$B:$B,[1]Municipios!$D:$D)</f>
        <v>Centro Ocidental</v>
      </c>
      <c r="D1383">
        <v>2025</v>
      </c>
      <c r="E1383" t="s">
        <v>235</v>
      </c>
      <c r="F1383">
        <v>0.42849999999999999</v>
      </c>
      <c r="G1383">
        <v>38.24</v>
      </c>
    </row>
    <row r="1384" spans="1:7" x14ac:dyDescent="0.25">
      <c r="A1384" t="s">
        <v>572</v>
      </c>
      <c r="B1384" t="str">
        <f>_xlfn.XLOOKUP(A1384,[1]Municipios!$B:$B,[1]Municipios!$C:$C)</f>
        <v>Noroeste</v>
      </c>
      <c r="C1384" t="str">
        <f>_xlfn.XLOOKUP(A1384,[1]Municipios!$B:$B,[1]Municipios!$D:$D)</f>
        <v>Centro Ocidental</v>
      </c>
      <c r="D1384">
        <v>2025</v>
      </c>
      <c r="E1384" t="s">
        <v>236</v>
      </c>
      <c r="F1384">
        <v>0</v>
      </c>
      <c r="G1384">
        <v>38.24</v>
      </c>
    </row>
    <row r="1385" spans="1:7" x14ac:dyDescent="0.25">
      <c r="A1385" t="s">
        <v>572</v>
      </c>
      <c r="B1385" t="str">
        <f>_xlfn.XLOOKUP(A1385,[1]Municipios!$B:$B,[1]Municipios!$C:$C)</f>
        <v>Noroeste</v>
      </c>
      <c r="C1385" t="str">
        <f>_xlfn.XLOOKUP(A1385,[1]Municipios!$B:$B,[1]Municipios!$D:$D)</f>
        <v>Centro Ocidental</v>
      </c>
      <c r="D1385">
        <v>2025</v>
      </c>
      <c r="E1385" t="s">
        <v>237</v>
      </c>
      <c r="F1385">
        <v>0</v>
      </c>
      <c r="G1385">
        <v>38.24</v>
      </c>
    </row>
    <row r="1386" spans="1:7" x14ac:dyDescent="0.25">
      <c r="A1386" t="s">
        <v>348</v>
      </c>
      <c r="B1386" t="str">
        <f>_xlfn.XLOOKUP(A1386,[1]Municipios!$B:$B,[1]Municipios!$C:$C)</f>
        <v>Norte</v>
      </c>
      <c r="C1386" t="str">
        <f>_xlfn.XLOOKUP(A1386,[1]Municipios!$B:$B,[1]Municipios!$D:$D)</f>
        <v>Norte Pioneiro</v>
      </c>
      <c r="D1386">
        <v>2025</v>
      </c>
      <c r="E1386" t="s">
        <v>231</v>
      </c>
      <c r="F1386">
        <v>0.88890000000000002</v>
      </c>
      <c r="G1386">
        <v>84.13</v>
      </c>
    </row>
    <row r="1387" spans="1:7" x14ac:dyDescent="0.25">
      <c r="A1387" t="s">
        <v>348</v>
      </c>
      <c r="B1387" t="str">
        <f>_xlfn.XLOOKUP(A1387,[1]Municipios!$B:$B,[1]Municipios!$C:$C)</f>
        <v>Norte</v>
      </c>
      <c r="C1387" t="str">
        <f>_xlfn.XLOOKUP(A1387,[1]Municipios!$B:$B,[1]Municipios!$D:$D)</f>
        <v>Norte Pioneiro</v>
      </c>
      <c r="D1387">
        <v>2025</v>
      </c>
      <c r="E1387" t="s">
        <v>232</v>
      </c>
      <c r="F1387">
        <v>0.92310000000000003</v>
      </c>
      <c r="G1387">
        <v>84.13</v>
      </c>
    </row>
    <row r="1388" spans="1:7" x14ac:dyDescent="0.25">
      <c r="A1388" t="s">
        <v>348</v>
      </c>
      <c r="B1388" t="str">
        <f>_xlfn.XLOOKUP(A1388,[1]Municipios!$B:$B,[1]Municipios!$C:$C)</f>
        <v>Norte</v>
      </c>
      <c r="C1388" t="str">
        <f>_xlfn.XLOOKUP(A1388,[1]Municipios!$B:$B,[1]Municipios!$D:$D)</f>
        <v>Norte Pioneiro</v>
      </c>
      <c r="D1388">
        <v>2025</v>
      </c>
      <c r="E1388" t="s">
        <v>233</v>
      </c>
      <c r="F1388">
        <v>0.875</v>
      </c>
      <c r="G1388">
        <v>84.13</v>
      </c>
    </row>
    <row r="1389" spans="1:7" x14ac:dyDescent="0.25">
      <c r="A1389" t="s">
        <v>348</v>
      </c>
      <c r="B1389" t="str">
        <f>_xlfn.XLOOKUP(A1389,[1]Municipios!$B:$B,[1]Municipios!$C:$C)</f>
        <v>Norte</v>
      </c>
      <c r="C1389" t="str">
        <f>_xlfn.XLOOKUP(A1389,[1]Municipios!$B:$B,[1]Municipios!$D:$D)</f>
        <v>Norte Pioneiro</v>
      </c>
      <c r="D1389">
        <v>2025</v>
      </c>
      <c r="E1389" t="s">
        <v>215</v>
      </c>
      <c r="F1389">
        <v>0.95000000000000007</v>
      </c>
      <c r="G1389">
        <v>84.13</v>
      </c>
    </row>
    <row r="1390" spans="1:7" x14ac:dyDescent="0.25">
      <c r="A1390" t="s">
        <v>348</v>
      </c>
      <c r="B1390" t="str">
        <f>_xlfn.XLOOKUP(A1390,[1]Municipios!$B:$B,[1]Municipios!$C:$C)</f>
        <v>Norte</v>
      </c>
      <c r="C1390" t="str">
        <f>_xlfn.XLOOKUP(A1390,[1]Municipios!$B:$B,[1]Municipios!$D:$D)</f>
        <v>Norte Pioneiro</v>
      </c>
      <c r="D1390">
        <v>2025</v>
      </c>
      <c r="E1390" t="s">
        <v>234</v>
      </c>
      <c r="F1390">
        <v>0.77780000000000005</v>
      </c>
      <c r="G1390">
        <v>84.13</v>
      </c>
    </row>
    <row r="1391" spans="1:7" x14ac:dyDescent="0.25">
      <c r="A1391" t="s">
        <v>348</v>
      </c>
      <c r="B1391" t="str">
        <f>_xlfn.XLOOKUP(A1391,[1]Municipios!$B:$B,[1]Municipios!$C:$C)</f>
        <v>Norte</v>
      </c>
      <c r="C1391" t="str">
        <f>_xlfn.XLOOKUP(A1391,[1]Municipios!$B:$B,[1]Municipios!$D:$D)</f>
        <v>Norte Pioneiro</v>
      </c>
      <c r="D1391">
        <v>2025</v>
      </c>
      <c r="E1391" t="s">
        <v>235</v>
      </c>
      <c r="F1391">
        <v>1</v>
      </c>
      <c r="G1391">
        <v>84.13</v>
      </c>
    </row>
    <row r="1392" spans="1:7" x14ac:dyDescent="0.25">
      <c r="A1392" t="s">
        <v>348</v>
      </c>
      <c r="B1392" t="str">
        <f>_xlfn.XLOOKUP(A1392,[1]Municipios!$B:$B,[1]Municipios!$C:$C)</f>
        <v>Norte</v>
      </c>
      <c r="C1392" t="str">
        <f>_xlfn.XLOOKUP(A1392,[1]Municipios!$B:$B,[1]Municipios!$D:$D)</f>
        <v>Norte Pioneiro</v>
      </c>
      <c r="D1392">
        <v>2025</v>
      </c>
      <c r="E1392" t="s">
        <v>236</v>
      </c>
      <c r="F1392">
        <v>0.30780000000000002</v>
      </c>
      <c r="G1392">
        <v>84.13</v>
      </c>
    </row>
    <row r="1393" spans="1:7" x14ac:dyDescent="0.25">
      <c r="A1393" t="s">
        <v>348</v>
      </c>
      <c r="B1393" t="str">
        <f>_xlfn.XLOOKUP(A1393,[1]Municipios!$B:$B,[1]Municipios!$C:$C)</f>
        <v>Norte</v>
      </c>
      <c r="C1393" t="str">
        <f>_xlfn.XLOOKUP(A1393,[1]Municipios!$B:$B,[1]Municipios!$D:$D)</f>
        <v>Norte Pioneiro</v>
      </c>
      <c r="D1393">
        <v>2025</v>
      </c>
      <c r="E1393" t="s">
        <v>237</v>
      </c>
      <c r="F1393">
        <v>1</v>
      </c>
      <c r="G1393">
        <v>84.13</v>
      </c>
    </row>
    <row r="1394" spans="1:7" x14ac:dyDescent="0.25">
      <c r="A1394" t="s">
        <v>538</v>
      </c>
      <c r="B1394" t="str">
        <f>_xlfn.XLOOKUP(A1394,[1]Municipios!$B:$B,[1]Municipios!$C:$C)</f>
        <v>Noroeste</v>
      </c>
      <c r="C1394" t="str">
        <f>_xlfn.XLOOKUP(A1394,[1]Municipios!$B:$B,[1]Municipios!$D:$D)</f>
        <v>Médio Noroeste</v>
      </c>
      <c r="D1394">
        <v>2025</v>
      </c>
      <c r="E1394" t="s">
        <v>231</v>
      </c>
      <c r="F1394">
        <v>0.55549999999999988</v>
      </c>
      <c r="G1394">
        <v>57.91</v>
      </c>
    </row>
    <row r="1395" spans="1:7" x14ac:dyDescent="0.25">
      <c r="A1395" t="s">
        <v>538</v>
      </c>
      <c r="B1395" t="str">
        <f>_xlfn.XLOOKUP(A1395,[1]Municipios!$B:$B,[1]Municipios!$C:$C)</f>
        <v>Noroeste</v>
      </c>
      <c r="C1395" t="str">
        <f>_xlfn.XLOOKUP(A1395,[1]Municipios!$B:$B,[1]Municipios!$D:$D)</f>
        <v>Médio Noroeste</v>
      </c>
      <c r="D1395">
        <v>2025</v>
      </c>
      <c r="E1395" t="s">
        <v>232</v>
      </c>
      <c r="F1395">
        <v>0.69230000000000003</v>
      </c>
      <c r="G1395">
        <v>57.91</v>
      </c>
    </row>
    <row r="1396" spans="1:7" x14ac:dyDescent="0.25">
      <c r="A1396" t="s">
        <v>538</v>
      </c>
      <c r="B1396" t="str">
        <f>_xlfn.XLOOKUP(A1396,[1]Municipios!$B:$B,[1]Municipios!$C:$C)</f>
        <v>Noroeste</v>
      </c>
      <c r="C1396" t="str">
        <f>_xlfn.XLOOKUP(A1396,[1]Municipios!$B:$B,[1]Municipios!$D:$D)</f>
        <v>Médio Noroeste</v>
      </c>
      <c r="D1396">
        <v>2025</v>
      </c>
      <c r="E1396" t="s">
        <v>233</v>
      </c>
      <c r="F1396">
        <v>0.375</v>
      </c>
      <c r="G1396">
        <v>57.91</v>
      </c>
    </row>
    <row r="1397" spans="1:7" x14ac:dyDescent="0.25">
      <c r="A1397" t="s">
        <v>538</v>
      </c>
      <c r="B1397" t="str">
        <f>_xlfn.XLOOKUP(A1397,[1]Municipios!$B:$B,[1]Municipios!$C:$C)</f>
        <v>Noroeste</v>
      </c>
      <c r="C1397" t="str">
        <f>_xlfn.XLOOKUP(A1397,[1]Municipios!$B:$B,[1]Municipios!$D:$D)</f>
        <v>Médio Noroeste</v>
      </c>
      <c r="D1397">
        <v>2025</v>
      </c>
      <c r="E1397" t="s">
        <v>215</v>
      </c>
      <c r="F1397">
        <v>1</v>
      </c>
      <c r="G1397">
        <v>57.91</v>
      </c>
    </row>
    <row r="1398" spans="1:7" x14ac:dyDescent="0.25">
      <c r="A1398" t="s">
        <v>538</v>
      </c>
      <c r="B1398" t="str">
        <f>_xlfn.XLOOKUP(A1398,[1]Municipios!$B:$B,[1]Municipios!$C:$C)</f>
        <v>Noroeste</v>
      </c>
      <c r="C1398" t="str">
        <f>_xlfn.XLOOKUP(A1398,[1]Municipios!$B:$B,[1]Municipios!$D:$D)</f>
        <v>Médio Noroeste</v>
      </c>
      <c r="D1398">
        <v>2025</v>
      </c>
      <c r="E1398" t="s">
        <v>234</v>
      </c>
      <c r="F1398">
        <v>0.55549999999999999</v>
      </c>
      <c r="G1398">
        <v>57.91</v>
      </c>
    </row>
    <row r="1399" spans="1:7" x14ac:dyDescent="0.25">
      <c r="A1399" t="s">
        <v>538</v>
      </c>
      <c r="B1399" t="str">
        <f>_xlfn.XLOOKUP(A1399,[1]Municipios!$B:$B,[1]Municipios!$C:$C)</f>
        <v>Noroeste</v>
      </c>
      <c r="C1399" t="str">
        <f>_xlfn.XLOOKUP(A1399,[1]Municipios!$B:$B,[1]Municipios!$D:$D)</f>
        <v>Médio Noroeste</v>
      </c>
      <c r="D1399">
        <v>2025</v>
      </c>
      <c r="E1399" t="s">
        <v>235</v>
      </c>
      <c r="F1399">
        <v>0.5716</v>
      </c>
      <c r="G1399">
        <v>57.91</v>
      </c>
    </row>
    <row r="1400" spans="1:7" x14ac:dyDescent="0.25">
      <c r="A1400" t="s">
        <v>538</v>
      </c>
      <c r="B1400" t="str">
        <f>_xlfn.XLOOKUP(A1400,[1]Municipios!$B:$B,[1]Municipios!$C:$C)</f>
        <v>Noroeste</v>
      </c>
      <c r="C1400" t="str">
        <f>_xlfn.XLOOKUP(A1400,[1]Municipios!$B:$B,[1]Municipios!$D:$D)</f>
        <v>Médio Noroeste</v>
      </c>
      <c r="D1400">
        <v>2025</v>
      </c>
      <c r="E1400" t="s">
        <v>236</v>
      </c>
      <c r="F1400">
        <v>0.23089999999999999</v>
      </c>
      <c r="G1400">
        <v>57.91</v>
      </c>
    </row>
    <row r="1401" spans="1:7" x14ac:dyDescent="0.25">
      <c r="A1401" t="s">
        <v>538</v>
      </c>
      <c r="B1401" t="str">
        <f>_xlfn.XLOOKUP(A1401,[1]Municipios!$B:$B,[1]Municipios!$C:$C)</f>
        <v>Noroeste</v>
      </c>
      <c r="C1401" t="str">
        <f>_xlfn.XLOOKUP(A1401,[1]Municipios!$B:$B,[1]Municipios!$D:$D)</f>
        <v>Médio Noroeste</v>
      </c>
      <c r="D1401">
        <v>2025</v>
      </c>
      <c r="E1401" t="s">
        <v>237</v>
      </c>
      <c r="F1401">
        <v>0.5</v>
      </c>
      <c r="G1401">
        <v>57.91</v>
      </c>
    </row>
    <row r="1402" spans="1:7" x14ac:dyDescent="0.25">
      <c r="A1402" t="s">
        <v>512</v>
      </c>
      <c r="B1402" t="str">
        <f>_xlfn.XLOOKUP(A1402,[1]Municipios!$B:$B,[1]Municipios!$C:$C)</f>
        <v>Norte</v>
      </c>
      <c r="C1402" t="str">
        <f>_xlfn.XLOOKUP(A1402,[1]Municipios!$B:$B,[1]Municipios!$D:$D)</f>
        <v>Vale Do Ivaí</v>
      </c>
      <c r="D1402">
        <v>2025</v>
      </c>
      <c r="E1402" t="s">
        <v>231</v>
      </c>
      <c r="F1402">
        <v>0.44449999999999995</v>
      </c>
      <c r="G1402">
        <v>78.239999999999995</v>
      </c>
    </row>
    <row r="1403" spans="1:7" x14ac:dyDescent="0.25">
      <c r="A1403" t="s">
        <v>512</v>
      </c>
      <c r="B1403" t="str">
        <f>_xlfn.XLOOKUP(A1403,[1]Municipios!$B:$B,[1]Municipios!$C:$C)</f>
        <v>Norte</v>
      </c>
      <c r="C1403" t="str">
        <f>_xlfn.XLOOKUP(A1403,[1]Municipios!$B:$B,[1]Municipios!$D:$D)</f>
        <v>Vale Do Ivaí</v>
      </c>
      <c r="D1403">
        <v>2025</v>
      </c>
      <c r="E1403" t="s">
        <v>232</v>
      </c>
      <c r="F1403">
        <v>0.76929999999999998</v>
      </c>
      <c r="G1403">
        <v>78.239999999999995</v>
      </c>
    </row>
    <row r="1404" spans="1:7" x14ac:dyDescent="0.25">
      <c r="A1404" t="s">
        <v>512</v>
      </c>
      <c r="B1404" t="str">
        <f>_xlfn.XLOOKUP(A1404,[1]Municipios!$B:$B,[1]Municipios!$C:$C)</f>
        <v>Norte</v>
      </c>
      <c r="C1404" t="str">
        <f>_xlfn.XLOOKUP(A1404,[1]Municipios!$B:$B,[1]Municipios!$D:$D)</f>
        <v>Vale Do Ivaí</v>
      </c>
      <c r="D1404">
        <v>2025</v>
      </c>
      <c r="E1404" t="s">
        <v>233</v>
      </c>
      <c r="F1404">
        <v>0.75</v>
      </c>
      <c r="G1404">
        <v>78.239999999999995</v>
      </c>
    </row>
    <row r="1405" spans="1:7" x14ac:dyDescent="0.25">
      <c r="A1405" t="s">
        <v>512</v>
      </c>
      <c r="B1405" t="str">
        <f>_xlfn.XLOOKUP(A1405,[1]Municipios!$B:$B,[1]Municipios!$C:$C)</f>
        <v>Norte</v>
      </c>
      <c r="C1405" t="str">
        <f>_xlfn.XLOOKUP(A1405,[1]Municipios!$B:$B,[1]Municipios!$D:$D)</f>
        <v>Vale Do Ivaí</v>
      </c>
      <c r="D1405">
        <v>2025</v>
      </c>
      <c r="E1405" t="s">
        <v>215</v>
      </c>
      <c r="F1405">
        <v>0.85</v>
      </c>
      <c r="G1405">
        <v>78.239999999999995</v>
      </c>
    </row>
    <row r="1406" spans="1:7" x14ac:dyDescent="0.25">
      <c r="A1406" t="s">
        <v>512</v>
      </c>
      <c r="B1406" t="str">
        <f>_xlfn.XLOOKUP(A1406,[1]Municipios!$B:$B,[1]Municipios!$C:$C)</f>
        <v>Norte</v>
      </c>
      <c r="C1406" t="str">
        <f>_xlfn.XLOOKUP(A1406,[1]Municipios!$B:$B,[1]Municipios!$D:$D)</f>
        <v>Vale Do Ivaí</v>
      </c>
      <c r="D1406">
        <v>2025</v>
      </c>
      <c r="E1406" t="s">
        <v>234</v>
      </c>
      <c r="F1406">
        <v>0.88880000000000003</v>
      </c>
      <c r="G1406">
        <v>78.239999999999995</v>
      </c>
    </row>
    <row r="1407" spans="1:7" x14ac:dyDescent="0.25">
      <c r="A1407" t="s">
        <v>512</v>
      </c>
      <c r="B1407" t="str">
        <f>_xlfn.XLOOKUP(A1407,[1]Municipios!$B:$B,[1]Municipios!$C:$C)</f>
        <v>Norte</v>
      </c>
      <c r="C1407" t="str">
        <f>_xlfn.XLOOKUP(A1407,[1]Municipios!$B:$B,[1]Municipios!$D:$D)</f>
        <v>Vale Do Ivaí</v>
      </c>
      <c r="D1407">
        <v>2025</v>
      </c>
      <c r="E1407" t="s">
        <v>235</v>
      </c>
      <c r="F1407">
        <v>1</v>
      </c>
      <c r="G1407">
        <v>78.239999999999995</v>
      </c>
    </row>
    <row r="1408" spans="1:7" x14ac:dyDescent="0.25">
      <c r="A1408" t="s">
        <v>512</v>
      </c>
      <c r="B1408" t="str">
        <f>_xlfn.XLOOKUP(A1408,[1]Municipios!$B:$B,[1]Municipios!$C:$C)</f>
        <v>Norte</v>
      </c>
      <c r="C1408" t="str">
        <f>_xlfn.XLOOKUP(A1408,[1]Municipios!$B:$B,[1]Municipios!$D:$D)</f>
        <v>Vale Do Ivaí</v>
      </c>
      <c r="D1408">
        <v>2025</v>
      </c>
      <c r="E1408" t="s">
        <v>236</v>
      </c>
      <c r="F1408">
        <v>0.4617</v>
      </c>
      <c r="G1408">
        <v>78.239999999999995</v>
      </c>
    </row>
    <row r="1409" spans="1:7" x14ac:dyDescent="0.25">
      <c r="A1409" t="s">
        <v>512</v>
      </c>
      <c r="B1409" t="str">
        <f>_xlfn.XLOOKUP(A1409,[1]Municipios!$B:$B,[1]Municipios!$C:$C)</f>
        <v>Norte</v>
      </c>
      <c r="C1409" t="str">
        <f>_xlfn.XLOOKUP(A1409,[1]Municipios!$B:$B,[1]Municipios!$D:$D)</f>
        <v>Vale Do Ivaí</v>
      </c>
      <c r="D1409">
        <v>2025</v>
      </c>
      <c r="E1409" t="s">
        <v>237</v>
      </c>
      <c r="F1409">
        <v>1</v>
      </c>
      <c r="G1409">
        <v>78.239999999999995</v>
      </c>
    </row>
    <row r="1410" spans="1:7" x14ac:dyDescent="0.25">
      <c r="A1410" t="s">
        <v>573</v>
      </c>
      <c r="B1410" t="str">
        <f>_xlfn.XLOOKUP(A1410,[1]Municipios!$B:$B,[1]Municipios!$C:$C)</f>
        <v>Noroeste</v>
      </c>
      <c r="C1410" t="str">
        <f>_xlfn.XLOOKUP(A1410,[1]Municipios!$B:$B,[1]Municipios!$D:$D)</f>
        <v>Costa Noroeste</v>
      </c>
      <c r="D1410">
        <v>2025</v>
      </c>
      <c r="E1410" t="s">
        <v>231</v>
      </c>
      <c r="F1410">
        <v>0.11109999999999999</v>
      </c>
      <c r="G1410">
        <v>0</v>
      </c>
    </row>
    <row r="1411" spans="1:7" x14ac:dyDescent="0.25">
      <c r="A1411" t="s">
        <v>573</v>
      </c>
      <c r="B1411" t="str">
        <f>_xlfn.XLOOKUP(A1411,[1]Municipios!$B:$B,[1]Municipios!$C:$C)</f>
        <v>Noroeste</v>
      </c>
      <c r="C1411" t="str">
        <f>_xlfn.XLOOKUP(A1411,[1]Municipios!$B:$B,[1]Municipios!$D:$D)</f>
        <v>Costa Noroeste</v>
      </c>
      <c r="D1411">
        <v>2025</v>
      </c>
      <c r="E1411" t="s">
        <v>232</v>
      </c>
      <c r="F1411">
        <v>0.15379999999999999</v>
      </c>
      <c r="G1411">
        <v>0</v>
      </c>
    </row>
    <row r="1412" spans="1:7" x14ac:dyDescent="0.25">
      <c r="A1412" t="s">
        <v>573</v>
      </c>
      <c r="B1412" t="str">
        <f>_xlfn.XLOOKUP(A1412,[1]Municipios!$B:$B,[1]Municipios!$C:$C)</f>
        <v>Noroeste</v>
      </c>
      <c r="C1412" t="str">
        <f>_xlfn.XLOOKUP(A1412,[1]Municipios!$B:$B,[1]Municipios!$D:$D)</f>
        <v>Costa Noroeste</v>
      </c>
      <c r="D1412">
        <v>2025</v>
      </c>
      <c r="E1412" t="s">
        <v>233</v>
      </c>
      <c r="F1412">
        <v>0.125</v>
      </c>
      <c r="G1412">
        <v>0</v>
      </c>
    </row>
    <row r="1413" spans="1:7" x14ac:dyDescent="0.25">
      <c r="A1413" t="s">
        <v>573</v>
      </c>
      <c r="B1413" t="str">
        <f>_xlfn.XLOOKUP(A1413,[1]Municipios!$B:$B,[1]Municipios!$C:$C)</f>
        <v>Noroeste</v>
      </c>
      <c r="C1413" t="str">
        <f>_xlfn.XLOOKUP(A1413,[1]Municipios!$B:$B,[1]Municipios!$D:$D)</f>
        <v>Costa Noroeste</v>
      </c>
      <c r="D1413">
        <v>2025</v>
      </c>
      <c r="E1413" t="s">
        <v>215</v>
      </c>
      <c r="F1413">
        <v>0</v>
      </c>
      <c r="G1413">
        <v>0</v>
      </c>
    </row>
    <row r="1414" spans="1:7" x14ac:dyDescent="0.25">
      <c r="A1414" t="s">
        <v>573</v>
      </c>
      <c r="B1414" t="str">
        <f>_xlfn.XLOOKUP(A1414,[1]Municipios!$B:$B,[1]Municipios!$C:$C)</f>
        <v>Noroeste</v>
      </c>
      <c r="C1414" t="str">
        <f>_xlfn.XLOOKUP(A1414,[1]Municipios!$B:$B,[1]Municipios!$D:$D)</f>
        <v>Costa Noroeste</v>
      </c>
      <c r="D1414">
        <v>2025</v>
      </c>
      <c r="E1414" t="s">
        <v>234</v>
      </c>
      <c r="F1414">
        <v>0.1111</v>
      </c>
      <c r="G1414">
        <v>0</v>
      </c>
    </row>
    <row r="1415" spans="1:7" x14ac:dyDescent="0.25">
      <c r="A1415" t="s">
        <v>573</v>
      </c>
      <c r="B1415" t="str">
        <f>_xlfn.XLOOKUP(A1415,[1]Municipios!$B:$B,[1]Municipios!$C:$C)</f>
        <v>Noroeste</v>
      </c>
      <c r="C1415" t="str">
        <f>_xlfn.XLOOKUP(A1415,[1]Municipios!$B:$B,[1]Municipios!$D:$D)</f>
        <v>Costa Noroeste</v>
      </c>
      <c r="D1415">
        <v>2025</v>
      </c>
      <c r="E1415" t="s">
        <v>235</v>
      </c>
      <c r="F1415">
        <v>0.1429</v>
      </c>
      <c r="G1415">
        <v>0</v>
      </c>
    </row>
    <row r="1416" spans="1:7" x14ac:dyDescent="0.25">
      <c r="A1416" t="s">
        <v>573</v>
      </c>
      <c r="B1416" t="str">
        <f>_xlfn.XLOOKUP(A1416,[1]Municipios!$B:$B,[1]Municipios!$C:$C)</f>
        <v>Noroeste</v>
      </c>
      <c r="C1416" t="str">
        <f>_xlfn.XLOOKUP(A1416,[1]Municipios!$B:$B,[1]Municipios!$D:$D)</f>
        <v>Costa Noroeste</v>
      </c>
      <c r="D1416">
        <v>2025</v>
      </c>
      <c r="E1416" t="s">
        <v>236</v>
      </c>
      <c r="F1416">
        <v>0</v>
      </c>
      <c r="G1416">
        <v>0</v>
      </c>
    </row>
    <row r="1417" spans="1:7" x14ac:dyDescent="0.25">
      <c r="A1417" t="s">
        <v>573</v>
      </c>
      <c r="B1417" t="str">
        <f>_xlfn.XLOOKUP(A1417,[1]Municipios!$B:$B,[1]Municipios!$C:$C)</f>
        <v>Noroeste</v>
      </c>
      <c r="C1417" t="str">
        <f>_xlfn.XLOOKUP(A1417,[1]Municipios!$B:$B,[1]Municipios!$D:$D)</f>
        <v>Costa Noroeste</v>
      </c>
      <c r="D1417">
        <v>2025</v>
      </c>
      <c r="E1417" t="s">
        <v>237</v>
      </c>
      <c r="F1417">
        <v>0</v>
      </c>
      <c r="G1417">
        <v>0</v>
      </c>
    </row>
    <row r="1418" spans="1:7" x14ac:dyDescent="0.25">
      <c r="A1418" t="s">
        <v>281</v>
      </c>
      <c r="B1418" t="str">
        <f>_xlfn.XLOOKUP(A1418,[1]Municipios!$B:$B,[1]Municipios!$C:$C)</f>
        <v>Norte</v>
      </c>
      <c r="C1418" t="str">
        <f>_xlfn.XLOOKUP(A1418,[1]Municipios!$B:$B,[1]Municipios!$D:$D)</f>
        <v>Norte Do Paraná</v>
      </c>
      <c r="D1418">
        <v>2025</v>
      </c>
      <c r="E1418" t="s">
        <v>231</v>
      </c>
      <c r="F1418">
        <v>0</v>
      </c>
      <c r="G1418">
        <v>31.29</v>
      </c>
    </row>
    <row r="1419" spans="1:7" x14ac:dyDescent="0.25">
      <c r="A1419" t="s">
        <v>281</v>
      </c>
      <c r="B1419" t="str">
        <f>_xlfn.XLOOKUP(A1419,[1]Municipios!$B:$B,[1]Municipios!$C:$C)</f>
        <v>Norte</v>
      </c>
      <c r="C1419" t="str">
        <f>_xlfn.XLOOKUP(A1419,[1]Municipios!$B:$B,[1]Municipios!$D:$D)</f>
        <v>Norte Do Paraná</v>
      </c>
      <c r="D1419">
        <v>2025</v>
      </c>
      <c r="E1419" t="s">
        <v>232</v>
      </c>
      <c r="F1419">
        <v>0.61529999999999996</v>
      </c>
      <c r="G1419">
        <v>31.29</v>
      </c>
    </row>
    <row r="1420" spans="1:7" x14ac:dyDescent="0.25">
      <c r="A1420" t="s">
        <v>281</v>
      </c>
      <c r="B1420" t="str">
        <f>_xlfn.XLOOKUP(A1420,[1]Municipios!$B:$B,[1]Municipios!$C:$C)</f>
        <v>Norte</v>
      </c>
      <c r="C1420" t="str">
        <f>_xlfn.XLOOKUP(A1420,[1]Municipios!$B:$B,[1]Municipios!$D:$D)</f>
        <v>Norte Do Paraná</v>
      </c>
      <c r="D1420">
        <v>2025</v>
      </c>
      <c r="E1420" t="s">
        <v>233</v>
      </c>
      <c r="F1420">
        <v>0.125</v>
      </c>
      <c r="G1420">
        <v>31.29</v>
      </c>
    </row>
    <row r="1421" spans="1:7" x14ac:dyDescent="0.25">
      <c r="A1421" t="s">
        <v>281</v>
      </c>
      <c r="B1421" t="str">
        <f>_xlfn.XLOOKUP(A1421,[1]Municipios!$B:$B,[1]Municipios!$C:$C)</f>
        <v>Norte</v>
      </c>
      <c r="C1421" t="str">
        <f>_xlfn.XLOOKUP(A1421,[1]Municipios!$B:$B,[1]Municipios!$D:$D)</f>
        <v>Norte Do Paraná</v>
      </c>
      <c r="D1421">
        <v>2025</v>
      </c>
      <c r="E1421" t="s">
        <v>215</v>
      </c>
      <c r="F1421">
        <v>0</v>
      </c>
      <c r="G1421">
        <v>31.29</v>
      </c>
    </row>
    <row r="1422" spans="1:7" x14ac:dyDescent="0.25">
      <c r="A1422" t="s">
        <v>281</v>
      </c>
      <c r="B1422" t="str">
        <f>_xlfn.XLOOKUP(A1422,[1]Municipios!$B:$B,[1]Municipios!$C:$C)</f>
        <v>Norte</v>
      </c>
      <c r="C1422" t="str">
        <f>_xlfn.XLOOKUP(A1422,[1]Municipios!$B:$B,[1]Municipios!$D:$D)</f>
        <v>Norte Do Paraná</v>
      </c>
      <c r="D1422">
        <v>2025</v>
      </c>
      <c r="E1422" t="s">
        <v>234</v>
      </c>
      <c r="F1422">
        <v>0.66659999999999997</v>
      </c>
      <c r="G1422">
        <v>31.29</v>
      </c>
    </row>
    <row r="1423" spans="1:7" x14ac:dyDescent="0.25">
      <c r="A1423" t="s">
        <v>281</v>
      </c>
      <c r="B1423" t="str">
        <f>_xlfn.XLOOKUP(A1423,[1]Municipios!$B:$B,[1]Municipios!$C:$C)</f>
        <v>Norte</v>
      </c>
      <c r="C1423" t="str">
        <f>_xlfn.XLOOKUP(A1423,[1]Municipios!$B:$B,[1]Municipios!$D:$D)</f>
        <v>Norte Do Paraná</v>
      </c>
      <c r="D1423">
        <v>2025</v>
      </c>
      <c r="E1423" t="s">
        <v>235</v>
      </c>
      <c r="F1423">
        <v>0.14279999999999998</v>
      </c>
      <c r="G1423">
        <v>31.29</v>
      </c>
    </row>
    <row r="1424" spans="1:7" x14ac:dyDescent="0.25">
      <c r="A1424" t="s">
        <v>281</v>
      </c>
      <c r="B1424" t="str">
        <f>_xlfn.XLOOKUP(A1424,[1]Municipios!$B:$B,[1]Municipios!$C:$C)</f>
        <v>Norte</v>
      </c>
      <c r="C1424" t="str">
        <f>_xlfn.XLOOKUP(A1424,[1]Municipios!$B:$B,[1]Municipios!$D:$D)</f>
        <v>Norte Do Paraná</v>
      </c>
      <c r="D1424">
        <v>2025</v>
      </c>
      <c r="E1424" t="s">
        <v>236</v>
      </c>
      <c r="F1424">
        <v>0.15379999999999999</v>
      </c>
      <c r="G1424">
        <v>31.29</v>
      </c>
    </row>
    <row r="1425" spans="1:7" x14ac:dyDescent="0.25">
      <c r="A1425" t="s">
        <v>281</v>
      </c>
      <c r="B1425" t="str">
        <f>_xlfn.XLOOKUP(A1425,[1]Municipios!$B:$B,[1]Municipios!$C:$C)</f>
        <v>Norte</v>
      </c>
      <c r="C1425" t="str">
        <f>_xlfn.XLOOKUP(A1425,[1]Municipios!$B:$B,[1]Municipios!$D:$D)</f>
        <v>Norte Do Paraná</v>
      </c>
      <c r="D1425">
        <v>2025</v>
      </c>
      <c r="E1425" t="s">
        <v>237</v>
      </c>
      <c r="F1425">
        <v>0.5</v>
      </c>
      <c r="G1425">
        <v>31.29</v>
      </c>
    </row>
    <row r="1426" spans="1:7" x14ac:dyDescent="0.25">
      <c r="A1426" t="s">
        <v>446</v>
      </c>
      <c r="B1426" t="str">
        <f>_xlfn.XLOOKUP(A1426,[1]Municipios!$B:$B,[1]Municipios!$C:$C)</f>
        <v>Oeste</v>
      </c>
      <c r="C1426" t="str">
        <f>_xlfn.XLOOKUP(A1426,[1]Municipios!$B:$B,[1]Municipios!$D:$D)</f>
        <v>Oeste Integrado</v>
      </c>
      <c r="D1426">
        <v>2025</v>
      </c>
      <c r="E1426" t="s">
        <v>231</v>
      </c>
      <c r="F1426">
        <v>0.55559999999999998</v>
      </c>
      <c r="G1426">
        <v>75.5</v>
      </c>
    </row>
    <row r="1427" spans="1:7" x14ac:dyDescent="0.25">
      <c r="A1427" t="s">
        <v>446</v>
      </c>
      <c r="B1427" t="str">
        <f>_xlfn.XLOOKUP(A1427,[1]Municipios!$B:$B,[1]Municipios!$C:$C)</f>
        <v>Oeste</v>
      </c>
      <c r="C1427" t="str">
        <f>_xlfn.XLOOKUP(A1427,[1]Municipios!$B:$B,[1]Municipios!$D:$D)</f>
        <v>Oeste Integrado</v>
      </c>
      <c r="D1427">
        <v>2025</v>
      </c>
      <c r="E1427" t="s">
        <v>232</v>
      </c>
      <c r="F1427">
        <v>0.76929999999999998</v>
      </c>
      <c r="G1427">
        <v>75.5</v>
      </c>
    </row>
    <row r="1428" spans="1:7" x14ac:dyDescent="0.25">
      <c r="A1428" t="s">
        <v>446</v>
      </c>
      <c r="B1428" t="str">
        <f>_xlfn.XLOOKUP(A1428,[1]Municipios!$B:$B,[1]Municipios!$C:$C)</f>
        <v>Oeste</v>
      </c>
      <c r="C1428" t="str">
        <f>_xlfn.XLOOKUP(A1428,[1]Municipios!$B:$B,[1]Municipios!$D:$D)</f>
        <v>Oeste Integrado</v>
      </c>
      <c r="D1428">
        <v>2025</v>
      </c>
      <c r="E1428" t="s">
        <v>233</v>
      </c>
      <c r="F1428">
        <v>0.875</v>
      </c>
      <c r="G1428">
        <v>75.5</v>
      </c>
    </row>
    <row r="1429" spans="1:7" x14ac:dyDescent="0.25">
      <c r="A1429" t="s">
        <v>446</v>
      </c>
      <c r="B1429" t="str">
        <f>_xlfn.XLOOKUP(A1429,[1]Municipios!$B:$B,[1]Municipios!$C:$C)</f>
        <v>Oeste</v>
      </c>
      <c r="C1429" t="str">
        <f>_xlfn.XLOOKUP(A1429,[1]Municipios!$B:$B,[1]Municipios!$D:$D)</f>
        <v>Oeste Integrado</v>
      </c>
      <c r="D1429">
        <v>2025</v>
      </c>
      <c r="E1429" t="s">
        <v>215</v>
      </c>
      <c r="F1429">
        <v>1</v>
      </c>
      <c r="G1429">
        <v>75.5</v>
      </c>
    </row>
    <row r="1430" spans="1:7" x14ac:dyDescent="0.25">
      <c r="A1430" t="s">
        <v>446</v>
      </c>
      <c r="B1430" t="str">
        <f>_xlfn.XLOOKUP(A1430,[1]Municipios!$B:$B,[1]Municipios!$C:$C)</f>
        <v>Oeste</v>
      </c>
      <c r="C1430" t="str">
        <f>_xlfn.XLOOKUP(A1430,[1]Municipios!$B:$B,[1]Municipios!$D:$D)</f>
        <v>Oeste Integrado</v>
      </c>
      <c r="D1430">
        <v>2025</v>
      </c>
      <c r="E1430" t="s">
        <v>234</v>
      </c>
      <c r="F1430">
        <v>0.77780000000000005</v>
      </c>
      <c r="G1430">
        <v>75.5</v>
      </c>
    </row>
    <row r="1431" spans="1:7" x14ac:dyDescent="0.25">
      <c r="A1431" t="s">
        <v>446</v>
      </c>
      <c r="B1431" t="str">
        <f>_xlfn.XLOOKUP(A1431,[1]Municipios!$B:$B,[1]Municipios!$C:$C)</f>
        <v>Oeste</v>
      </c>
      <c r="C1431" t="str">
        <f>_xlfn.XLOOKUP(A1431,[1]Municipios!$B:$B,[1]Municipios!$D:$D)</f>
        <v>Oeste Integrado</v>
      </c>
      <c r="D1431">
        <v>2025</v>
      </c>
      <c r="E1431" t="s">
        <v>235</v>
      </c>
      <c r="F1431">
        <v>1</v>
      </c>
      <c r="G1431">
        <v>75.5</v>
      </c>
    </row>
    <row r="1432" spans="1:7" x14ac:dyDescent="0.25">
      <c r="A1432" t="s">
        <v>446</v>
      </c>
      <c r="B1432" t="str">
        <f>_xlfn.XLOOKUP(A1432,[1]Municipios!$B:$B,[1]Municipios!$C:$C)</f>
        <v>Oeste</v>
      </c>
      <c r="C1432" t="str">
        <f>_xlfn.XLOOKUP(A1432,[1]Municipios!$B:$B,[1]Municipios!$D:$D)</f>
        <v>Oeste Integrado</v>
      </c>
      <c r="D1432">
        <v>2025</v>
      </c>
      <c r="E1432" t="s">
        <v>236</v>
      </c>
      <c r="F1432">
        <v>7.6999999999999999E-2</v>
      </c>
      <c r="G1432">
        <v>75.5</v>
      </c>
    </row>
    <row r="1433" spans="1:7" x14ac:dyDescent="0.25">
      <c r="A1433" t="s">
        <v>446</v>
      </c>
      <c r="B1433" t="str">
        <f>_xlfn.XLOOKUP(A1433,[1]Municipios!$B:$B,[1]Municipios!$C:$C)</f>
        <v>Oeste</v>
      </c>
      <c r="C1433" t="str">
        <f>_xlfn.XLOOKUP(A1433,[1]Municipios!$B:$B,[1]Municipios!$D:$D)</f>
        <v>Oeste Integrado</v>
      </c>
      <c r="D1433">
        <v>2025</v>
      </c>
      <c r="E1433" t="s">
        <v>237</v>
      </c>
      <c r="F1433">
        <v>1</v>
      </c>
      <c r="G1433">
        <v>75.5</v>
      </c>
    </row>
    <row r="1434" spans="1:7" x14ac:dyDescent="0.25">
      <c r="A1434" t="s">
        <v>349</v>
      </c>
      <c r="B1434" t="str">
        <f>_xlfn.XLOOKUP(A1434,[1]Municipios!$B:$B,[1]Municipios!$C:$C)</f>
        <v>Norte</v>
      </c>
      <c r="C1434" t="str">
        <f>_xlfn.XLOOKUP(A1434,[1]Municipios!$B:$B,[1]Municipios!$D:$D)</f>
        <v>Norte Pioneiro</v>
      </c>
      <c r="D1434">
        <v>2025</v>
      </c>
      <c r="E1434" t="s">
        <v>231</v>
      </c>
      <c r="F1434">
        <v>0.66669999999999996</v>
      </c>
      <c r="G1434">
        <v>79.86</v>
      </c>
    </row>
    <row r="1435" spans="1:7" x14ac:dyDescent="0.25">
      <c r="A1435" t="s">
        <v>349</v>
      </c>
      <c r="B1435" t="str">
        <f>_xlfn.XLOOKUP(A1435,[1]Municipios!$B:$B,[1]Municipios!$C:$C)</f>
        <v>Norte</v>
      </c>
      <c r="C1435" t="str">
        <f>_xlfn.XLOOKUP(A1435,[1]Municipios!$B:$B,[1]Municipios!$D:$D)</f>
        <v>Norte Pioneiro</v>
      </c>
      <c r="D1435">
        <v>2025</v>
      </c>
      <c r="E1435" t="s">
        <v>232</v>
      </c>
      <c r="F1435">
        <v>0.84619999999999995</v>
      </c>
      <c r="G1435">
        <v>79.86</v>
      </c>
    </row>
    <row r="1436" spans="1:7" x14ac:dyDescent="0.25">
      <c r="A1436" t="s">
        <v>349</v>
      </c>
      <c r="B1436" t="str">
        <f>_xlfn.XLOOKUP(A1436,[1]Municipios!$B:$B,[1]Municipios!$C:$C)</f>
        <v>Norte</v>
      </c>
      <c r="C1436" t="str">
        <f>_xlfn.XLOOKUP(A1436,[1]Municipios!$B:$B,[1]Municipios!$D:$D)</f>
        <v>Norte Pioneiro</v>
      </c>
      <c r="D1436">
        <v>2025</v>
      </c>
      <c r="E1436" t="s">
        <v>233</v>
      </c>
      <c r="F1436">
        <v>0.875</v>
      </c>
      <c r="G1436">
        <v>79.86</v>
      </c>
    </row>
    <row r="1437" spans="1:7" x14ac:dyDescent="0.25">
      <c r="A1437" t="s">
        <v>349</v>
      </c>
      <c r="B1437" t="str">
        <f>_xlfn.XLOOKUP(A1437,[1]Municipios!$B:$B,[1]Municipios!$C:$C)</f>
        <v>Norte</v>
      </c>
      <c r="C1437" t="str">
        <f>_xlfn.XLOOKUP(A1437,[1]Municipios!$B:$B,[1]Municipios!$D:$D)</f>
        <v>Norte Pioneiro</v>
      </c>
      <c r="D1437">
        <v>2025</v>
      </c>
      <c r="E1437" t="s">
        <v>215</v>
      </c>
      <c r="F1437">
        <v>1</v>
      </c>
      <c r="G1437">
        <v>79.86</v>
      </c>
    </row>
    <row r="1438" spans="1:7" x14ac:dyDescent="0.25">
      <c r="A1438" t="s">
        <v>349</v>
      </c>
      <c r="B1438" t="str">
        <f>_xlfn.XLOOKUP(A1438,[1]Municipios!$B:$B,[1]Municipios!$C:$C)</f>
        <v>Norte</v>
      </c>
      <c r="C1438" t="str">
        <f>_xlfn.XLOOKUP(A1438,[1]Municipios!$B:$B,[1]Municipios!$D:$D)</f>
        <v>Norte Pioneiro</v>
      </c>
      <c r="D1438">
        <v>2025</v>
      </c>
      <c r="E1438" t="s">
        <v>234</v>
      </c>
      <c r="F1438">
        <v>0.66659999999999997</v>
      </c>
      <c r="G1438">
        <v>79.86</v>
      </c>
    </row>
    <row r="1439" spans="1:7" x14ac:dyDescent="0.25">
      <c r="A1439" t="s">
        <v>349</v>
      </c>
      <c r="B1439" t="str">
        <f>_xlfn.XLOOKUP(A1439,[1]Municipios!$B:$B,[1]Municipios!$C:$C)</f>
        <v>Norte</v>
      </c>
      <c r="C1439" t="str">
        <f>_xlfn.XLOOKUP(A1439,[1]Municipios!$B:$B,[1]Municipios!$D:$D)</f>
        <v>Norte Pioneiro</v>
      </c>
      <c r="D1439">
        <v>2025</v>
      </c>
      <c r="E1439" t="s">
        <v>235</v>
      </c>
      <c r="F1439">
        <v>1</v>
      </c>
      <c r="G1439">
        <v>79.86</v>
      </c>
    </row>
    <row r="1440" spans="1:7" x14ac:dyDescent="0.25">
      <c r="A1440" t="s">
        <v>349</v>
      </c>
      <c r="B1440" t="str">
        <f>_xlfn.XLOOKUP(A1440,[1]Municipios!$B:$B,[1]Municipios!$C:$C)</f>
        <v>Norte</v>
      </c>
      <c r="C1440" t="str">
        <f>_xlfn.XLOOKUP(A1440,[1]Municipios!$B:$B,[1]Municipios!$D:$D)</f>
        <v>Norte Pioneiro</v>
      </c>
      <c r="D1440">
        <v>2025</v>
      </c>
      <c r="E1440" t="s">
        <v>236</v>
      </c>
      <c r="F1440">
        <v>0.38480000000000003</v>
      </c>
      <c r="G1440">
        <v>79.86</v>
      </c>
    </row>
    <row r="1441" spans="1:7" x14ac:dyDescent="0.25">
      <c r="A1441" t="s">
        <v>349</v>
      </c>
      <c r="B1441" t="str">
        <f>_xlfn.XLOOKUP(A1441,[1]Municipios!$B:$B,[1]Municipios!$C:$C)</f>
        <v>Norte</v>
      </c>
      <c r="C1441" t="str">
        <f>_xlfn.XLOOKUP(A1441,[1]Municipios!$B:$B,[1]Municipios!$D:$D)</f>
        <v>Norte Pioneiro</v>
      </c>
      <c r="D1441">
        <v>2025</v>
      </c>
      <c r="E1441" t="s">
        <v>237</v>
      </c>
      <c r="F1441">
        <v>1</v>
      </c>
      <c r="G1441">
        <v>79.86</v>
      </c>
    </row>
    <row r="1442" spans="1:7" x14ac:dyDescent="0.25">
      <c r="A1442" t="s">
        <v>350</v>
      </c>
      <c r="B1442" t="str">
        <f>_xlfn.XLOOKUP(A1442,[1]Municipios!$B:$B,[1]Municipios!$C:$C)</f>
        <v>Norte</v>
      </c>
      <c r="C1442" t="str">
        <f>_xlfn.XLOOKUP(A1442,[1]Municipios!$B:$B,[1]Municipios!$D:$D)</f>
        <v>Norte Pioneiro</v>
      </c>
      <c r="D1442">
        <v>2025</v>
      </c>
      <c r="E1442" t="s">
        <v>231</v>
      </c>
      <c r="F1442">
        <v>0.66669999999999996</v>
      </c>
      <c r="G1442">
        <v>79.94</v>
      </c>
    </row>
    <row r="1443" spans="1:7" x14ac:dyDescent="0.25">
      <c r="A1443" t="s">
        <v>350</v>
      </c>
      <c r="B1443" t="str">
        <f>_xlfn.XLOOKUP(A1443,[1]Municipios!$B:$B,[1]Municipios!$C:$C)</f>
        <v>Norte</v>
      </c>
      <c r="C1443" t="str">
        <f>_xlfn.XLOOKUP(A1443,[1]Municipios!$B:$B,[1]Municipios!$D:$D)</f>
        <v>Norte Pioneiro</v>
      </c>
      <c r="D1443">
        <v>2025</v>
      </c>
      <c r="E1443" t="s">
        <v>232</v>
      </c>
      <c r="F1443">
        <v>0.76929999999999998</v>
      </c>
      <c r="G1443">
        <v>79.94</v>
      </c>
    </row>
    <row r="1444" spans="1:7" x14ac:dyDescent="0.25">
      <c r="A1444" t="s">
        <v>350</v>
      </c>
      <c r="B1444" t="str">
        <f>_xlfn.XLOOKUP(A1444,[1]Municipios!$B:$B,[1]Municipios!$C:$C)</f>
        <v>Norte</v>
      </c>
      <c r="C1444" t="str">
        <f>_xlfn.XLOOKUP(A1444,[1]Municipios!$B:$B,[1]Municipios!$D:$D)</f>
        <v>Norte Pioneiro</v>
      </c>
      <c r="D1444">
        <v>2025</v>
      </c>
      <c r="E1444" t="s">
        <v>233</v>
      </c>
      <c r="F1444">
        <v>0.75</v>
      </c>
      <c r="G1444">
        <v>79.94</v>
      </c>
    </row>
    <row r="1445" spans="1:7" x14ac:dyDescent="0.25">
      <c r="A1445" t="s">
        <v>350</v>
      </c>
      <c r="B1445" t="str">
        <f>_xlfn.XLOOKUP(A1445,[1]Municipios!$B:$B,[1]Municipios!$C:$C)</f>
        <v>Norte</v>
      </c>
      <c r="C1445" t="str">
        <f>_xlfn.XLOOKUP(A1445,[1]Municipios!$B:$B,[1]Municipios!$D:$D)</f>
        <v>Norte Pioneiro</v>
      </c>
      <c r="D1445">
        <v>2025</v>
      </c>
      <c r="E1445" t="s">
        <v>215</v>
      </c>
      <c r="F1445">
        <v>0.85</v>
      </c>
      <c r="G1445">
        <v>79.94</v>
      </c>
    </row>
    <row r="1446" spans="1:7" x14ac:dyDescent="0.25">
      <c r="A1446" t="s">
        <v>350</v>
      </c>
      <c r="B1446" t="str">
        <f>_xlfn.XLOOKUP(A1446,[1]Municipios!$B:$B,[1]Municipios!$C:$C)</f>
        <v>Norte</v>
      </c>
      <c r="C1446" t="str">
        <f>_xlfn.XLOOKUP(A1446,[1]Municipios!$B:$B,[1]Municipios!$D:$D)</f>
        <v>Norte Pioneiro</v>
      </c>
      <c r="D1446">
        <v>2025</v>
      </c>
      <c r="E1446" t="s">
        <v>234</v>
      </c>
      <c r="F1446">
        <v>0.77780000000000005</v>
      </c>
      <c r="G1446">
        <v>79.94</v>
      </c>
    </row>
    <row r="1447" spans="1:7" x14ac:dyDescent="0.25">
      <c r="A1447" t="s">
        <v>350</v>
      </c>
      <c r="B1447" t="str">
        <f>_xlfn.XLOOKUP(A1447,[1]Municipios!$B:$B,[1]Municipios!$C:$C)</f>
        <v>Norte</v>
      </c>
      <c r="C1447" t="str">
        <f>_xlfn.XLOOKUP(A1447,[1]Municipios!$B:$B,[1]Municipios!$D:$D)</f>
        <v>Norte Pioneiro</v>
      </c>
      <c r="D1447">
        <v>2025</v>
      </c>
      <c r="E1447" t="s">
        <v>235</v>
      </c>
      <c r="F1447">
        <v>1</v>
      </c>
      <c r="G1447">
        <v>79.94</v>
      </c>
    </row>
    <row r="1448" spans="1:7" x14ac:dyDescent="0.25">
      <c r="A1448" t="s">
        <v>350</v>
      </c>
      <c r="B1448" t="str">
        <f>_xlfn.XLOOKUP(A1448,[1]Municipios!$B:$B,[1]Municipios!$C:$C)</f>
        <v>Norte</v>
      </c>
      <c r="C1448" t="str">
        <f>_xlfn.XLOOKUP(A1448,[1]Municipios!$B:$B,[1]Municipios!$D:$D)</f>
        <v>Norte Pioneiro</v>
      </c>
      <c r="D1448">
        <v>2025</v>
      </c>
      <c r="E1448" t="s">
        <v>236</v>
      </c>
      <c r="F1448">
        <v>0.53849999999999987</v>
      </c>
      <c r="G1448">
        <v>79.94</v>
      </c>
    </row>
    <row r="1449" spans="1:7" x14ac:dyDescent="0.25">
      <c r="A1449" t="s">
        <v>350</v>
      </c>
      <c r="B1449" t="str">
        <f>_xlfn.XLOOKUP(A1449,[1]Municipios!$B:$B,[1]Municipios!$C:$C)</f>
        <v>Norte</v>
      </c>
      <c r="C1449" t="str">
        <f>_xlfn.XLOOKUP(A1449,[1]Municipios!$B:$B,[1]Municipios!$D:$D)</f>
        <v>Norte Pioneiro</v>
      </c>
      <c r="D1449">
        <v>2025</v>
      </c>
      <c r="E1449" t="s">
        <v>237</v>
      </c>
      <c r="F1449">
        <v>1</v>
      </c>
      <c r="G1449">
        <v>79.94</v>
      </c>
    </row>
    <row r="1450" spans="1:7" x14ac:dyDescent="0.25">
      <c r="A1450" t="s">
        <v>574</v>
      </c>
      <c r="B1450" t="str">
        <f>_xlfn.XLOOKUP(A1450,[1]Municipios!$B:$B,[1]Municipios!$C:$C)</f>
        <v>Noroeste</v>
      </c>
      <c r="C1450" t="str">
        <f>_xlfn.XLOOKUP(A1450,[1]Municipios!$B:$B,[1]Municipios!$D:$D)</f>
        <v>Centro Ocidental</v>
      </c>
      <c r="D1450">
        <v>2025</v>
      </c>
      <c r="E1450" t="s">
        <v>231</v>
      </c>
      <c r="F1450">
        <v>0.44449999999999995</v>
      </c>
      <c r="G1450">
        <v>58.24</v>
      </c>
    </row>
    <row r="1451" spans="1:7" x14ac:dyDescent="0.25">
      <c r="A1451" t="s">
        <v>574</v>
      </c>
      <c r="B1451" t="str">
        <f>_xlfn.XLOOKUP(A1451,[1]Municipios!$B:$B,[1]Municipios!$C:$C)</f>
        <v>Noroeste</v>
      </c>
      <c r="C1451" t="str">
        <f>_xlfn.XLOOKUP(A1451,[1]Municipios!$B:$B,[1]Municipios!$D:$D)</f>
        <v>Centro Ocidental</v>
      </c>
      <c r="D1451">
        <v>2025</v>
      </c>
      <c r="E1451" t="s">
        <v>232</v>
      </c>
      <c r="F1451">
        <v>0.69230000000000003</v>
      </c>
      <c r="G1451">
        <v>58.24</v>
      </c>
    </row>
    <row r="1452" spans="1:7" x14ac:dyDescent="0.25">
      <c r="A1452" t="s">
        <v>574</v>
      </c>
      <c r="B1452" t="str">
        <f>_xlfn.XLOOKUP(A1452,[1]Municipios!$B:$B,[1]Municipios!$C:$C)</f>
        <v>Noroeste</v>
      </c>
      <c r="C1452" t="str">
        <f>_xlfn.XLOOKUP(A1452,[1]Municipios!$B:$B,[1]Municipios!$D:$D)</f>
        <v>Centro Ocidental</v>
      </c>
      <c r="D1452">
        <v>2025</v>
      </c>
      <c r="E1452" t="s">
        <v>233</v>
      </c>
      <c r="F1452">
        <v>0.5</v>
      </c>
      <c r="G1452">
        <v>58.24</v>
      </c>
    </row>
    <row r="1453" spans="1:7" x14ac:dyDescent="0.25">
      <c r="A1453" t="s">
        <v>574</v>
      </c>
      <c r="B1453" t="str">
        <f>_xlfn.XLOOKUP(A1453,[1]Municipios!$B:$B,[1]Municipios!$C:$C)</f>
        <v>Noroeste</v>
      </c>
      <c r="C1453" t="str">
        <f>_xlfn.XLOOKUP(A1453,[1]Municipios!$B:$B,[1]Municipios!$D:$D)</f>
        <v>Centro Ocidental</v>
      </c>
      <c r="D1453">
        <v>2025</v>
      </c>
      <c r="E1453" t="s">
        <v>215</v>
      </c>
      <c r="F1453">
        <v>0.3</v>
      </c>
      <c r="G1453">
        <v>58.24</v>
      </c>
    </row>
    <row r="1454" spans="1:7" x14ac:dyDescent="0.25">
      <c r="A1454" t="s">
        <v>574</v>
      </c>
      <c r="B1454" t="str">
        <f>_xlfn.XLOOKUP(A1454,[1]Municipios!$B:$B,[1]Municipios!$C:$C)</f>
        <v>Noroeste</v>
      </c>
      <c r="C1454" t="str">
        <f>_xlfn.XLOOKUP(A1454,[1]Municipios!$B:$B,[1]Municipios!$D:$D)</f>
        <v>Centro Ocidental</v>
      </c>
      <c r="D1454">
        <v>2025</v>
      </c>
      <c r="E1454" t="s">
        <v>234</v>
      </c>
      <c r="F1454">
        <v>0.44440000000000002</v>
      </c>
      <c r="G1454">
        <v>58.24</v>
      </c>
    </row>
    <row r="1455" spans="1:7" x14ac:dyDescent="0.25">
      <c r="A1455" t="s">
        <v>574</v>
      </c>
      <c r="B1455" t="str">
        <f>_xlfn.XLOOKUP(A1455,[1]Municipios!$B:$B,[1]Municipios!$C:$C)</f>
        <v>Noroeste</v>
      </c>
      <c r="C1455" t="str">
        <f>_xlfn.XLOOKUP(A1455,[1]Municipios!$B:$B,[1]Municipios!$D:$D)</f>
        <v>Centro Ocidental</v>
      </c>
      <c r="D1455">
        <v>2025</v>
      </c>
      <c r="E1455" t="s">
        <v>235</v>
      </c>
      <c r="F1455">
        <v>0.71419999999999995</v>
      </c>
      <c r="G1455">
        <v>58.24</v>
      </c>
    </row>
    <row r="1456" spans="1:7" x14ac:dyDescent="0.25">
      <c r="A1456" t="s">
        <v>574</v>
      </c>
      <c r="B1456" t="str">
        <f>_xlfn.XLOOKUP(A1456,[1]Municipios!$B:$B,[1]Municipios!$C:$C)</f>
        <v>Noroeste</v>
      </c>
      <c r="C1456" t="str">
        <f>_xlfn.XLOOKUP(A1456,[1]Municipios!$B:$B,[1]Municipios!$D:$D)</f>
        <v>Centro Ocidental</v>
      </c>
      <c r="D1456">
        <v>2025</v>
      </c>
      <c r="E1456" t="s">
        <v>236</v>
      </c>
      <c r="F1456">
        <v>0.53859999999999997</v>
      </c>
      <c r="G1456">
        <v>58.24</v>
      </c>
    </row>
    <row r="1457" spans="1:7" x14ac:dyDescent="0.25">
      <c r="A1457" t="s">
        <v>574</v>
      </c>
      <c r="B1457" t="str">
        <f>_xlfn.XLOOKUP(A1457,[1]Municipios!$B:$B,[1]Municipios!$C:$C)</f>
        <v>Noroeste</v>
      </c>
      <c r="C1457" t="str">
        <f>_xlfn.XLOOKUP(A1457,[1]Municipios!$B:$B,[1]Municipios!$D:$D)</f>
        <v>Centro Ocidental</v>
      </c>
      <c r="D1457">
        <v>2025</v>
      </c>
      <c r="E1457" t="s">
        <v>237</v>
      </c>
      <c r="F1457">
        <v>1</v>
      </c>
      <c r="G1457">
        <v>58.24</v>
      </c>
    </row>
    <row r="1458" spans="1:7" x14ac:dyDescent="0.25">
      <c r="A1458" t="s">
        <v>575</v>
      </c>
      <c r="B1458" t="str">
        <f>_xlfn.XLOOKUP(A1458,[1]Municipios!$B:$B,[1]Municipios!$C:$C)</f>
        <v>Noroeste</v>
      </c>
      <c r="C1458" t="str">
        <f>_xlfn.XLOOKUP(A1458,[1]Municipios!$B:$B,[1]Municipios!$D:$D)</f>
        <v>Médio Noroeste</v>
      </c>
      <c r="D1458">
        <v>2025</v>
      </c>
      <c r="E1458" t="s">
        <v>231</v>
      </c>
      <c r="F1458">
        <v>0.66669999999999996</v>
      </c>
      <c r="G1458">
        <v>77.400000000000006</v>
      </c>
    </row>
    <row r="1459" spans="1:7" x14ac:dyDescent="0.25">
      <c r="A1459" t="s">
        <v>575</v>
      </c>
      <c r="B1459" t="str">
        <f>_xlfn.XLOOKUP(A1459,[1]Municipios!$B:$B,[1]Municipios!$C:$C)</f>
        <v>Noroeste</v>
      </c>
      <c r="C1459" t="str">
        <f>_xlfn.XLOOKUP(A1459,[1]Municipios!$B:$B,[1]Municipios!$D:$D)</f>
        <v>Médio Noroeste</v>
      </c>
      <c r="D1459">
        <v>2025</v>
      </c>
      <c r="E1459" t="s">
        <v>232</v>
      </c>
      <c r="F1459">
        <v>0.92310000000000003</v>
      </c>
      <c r="G1459">
        <v>77.400000000000006</v>
      </c>
    </row>
    <row r="1460" spans="1:7" x14ac:dyDescent="0.25">
      <c r="A1460" t="s">
        <v>575</v>
      </c>
      <c r="B1460" t="str">
        <f>_xlfn.XLOOKUP(A1460,[1]Municipios!$B:$B,[1]Municipios!$C:$C)</f>
        <v>Noroeste</v>
      </c>
      <c r="C1460" t="str">
        <f>_xlfn.XLOOKUP(A1460,[1]Municipios!$B:$B,[1]Municipios!$D:$D)</f>
        <v>Médio Noroeste</v>
      </c>
      <c r="D1460">
        <v>2025</v>
      </c>
      <c r="E1460" t="s">
        <v>233</v>
      </c>
      <c r="F1460">
        <v>0.75</v>
      </c>
      <c r="G1460">
        <v>77.400000000000006</v>
      </c>
    </row>
    <row r="1461" spans="1:7" x14ac:dyDescent="0.25">
      <c r="A1461" t="s">
        <v>575</v>
      </c>
      <c r="B1461" t="str">
        <f>_xlfn.XLOOKUP(A1461,[1]Municipios!$B:$B,[1]Municipios!$C:$C)</f>
        <v>Noroeste</v>
      </c>
      <c r="C1461" t="str">
        <f>_xlfn.XLOOKUP(A1461,[1]Municipios!$B:$B,[1]Municipios!$D:$D)</f>
        <v>Médio Noroeste</v>
      </c>
      <c r="D1461">
        <v>2025</v>
      </c>
      <c r="E1461" t="s">
        <v>215</v>
      </c>
      <c r="F1461">
        <v>1</v>
      </c>
      <c r="G1461">
        <v>77.400000000000006</v>
      </c>
    </row>
    <row r="1462" spans="1:7" x14ac:dyDescent="0.25">
      <c r="A1462" t="s">
        <v>575</v>
      </c>
      <c r="B1462" t="str">
        <f>_xlfn.XLOOKUP(A1462,[1]Municipios!$B:$B,[1]Municipios!$C:$C)</f>
        <v>Noroeste</v>
      </c>
      <c r="C1462" t="str">
        <f>_xlfn.XLOOKUP(A1462,[1]Municipios!$B:$B,[1]Municipios!$D:$D)</f>
        <v>Médio Noroeste</v>
      </c>
      <c r="D1462">
        <v>2025</v>
      </c>
      <c r="E1462" t="s">
        <v>234</v>
      </c>
      <c r="F1462">
        <v>0.66659999999999997</v>
      </c>
      <c r="G1462">
        <v>77.400000000000006</v>
      </c>
    </row>
    <row r="1463" spans="1:7" x14ac:dyDescent="0.25">
      <c r="A1463" t="s">
        <v>575</v>
      </c>
      <c r="B1463" t="str">
        <f>_xlfn.XLOOKUP(A1463,[1]Municipios!$B:$B,[1]Municipios!$C:$C)</f>
        <v>Noroeste</v>
      </c>
      <c r="C1463" t="str">
        <f>_xlfn.XLOOKUP(A1463,[1]Municipios!$B:$B,[1]Municipios!$D:$D)</f>
        <v>Médio Noroeste</v>
      </c>
      <c r="D1463">
        <v>2025</v>
      </c>
      <c r="E1463" t="s">
        <v>235</v>
      </c>
      <c r="F1463">
        <v>0.85720000000000007</v>
      </c>
      <c r="G1463">
        <v>77.400000000000006</v>
      </c>
    </row>
    <row r="1464" spans="1:7" x14ac:dyDescent="0.25">
      <c r="A1464" t="s">
        <v>575</v>
      </c>
      <c r="B1464" t="str">
        <f>_xlfn.XLOOKUP(A1464,[1]Municipios!$B:$B,[1]Municipios!$C:$C)</f>
        <v>Noroeste</v>
      </c>
      <c r="C1464" t="str">
        <f>_xlfn.XLOOKUP(A1464,[1]Municipios!$B:$B,[1]Municipios!$D:$D)</f>
        <v>Médio Noroeste</v>
      </c>
      <c r="D1464">
        <v>2025</v>
      </c>
      <c r="E1464" t="s">
        <v>236</v>
      </c>
      <c r="F1464">
        <v>0.30770000000000003</v>
      </c>
      <c r="G1464">
        <v>77.400000000000006</v>
      </c>
    </row>
    <row r="1465" spans="1:7" x14ac:dyDescent="0.25">
      <c r="A1465" t="s">
        <v>575</v>
      </c>
      <c r="B1465" t="str">
        <f>_xlfn.XLOOKUP(A1465,[1]Municipios!$B:$B,[1]Municipios!$C:$C)</f>
        <v>Noroeste</v>
      </c>
      <c r="C1465" t="str">
        <f>_xlfn.XLOOKUP(A1465,[1]Municipios!$B:$B,[1]Municipios!$D:$D)</f>
        <v>Médio Noroeste</v>
      </c>
      <c r="D1465">
        <v>2025</v>
      </c>
      <c r="E1465" t="s">
        <v>237</v>
      </c>
      <c r="F1465">
        <v>1</v>
      </c>
      <c r="G1465">
        <v>77.400000000000006</v>
      </c>
    </row>
    <row r="1466" spans="1:7" x14ac:dyDescent="0.25">
      <c r="A1466" t="s">
        <v>576</v>
      </c>
      <c r="B1466" t="str">
        <f>_xlfn.XLOOKUP(A1466,[1]Municipios!$B:$B,[1]Municipios!$C:$C)</f>
        <v>Norte</v>
      </c>
      <c r="C1466" t="str">
        <f>_xlfn.XLOOKUP(A1466,[1]Municipios!$B:$B,[1]Municipios!$D:$D)</f>
        <v>Vale Do Ivaí</v>
      </c>
      <c r="D1466">
        <v>2025</v>
      </c>
      <c r="E1466" t="s">
        <v>231</v>
      </c>
      <c r="F1466">
        <v>0.11120000000000001</v>
      </c>
      <c r="G1466">
        <v>28.03</v>
      </c>
    </row>
    <row r="1467" spans="1:7" x14ac:dyDescent="0.25">
      <c r="A1467" t="s">
        <v>576</v>
      </c>
      <c r="B1467" t="str">
        <f>_xlfn.XLOOKUP(A1467,[1]Municipios!$B:$B,[1]Municipios!$C:$C)</f>
        <v>Norte</v>
      </c>
      <c r="C1467" t="str">
        <f>_xlfn.XLOOKUP(A1467,[1]Municipios!$B:$B,[1]Municipios!$D:$D)</f>
        <v>Vale Do Ivaí</v>
      </c>
      <c r="D1467">
        <v>2025</v>
      </c>
      <c r="E1467" t="s">
        <v>232</v>
      </c>
      <c r="F1467">
        <v>0.76919999999999999</v>
      </c>
      <c r="G1467">
        <v>28.03</v>
      </c>
    </row>
    <row r="1468" spans="1:7" x14ac:dyDescent="0.25">
      <c r="A1468" t="s">
        <v>576</v>
      </c>
      <c r="B1468" t="str">
        <f>_xlfn.XLOOKUP(A1468,[1]Municipios!$B:$B,[1]Municipios!$C:$C)</f>
        <v>Norte</v>
      </c>
      <c r="C1468" t="str">
        <f>_xlfn.XLOOKUP(A1468,[1]Municipios!$B:$B,[1]Municipios!$D:$D)</f>
        <v>Vale Do Ivaí</v>
      </c>
      <c r="D1468">
        <v>2025</v>
      </c>
      <c r="E1468" t="s">
        <v>233</v>
      </c>
      <c r="F1468">
        <v>0.375</v>
      </c>
      <c r="G1468">
        <v>28.03</v>
      </c>
    </row>
    <row r="1469" spans="1:7" x14ac:dyDescent="0.25">
      <c r="A1469" t="s">
        <v>576</v>
      </c>
      <c r="B1469" t="str">
        <f>_xlfn.XLOOKUP(A1469,[1]Municipios!$B:$B,[1]Municipios!$C:$C)</f>
        <v>Norte</v>
      </c>
      <c r="C1469" t="str">
        <f>_xlfn.XLOOKUP(A1469,[1]Municipios!$B:$B,[1]Municipios!$D:$D)</f>
        <v>Vale Do Ivaí</v>
      </c>
      <c r="D1469">
        <v>2025</v>
      </c>
      <c r="E1469" t="s">
        <v>215</v>
      </c>
      <c r="F1469">
        <v>0</v>
      </c>
      <c r="G1469">
        <v>28.03</v>
      </c>
    </row>
    <row r="1470" spans="1:7" x14ac:dyDescent="0.25">
      <c r="A1470" t="s">
        <v>576</v>
      </c>
      <c r="B1470" t="str">
        <f>_xlfn.XLOOKUP(A1470,[1]Municipios!$B:$B,[1]Municipios!$C:$C)</f>
        <v>Norte</v>
      </c>
      <c r="C1470" t="str">
        <f>_xlfn.XLOOKUP(A1470,[1]Municipios!$B:$B,[1]Municipios!$D:$D)</f>
        <v>Vale Do Ivaí</v>
      </c>
      <c r="D1470">
        <v>2025</v>
      </c>
      <c r="E1470" t="s">
        <v>234</v>
      </c>
      <c r="F1470">
        <v>0.55559999999999998</v>
      </c>
      <c r="G1470">
        <v>28.03</v>
      </c>
    </row>
    <row r="1471" spans="1:7" x14ac:dyDescent="0.25">
      <c r="A1471" t="s">
        <v>576</v>
      </c>
      <c r="B1471" t="str">
        <f>_xlfn.XLOOKUP(A1471,[1]Municipios!$B:$B,[1]Municipios!$C:$C)</f>
        <v>Norte</v>
      </c>
      <c r="C1471" t="str">
        <f>_xlfn.XLOOKUP(A1471,[1]Municipios!$B:$B,[1]Municipios!$D:$D)</f>
        <v>Vale Do Ivaí</v>
      </c>
      <c r="D1471">
        <v>2025</v>
      </c>
      <c r="E1471" t="s">
        <v>235</v>
      </c>
      <c r="F1471">
        <v>0.1429</v>
      </c>
      <c r="G1471">
        <v>28.03</v>
      </c>
    </row>
    <row r="1472" spans="1:7" x14ac:dyDescent="0.25">
      <c r="A1472" t="s">
        <v>576</v>
      </c>
      <c r="B1472" t="str">
        <f>_xlfn.XLOOKUP(A1472,[1]Municipios!$B:$B,[1]Municipios!$C:$C)</f>
        <v>Norte</v>
      </c>
      <c r="C1472" t="str">
        <f>_xlfn.XLOOKUP(A1472,[1]Municipios!$B:$B,[1]Municipios!$D:$D)</f>
        <v>Vale Do Ivaí</v>
      </c>
      <c r="D1472">
        <v>2025</v>
      </c>
      <c r="E1472" t="s">
        <v>236</v>
      </c>
      <c r="F1472">
        <v>7.6999999999999999E-2</v>
      </c>
      <c r="G1472">
        <v>28.03</v>
      </c>
    </row>
    <row r="1473" spans="1:7" x14ac:dyDescent="0.25">
      <c r="A1473" t="s">
        <v>576</v>
      </c>
      <c r="B1473" t="str">
        <f>_xlfn.XLOOKUP(A1473,[1]Municipios!$B:$B,[1]Municipios!$C:$C)</f>
        <v>Norte</v>
      </c>
      <c r="C1473" t="str">
        <f>_xlfn.XLOOKUP(A1473,[1]Municipios!$B:$B,[1]Municipios!$D:$D)</f>
        <v>Vale Do Ivaí</v>
      </c>
      <c r="D1473">
        <v>2025</v>
      </c>
      <c r="E1473" t="s">
        <v>237</v>
      </c>
      <c r="F1473">
        <v>0</v>
      </c>
      <c r="G1473">
        <v>28.03</v>
      </c>
    </row>
    <row r="1474" spans="1:7" x14ac:dyDescent="0.25">
      <c r="A1474" t="s">
        <v>493</v>
      </c>
      <c r="B1474" t="str">
        <f>_xlfn.XLOOKUP(A1474,[1]Municipios!$B:$B,[1]Municipios!$C:$C)</f>
        <v>Leste</v>
      </c>
      <c r="C1474" t="str">
        <f>_xlfn.XLOOKUP(A1474,[1]Municipios!$B:$B,[1]Municipios!$D:$D)</f>
        <v>Gralha Azul</v>
      </c>
      <c r="D1474">
        <v>2025</v>
      </c>
      <c r="E1474" t="s">
        <v>231</v>
      </c>
      <c r="F1474">
        <v>0.88890000000000002</v>
      </c>
      <c r="G1474">
        <v>83.58</v>
      </c>
    </row>
    <row r="1475" spans="1:7" x14ac:dyDescent="0.25">
      <c r="A1475" t="s">
        <v>493</v>
      </c>
      <c r="B1475" t="str">
        <f>_xlfn.XLOOKUP(A1475,[1]Municipios!$B:$B,[1]Municipios!$C:$C)</f>
        <v>Leste</v>
      </c>
      <c r="C1475" t="str">
        <f>_xlfn.XLOOKUP(A1475,[1]Municipios!$B:$B,[1]Municipios!$D:$D)</f>
        <v>Gralha Azul</v>
      </c>
      <c r="D1475">
        <v>2025</v>
      </c>
      <c r="E1475" t="s">
        <v>232</v>
      </c>
      <c r="F1475">
        <v>0.69230000000000003</v>
      </c>
      <c r="G1475">
        <v>83.58</v>
      </c>
    </row>
    <row r="1476" spans="1:7" x14ac:dyDescent="0.25">
      <c r="A1476" t="s">
        <v>493</v>
      </c>
      <c r="B1476" t="str">
        <f>_xlfn.XLOOKUP(A1476,[1]Municipios!$B:$B,[1]Municipios!$C:$C)</f>
        <v>Leste</v>
      </c>
      <c r="C1476" t="str">
        <f>_xlfn.XLOOKUP(A1476,[1]Municipios!$B:$B,[1]Municipios!$D:$D)</f>
        <v>Gralha Azul</v>
      </c>
      <c r="D1476">
        <v>2025</v>
      </c>
      <c r="E1476" t="s">
        <v>233</v>
      </c>
      <c r="F1476">
        <v>1</v>
      </c>
      <c r="G1476">
        <v>83.58</v>
      </c>
    </row>
    <row r="1477" spans="1:7" x14ac:dyDescent="0.25">
      <c r="A1477" t="s">
        <v>493</v>
      </c>
      <c r="B1477" t="str">
        <f>_xlfn.XLOOKUP(A1477,[1]Municipios!$B:$B,[1]Municipios!$C:$C)</f>
        <v>Leste</v>
      </c>
      <c r="C1477" t="str">
        <f>_xlfn.XLOOKUP(A1477,[1]Municipios!$B:$B,[1]Municipios!$D:$D)</f>
        <v>Gralha Azul</v>
      </c>
      <c r="D1477">
        <v>2025</v>
      </c>
      <c r="E1477" t="s">
        <v>215</v>
      </c>
      <c r="F1477">
        <v>0.79999999999999993</v>
      </c>
      <c r="G1477">
        <v>83.58</v>
      </c>
    </row>
    <row r="1478" spans="1:7" x14ac:dyDescent="0.25">
      <c r="A1478" t="s">
        <v>493</v>
      </c>
      <c r="B1478" t="str">
        <f>_xlfn.XLOOKUP(A1478,[1]Municipios!$B:$B,[1]Municipios!$C:$C)</f>
        <v>Leste</v>
      </c>
      <c r="C1478" t="str">
        <f>_xlfn.XLOOKUP(A1478,[1]Municipios!$B:$B,[1]Municipios!$D:$D)</f>
        <v>Gralha Azul</v>
      </c>
      <c r="D1478">
        <v>2025</v>
      </c>
      <c r="E1478" t="s">
        <v>234</v>
      </c>
      <c r="F1478">
        <v>0.77780000000000005</v>
      </c>
      <c r="G1478">
        <v>83.58</v>
      </c>
    </row>
    <row r="1479" spans="1:7" x14ac:dyDescent="0.25">
      <c r="A1479" t="s">
        <v>493</v>
      </c>
      <c r="B1479" t="str">
        <f>_xlfn.XLOOKUP(A1479,[1]Municipios!$B:$B,[1]Municipios!$C:$C)</f>
        <v>Leste</v>
      </c>
      <c r="C1479" t="str">
        <f>_xlfn.XLOOKUP(A1479,[1]Municipios!$B:$B,[1]Municipios!$D:$D)</f>
        <v>Gralha Azul</v>
      </c>
      <c r="D1479">
        <v>2025</v>
      </c>
      <c r="E1479" t="s">
        <v>235</v>
      </c>
      <c r="F1479">
        <v>0.85720000000000007</v>
      </c>
      <c r="G1479">
        <v>83.58</v>
      </c>
    </row>
    <row r="1480" spans="1:7" x14ac:dyDescent="0.25">
      <c r="A1480" t="s">
        <v>493</v>
      </c>
      <c r="B1480" t="str">
        <f>_xlfn.XLOOKUP(A1480,[1]Municipios!$B:$B,[1]Municipios!$C:$C)</f>
        <v>Leste</v>
      </c>
      <c r="C1480" t="str">
        <f>_xlfn.XLOOKUP(A1480,[1]Municipios!$B:$B,[1]Municipios!$D:$D)</f>
        <v>Gralha Azul</v>
      </c>
      <c r="D1480">
        <v>2025</v>
      </c>
      <c r="E1480" t="s">
        <v>236</v>
      </c>
      <c r="F1480">
        <v>0.84620000000000006</v>
      </c>
      <c r="G1480">
        <v>83.58</v>
      </c>
    </row>
    <row r="1481" spans="1:7" x14ac:dyDescent="0.25">
      <c r="A1481" t="s">
        <v>493</v>
      </c>
      <c r="B1481" t="str">
        <f>_xlfn.XLOOKUP(A1481,[1]Municipios!$B:$B,[1]Municipios!$C:$C)</f>
        <v>Leste</v>
      </c>
      <c r="C1481" t="str">
        <f>_xlfn.XLOOKUP(A1481,[1]Municipios!$B:$B,[1]Municipios!$D:$D)</f>
        <v>Gralha Azul</v>
      </c>
      <c r="D1481">
        <v>2025</v>
      </c>
      <c r="E1481" t="s">
        <v>237</v>
      </c>
      <c r="F1481">
        <v>1</v>
      </c>
      <c r="G1481">
        <v>83.58</v>
      </c>
    </row>
    <row r="1482" spans="1:7" x14ac:dyDescent="0.25">
      <c r="A1482" t="s">
        <v>238</v>
      </c>
      <c r="B1482" t="str">
        <f>_xlfn.XLOOKUP(A1482,[1]Municipios!$B:$B,[1]Municipios!$C:$C)</f>
        <v>Centro</v>
      </c>
      <c r="C1482" t="str">
        <f>_xlfn.XLOOKUP(A1482,[1]Municipios!$B:$B,[1]Municipios!$D:$D)</f>
        <v>Paraná Centro</v>
      </c>
      <c r="D1482">
        <v>2025</v>
      </c>
      <c r="E1482" t="s">
        <v>231</v>
      </c>
      <c r="F1482">
        <v>0.11109999999999999</v>
      </c>
      <c r="G1482">
        <v>34.51</v>
      </c>
    </row>
    <row r="1483" spans="1:7" x14ac:dyDescent="0.25">
      <c r="A1483" t="s">
        <v>238</v>
      </c>
      <c r="B1483" t="str">
        <f>_xlfn.XLOOKUP(A1483,[1]Municipios!$B:$B,[1]Municipios!$C:$C)</f>
        <v>Centro</v>
      </c>
      <c r="C1483" t="str">
        <f>_xlfn.XLOOKUP(A1483,[1]Municipios!$B:$B,[1]Municipios!$D:$D)</f>
        <v>Paraná Centro</v>
      </c>
      <c r="D1483">
        <v>2025</v>
      </c>
      <c r="E1483" t="s">
        <v>232</v>
      </c>
      <c r="F1483">
        <v>0.53839999999999999</v>
      </c>
      <c r="G1483">
        <v>34.51</v>
      </c>
    </row>
    <row r="1484" spans="1:7" x14ac:dyDescent="0.25">
      <c r="A1484" t="s">
        <v>238</v>
      </c>
      <c r="B1484" t="str">
        <f>_xlfn.XLOOKUP(A1484,[1]Municipios!$B:$B,[1]Municipios!$C:$C)</f>
        <v>Centro</v>
      </c>
      <c r="C1484" t="str">
        <f>_xlfn.XLOOKUP(A1484,[1]Municipios!$B:$B,[1]Municipios!$D:$D)</f>
        <v>Paraná Centro</v>
      </c>
      <c r="D1484">
        <v>2025</v>
      </c>
      <c r="E1484" t="s">
        <v>233</v>
      </c>
      <c r="F1484">
        <v>0.5</v>
      </c>
      <c r="G1484">
        <v>34.51</v>
      </c>
    </row>
    <row r="1485" spans="1:7" x14ac:dyDescent="0.25">
      <c r="A1485" t="s">
        <v>238</v>
      </c>
      <c r="B1485" t="str">
        <f>_xlfn.XLOOKUP(A1485,[1]Municipios!$B:$B,[1]Municipios!$C:$C)</f>
        <v>Centro</v>
      </c>
      <c r="C1485" t="str">
        <f>_xlfn.XLOOKUP(A1485,[1]Municipios!$B:$B,[1]Municipios!$D:$D)</f>
        <v>Paraná Centro</v>
      </c>
      <c r="D1485">
        <v>2025</v>
      </c>
      <c r="E1485" t="s">
        <v>215</v>
      </c>
      <c r="F1485">
        <v>9.9999999999999992E-2</v>
      </c>
      <c r="G1485">
        <v>34.51</v>
      </c>
    </row>
    <row r="1486" spans="1:7" x14ac:dyDescent="0.25">
      <c r="A1486" t="s">
        <v>238</v>
      </c>
      <c r="B1486" t="str">
        <f>_xlfn.XLOOKUP(A1486,[1]Municipios!$B:$B,[1]Municipios!$C:$C)</f>
        <v>Centro</v>
      </c>
      <c r="C1486" t="str">
        <f>_xlfn.XLOOKUP(A1486,[1]Municipios!$B:$B,[1]Municipios!$D:$D)</f>
        <v>Paraná Centro</v>
      </c>
      <c r="D1486">
        <v>2025</v>
      </c>
      <c r="E1486" t="s">
        <v>234</v>
      </c>
      <c r="F1486">
        <v>0.77770000000000006</v>
      </c>
      <c r="G1486">
        <v>34.51</v>
      </c>
    </row>
    <row r="1487" spans="1:7" x14ac:dyDescent="0.25">
      <c r="A1487" t="s">
        <v>238</v>
      </c>
      <c r="B1487" t="str">
        <f>_xlfn.XLOOKUP(A1487,[1]Municipios!$B:$B,[1]Municipios!$C:$C)</f>
        <v>Centro</v>
      </c>
      <c r="C1487" t="str">
        <f>_xlfn.XLOOKUP(A1487,[1]Municipios!$B:$B,[1]Municipios!$D:$D)</f>
        <v>Paraná Centro</v>
      </c>
      <c r="D1487">
        <v>2025</v>
      </c>
      <c r="E1487" t="s">
        <v>235</v>
      </c>
      <c r="F1487">
        <v>0.1429</v>
      </c>
      <c r="G1487">
        <v>34.51</v>
      </c>
    </row>
    <row r="1488" spans="1:7" x14ac:dyDescent="0.25">
      <c r="A1488" t="s">
        <v>238</v>
      </c>
      <c r="B1488" t="str">
        <f>_xlfn.XLOOKUP(A1488,[1]Municipios!$B:$B,[1]Municipios!$C:$C)</f>
        <v>Centro</v>
      </c>
      <c r="C1488" t="str">
        <f>_xlfn.XLOOKUP(A1488,[1]Municipios!$B:$B,[1]Municipios!$D:$D)</f>
        <v>Paraná Centro</v>
      </c>
      <c r="D1488">
        <v>2025</v>
      </c>
      <c r="E1488" t="s">
        <v>236</v>
      </c>
      <c r="F1488">
        <v>0</v>
      </c>
      <c r="G1488">
        <v>34.51</v>
      </c>
    </row>
    <row r="1489" spans="1:7" x14ac:dyDescent="0.25">
      <c r="A1489" t="s">
        <v>238</v>
      </c>
      <c r="B1489" t="str">
        <f>_xlfn.XLOOKUP(A1489,[1]Municipios!$B:$B,[1]Municipios!$C:$C)</f>
        <v>Centro</v>
      </c>
      <c r="C1489" t="str">
        <f>_xlfn.XLOOKUP(A1489,[1]Municipios!$B:$B,[1]Municipios!$D:$D)</f>
        <v>Paraná Centro</v>
      </c>
      <c r="D1489">
        <v>2025</v>
      </c>
      <c r="E1489" t="s">
        <v>237</v>
      </c>
      <c r="F1489">
        <v>0.5</v>
      </c>
      <c r="G1489">
        <v>34.51</v>
      </c>
    </row>
    <row r="1490" spans="1:7" x14ac:dyDescent="0.25">
      <c r="A1490" t="s">
        <v>526</v>
      </c>
      <c r="B1490" t="str">
        <f>_xlfn.XLOOKUP(A1490,[1]Municipios!$B:$B,[1]Municipios!$C:$C)</f>
        <v>Oeste</v>
      </c>
      <c r="C1490" t="str">
        <f>_xlfn.XLOOKUP(A1490,[1]Municipios!$B:$B,[1]Municipios!$D:$D)</f>
        <v>Cantuquiriguaçu</v>
      </c>
      <c r="D1490">
        <v>2025</v>
      </c>
      <c r="E1490" t="s">
        <v>231</v>
      </c>
      <c r="F1490">
        <v>0.55559999999999998</v>
      </c>
      <c r="G1490">
        <v>82.64</v>
      </c>
    </row>
    <row r="1491" spans="1:7" x14ac:dyDescent="0.25">
      <c r="A1491" t="s">
        <v>526</v>
      </c>
      <c r="B1491" t="str">
        <f>_xlfn.XLOOKUP(A1491,[1]Municipios!$B:$B,[1]Municipios!$C:$C)</f>
        <v>Oeste</v>
      </c>
      <c r="C1491" t="str">
        <f>_xlfn.XLOOKUP(A1491,[1]Municipios!$B:$B,[1]Municipios!$D:$D)</f>
        <v>Cantuquiriguaçu</v>
      </c>
      <c r="D1491">
        <v>2025</v>
      </c>
      <c r="E1491" t="s">
        <v>232</v>
      </c>
      <c r="F1491">
        <v>0.92310000000000003</v>
      </c>
      <c r="G1491">
        <v>82.64</v>
      </c>
    </row>
    <row r="1492" spans="1:7" x14ac:dyDescent="0.25">
      <c r="A1492" t="s">
        <v>526</v>
      </c>
      <c r="B1492" t="str">
        <f>_xlfn.XLOOKUP(A1492,[1]Municipios!$B:$B,[1]Municipios!$C:$C)</f>
        <v>Oeste</v>
      </c>
      <c r="C1492" t="str">
        <f>_xlfn.XLOOKUP(A1492,[1]Municipios!$B:$B,[1]Municipios!$D:$D)</f>
        <v>Cantuquiriguaçu</v>
      </c>
      <c r="D1492">
        <v>2025</v>
      </c>
      <c r="E1492" t="s">
        <v>233</v>
      </c>
      <c r="F1492">
        <v>1</v>
      </c>
      <c r="G1492">
        <v>82.64</v>
      </c>
    </row>
    <row r="1493" spans="1:7" x14ac:dyDescent="0.25">
      <c r="A1493" t="s">
        <v>526</v>
      </c>
      <c r="B1493" t="str">
        <f>_xlfn.XLOOKUP(A1493,[1]Municipios!$B:$B,[1]Municipios!$C:$C)</f>
        <v>Oeste</v>
      </c>
      <c r="C1493" t="str">
        <f>_xlfn.XLOOKUP(A1493,[1]Municipios!$B:$B,[1]Municipios!$D:$D)</f>
        <v>Cantuquiriguaçu</v>
      </c>
      <c r="D1493">
        <v>2025</v>
      </c>
      <c r="E1493" t="s">
        <v>215</v>
      </c>
      <c r="F1493">
        <v>0.79999999999999993</v>
      </c>
      <c r="G1493">
        <v>82.64</v>
      </c>
    </row>
    <row r="1494" spans="1:7" x14ac:dyDescent="0.25">
      <c r="A1494" t="s">
        <v>526</v>
      </c>
      <c r="B1494" t="str">
        <f>_xlfn.XLOOKUP(A1494,[1]Municipios!$B:$B,[1]Municipios!$C:$C)</f>
        <v>Oeste</v>
      </c>
      <c r="C1494" t="str">
        <f>_xlfn.XLOOKUP(A1494,[1]Municipios!$B:$B,[1]Municipios!$D:$D)</f>
        <v>Cantuquiriguaçu</v>
      </c>
      <c r="D1494">
        <v>2025</v>
      </c>
      <c r="E1494" t="s">
        <v>234</v>
      </c>
      <c r="F1494">
        <v>0.77770000000000006</v>
      </c>
      <c r="G1494">
        <v>82.64</v>
      </c>
    </row>
    <row r="1495" spans="1:7" x14ac:dyDescent="0.25">
      <c r="A1495" t="s">
        <v>526</v>
      </c>
      <c r="B1495" t="str">
        <f>_xlfn.XLOOKUP(A1495,[1]Municipios!$B:$B,[1]Municipios!$C:$C)</f>
        <v>Oeste</v>
      </c>
      <c r="C1495" t="str">
        <f>_xlfn.XLOOKUP(A1495,[1]Municipios!$B:$B,[1]Municipios!$D:$D)</f>
        <v>Cantuquiriguaçu</v>
      </c>
      <c r="D1495">
        <v>2025</v>
      </c>
      <c r="E1495" t="s">
        <v>235</v>
      </c>
      <c r="F1495">
        <v>1</v>
      </c>
      <c r="G1495">
        <v>82.64</v>
      </c>
    </row>
    <row r="1496" spans="1:7" x14ac:dyDescent="0.25">
      <c r="A1496" t="s">
        <v>526</v>
      </c>
      <c r="B1496" t="str">
        <f>_xlfn.XLOOKUP(A1496,[1]Municipios!$B:$B,[1]Municipios!$C:$C)</f>
        <v>Oeste</v>
      </c>
      <c r="C1496" t="str">
        <f>_xlfn.XLOOKUP(A1496,[1]Municipios!$B:$B,[1]Municipios!$D:$D)</f>
        <v>Cantuquiriguaçu</v>
      </c>
      <c r="D1496">
        <v>2025</v>
      </c>
      <c r="E1496" t="s">
        <v>236</v>
      </c>
      <c r="F1496">
        <v>0.61549999999999994</v>
      </c>
      <c r="G1496">
        <v>82.64</v>
      </c>
    </row>
    <row r="1497" spans="1:7" x14ac:dyDescent="0.25">
      <c r="A1497" t="s">
        <v>526</v>
      </c>
      <c r="B1497" t="str">
        <f>_xlfn.XLOOKUP(A1497,[1]Municipios!$B:$B,[1]Municipios!$C:$C)</f>
        <v>Oeste</v>
      </c>
      <c r="C1497" t="str">
        <f>_xlfn.XLOOKUP(A1497,[1]Municipios!$B:$B,[1]Municipios!$D:$D)</f>
        <v>Cantuquiriguaçu</v>
      </c>
      <c r="D1497">
        <v>2025</v>
      </c>
      <c r="E1497" t="s">
        <v>237</v>
      </c>
      <c r="F1497">
        <v>1</v>
      </c>
      <c r="G1497">
        <v>82.64</v>
      </c>
    </row>
    <row r="1498" spans="1:7" x14ac:dyDescent="0.25">
      <c r="A1498" t="s">
        <v>396</v>
      </c>
      <c r="B1498" t="str">
        <f>_xlfn.XLOOKUP(A1498,[1]Municipios!$B:$B,[1]Municipios!$C:$C)</f>
        <v>Norte</v>
      </c>
      <c r="C1498" t="str">
        <f>_xlfn.XLOOKUP(A1498,[1]Municipios!$B:$B,[1]Municipios!$D:$D)</f>
        <v>Norte Central</v>
      </c>
      <c r="D1498">
        <v>2025</v>
      </c>
      <c r="E1498" t="s">
        <v>231</v>
      </c>
      <c r="F1498">
        <v>0.77779999999999994</v>
      </c>
      <c r="G1498">
        <v>62.6</v>
      </c>
    </row>
    <row r="1499" spans="1:7" x14ac:dyDescent="0.25">
      <c r="A1499" t="s">
        <v>396</v>
      </c>
      <c r="B1499" t="str">
        <f>_xlfn.XLOOKUP(A1499,[1]Municipios!$B:$B,[1]Municipios!$C:$C)</f>
        <v>Norte</v>
      </c>
      <c r="C1499" t="str">
        <f>_xlfn.XLOOKUP(A1499,[1]Municipios!$B:$B,[1]Municipios!$D:$D)</f>
        <v>Norte Central</v>
      </c>
      <c r="D1499">
        <v>2025</v>
      </c>
      <c r="E1499" t="s">
        <v>232</v>
      </c>
      <c r="F1499">
        <v>0.84619999999999995</v>
      </c>
      <c r="G1499">
        <v>62.6</v>
      </c>
    </row>
    <row r="1500" spans="1:7" x14ac:dyDescent="0.25">
      <c r="A1500" t="s">
        <v>396</v>
      </c>
      <c r="B1500" t="str">
        <f>_xlfn.XLOOKUP(A1500,[1]Municipios!$B:$B,[1]Municipios!$C:$C)</f>
        <v>Norte</v>
      </c>
      <c r="C1500" t="str">
        <f>_xlfn.XLOOKUP(A1500,[1]Municipios!$B:$B,[1]Municipios!$D:$D)</f>
        <v>Norte Central</v>
      </c>
      <c r="D1500">
        <v>2025</v>
      </c>
      <c r="E1500" t="s">
        <v>233</v>
      </c>
      <c r="F1500">
        <v>0.625</v>
      </c>
      <c r="G1500">
        <v>62.6</v>
      </c>
    </row>
    <row r="1501" spans="1:7" x14ac:dyDescent="0.25">
      <c r="A1501" t="s">
        <v>396</v>
      </c>
      <c r="B1501" t="str">
        <f>_xlfn.XLOOKUP(A1501,[1]Municipios!$B:$B,[1]Municipios!$C:$C)</f>
        <v>Norte</v>
      </c>
      <c r="C1501" t="str">
        <f>_xlfn.XLOOKUP(A1501,[1]Municipios!$B:$B,[1]Municipios!$D:$D)</f>
        <v>Norte Central</v>
      </c>
      <c r="D1501">
        <v>2025</v>
      </c>
      <c r="E1501" t="s">
        <v>215</v>
      </c>
      <c r="F1501">
        <v>0.79999999999999993</v>
      </c>
      <c r="G1501">
        <v>62.6</v>
      </c>
    </row>
    <row r="1502" spans="1:7" x14ac:dyDescent="0.25">
      <c r="A1502" t="s">
        <v>396</v>
      </c>
      <c r="B1502" t="str">
        <f>_xlfn.XLOOKUP(A1502,[1]Municipios!$B:$B,[1]Municipios!$C:$C)</f>
        <v>Norte</v>
      </c>
      <c r="C1502" t="str">
        <f>_xlfn.XLOOKUP(A1502,[1]Municipios!$B:$B,[1]Municipios!$D:$D)</f>
        <v>Norte Central</v>
      </c>
      <c r="D1502">
        <v>2025</v>
      </c>
      <c r="E1502" t="s">
        <v>234</v>
      </c>
      <c r="F1502">
        <v>0.77780000000000005</v>
      </c>
      <c r="G1502">
        <v>62.6</v>
      </c>
    </row>
    <row r="1503" spans="1:7" x14ac:dyDescent="0.25">
      <c r="A1503" t="s">
        <v>396</v>
      </c>
      <c r="B1503" t="str">
        <f>_xlfn.XLOOKUP(A1503,[1]Municipios!$B:$B,[1]Municipios!$C:$C)</f>
        <v>Norte</v>
      </c>
      <c r="C1503" t="str">
        <f>_xlfn.XLOOKUP(A1503,[1]Municipios!$B:$B,[1]Municipios!$D:$D)</f>
        <v>Norte Central</v>
      </c>
      <c r="D1503">
        <v>2025</v>
      </c>
      <c r="E1503" t="s">
        <v>235</v>
      </c>
      <c r="F1503">
        <v>0.85710000000000008</v>
      </c>
      <c r="G1503">
        <v>62.6</v>
      </c>
    </row>
    <row r="1504" spans="1:7" x14ac:dyDescent="0.25">
      <c r="A1504" t="s">
        <v>396</v>
      </c>
      <c r="B1504" t="str">
        <f>_xlfn.XLOOKUP(A1504,[1]Municipios!$B:$B,[1]Municipios!$C:$C)</f>
        <v>Norte</v>
      </c>
      <c r="C1504" t="str">
        <f>_xlfn.XLOOKUP(A1504,[1]Municipios!$B:$B,[1]Municipios!$D:$D)</f>
        <v>Norte Central</v>
      </c>
      <c r="D1504">
        <v>2025</v>
      </c>
      <c r="E1504" t="s">
        <v>236</v>
      </c>
      <c r="F1504">
        <v>7.6999999999999999E-2</v>
      </c>
      <c r="G1504">
        <v>62.6</v>
      </c>
    </row>
    <row r="1505" spans="1:7" x14ac:dyDescent="0.25">
      <c r="A1505" t="s">
        <v>396</v>
      </c>
      <c r="B1505" t="str">
        <f>_xlfn.XLOOKUP(A1505,[1]Municipios!$B:$B,[1]Municipios!$C:$C)</f>
        <v>Norte</v>
      </c>
      <c r="C1505" t="str">
        <f>_xlfn.XLOOKUP(A1505,[1]Municipios!$B:$B,[1]Municipios!$D:$D)</f>
        <v>Norte Central</v>
      </c>
      <c r="D1505">
        <v>2025</v>
      </c>
      <c r="E1505" t="s">
        <v>237</v>
      </c>
      <c r="F1505">
        <v>0</v>
      </c>
      <c r="G1505">
        <v>62.6</v>
      </c>
    </row>
    <row r="1506" spans="1:7" x14ac:dyDescent="0.25">
      <c r="A1506" t="s">
        <v>513</v>
      </c>
      <c r="B1506" t="str">
        <f>_xlfn.XLOOKUP(A1506,[1]Municipios!$B:$B,[1]Municipios!$C:$C)</f>
        <v>Norte</v>
      </c>
      <c r="C1506" t="str">
        <f>_xlfn.XLOOKUP(A1506,[1]Municipios!$B:$B,[1]Municipios!$D:$D)</f>
        <v>Vale Do Ivaí</v>
      </c>
      <c r="D1506">
        <v>2025</v>
      </c>
      <c r="E1506" t="s">
        <v>231</v>
      </c>
      <c r="F1506">
        <v>0.22219999999999998</v>
      </c>
      <c r="G1506">
        <v>39.200000000000003</v>
      </c>
    </row>
    <row r="1507" spans="1:7" x14ac:dyDescent="0.25">
      <c r="A1507" t="s">
        <v>513</v>
      </c>
      <c r="B1507" t="str">
        <f>_xlfn.XLOOKUP(A1507,[1]Municipios!$B:$B,[1]Municipios!$C:$C)</f>
        <v>Norte</v>
      </c>
      <c r="C1507" t="str">
        <f>_xlfn.XLOOKUP(A1507,[1]Municipios!$B:$B,[1]Municipios!$D:$D)</f>
        <v>Vale Do Ivaí</v>
      </c>
      <c r="D1507">
        <v>2025</v>
      </c>
      <c r="E1507" t="s">
        <v>232</v>
      </c>
      <c r="F1507">
        <v>0.69220000000000004</v>
      </c>
      <c r="G1507">
        <v>39.200000000000003</v>
      </c>
    </row>
    <row r="1508" spans="1:7" x14ac:dyDescent="0.25">
      <c r="A1508" t="s">
        <v>513</v>
      </c>
      <c r="B1508" t="str">
        <f>_xlfn.XLOOKUP(A1508,[1]Municipios!$B:$B,[1]Municipios!$C:$C)</f>
        <v>Norte</v>
      </c>
      <c r="C1508" t="str">
        <f>_xlfn.XLOOKUP(A1508,[1]Municipios!$B:$B,[1]Municipios!$D:$D)</f>
        <v>Vale Do Ivaí</v>
      </c>
      <c r="D1508">
        <v>2025</v>
      </c>
      <c r="E1508" t="s">
        <v>233</v>
      </c>
      <c r="F1508">
        <v>0.5</v>
      </c>
      <c r="G1508">
        <v>39.200000000000003</v>
      </c>
    </row>
    <row r="1509" spans="1:7" x14ac:dyDescent="0.25">
      <c r="A1509" t="s">
        <v>513</v>
      </c>
      <c r="B1509" t="str">
        <f>_xlfn.XLOOKUP(A1509,[1]Municipios!$B:$B,[1]Municipios!$C:$C)</f>
        <v>Norte</v>
      </c>
      <c r="C1509" t="str">
        <f>_xlfn.XLOOKUP(A1509,[1]Municipios!$B:$B,[1]Municipios!$D:$D)</f>
        <v>Vale Do Ivaí</v>
      </c>
      <c r="D1509">
        <v>2025</v>
      </c>
      <c r="E1509" t="s">
        <v>215</v>
      </c>
      <c r="F1509">
        <v>0.85</v>
      </c>
      <c r="G1509">
        <v>39.200000000000003</v>
      </c>
    </row>
    <row r="1510" spans="1:7" x14ac:dyDescent="0.25">
      <c r="A1510" t="s">
        <v>513</v>
      </c>
      <c r="B1510" t="str">
        <f>_xlfn.XLOOKUP(A1510,[1]Municipios!$B:$B,[1]Municipios!$C:$C)</f>
        <v>Norte</v>
      </c>
      <c r="C1510" t="str">
        <f>_xlfn.XLOOKUP(A1510,[1]Municipios!$B:$B,[1]Municipios!$D:$D)</f>
        <v>Vale Do Ivaí</v>
      </c>
      <c r="D1510">
        <v>2025</v>
      </c>
      <c r="E1510" t="s">
        <v>234</v>
      </c>
      <c r="F1510">
        <v>0.44440000000000002</v>
      </c>
      <c r="G1510">
        <v>39.200000000000003</v>
      </c>
    </row>
    <row r="1511" spans="1:7" x14ac:dyDescent="0.25">
      <c r="A1511" t="s">
        <v>513</v>
      </c>
      <c r="B1511" t="str">
        <f>_xlfn.XLOOKUP(A1511,[1]Municipios!$B:$B,[1]Municipios!$C:$C)</f>
        <v>Norte</v>
      </c>
      <c r="C1511" t="str">
        <f>_xlfn.XLOOKUP(A1511,[1]Municipios!$B:$B,[1]Municipios!$D:$D)</f>
        <v>Vale Do Ivaí</v>
      </c>
      <c r="D1511">
        <v>2025</v>
      </c>
      <c r="E1511" t="s">
        <v>235</v>
      </c>
      <c r="F1511">
        <v>0.28559999999999997</v>
      </c>
      <c r="G1511">
        <v>39.200000000000003</v>
      </c>
    </row>
    <row r="1512" spans="1:7" x14ac:dyDescent="0.25">
      <c r="A1512" t="s">
        <v>513</v>
      </c>
      <c r="B1512" t="str">
        <f>_xlfn.XLOOKUP(A1512,[1]Municipios!$B:$B,[1]Municipios!$C:$C)</f>
        <v>Norte</v>
      </c>
      <c r="C1512" t="str">
        <f>_xlfn.XLOOKUP(A1512,[1]Municipios!$B:$B,[1]Municipios!$D:$D)</f>
        <v>Vale Do Ivaí</v>
      </c>
      <c r="D1512">
        <v>2025</v>
      </c>
      <c r="E1512" t="s">
        <v>236</v>
      </c>
      <c r="F1512">
        <v>7.690000000000001E-2</v>
      </c>
      <c r="G1512">
        <v>39.200000000000003</v>
      </c>
    </row>
    <row r="1513" spans="1:7" x14ac:dyDescent="0.25">
      <c r="A1513" t="s">
        <v>513</v>
      </c>
      <c r="B1513" t="str">
        <f>_xlfn.XLOOKUP(A1513,[1]Municipios!$B:$B,[1]Municipios!$C:$C)</f>
        <v>Norte</v>
      </c>
      <c r="C1513" t="str">
        <f>_xlfn.XLOOKUP(A1513,[1]Municipios!$B:$B,[1]Municipios!$D:$D)</f>
        <v>Vale Do Ivaí</v>
      </c>
      <c r="D1513">
        <v>2025</v>
      </c>
      <c r="E1513" t="s">
        <v>237</v>
      </c>
      <c r="F1513">
        <v>0</v>
      </c>
      <c r="G1513">
        <v>39.200000000000003</v>
      </c>
    </row>
    <row r="1514" spans="1:7" x14ac:dyDescent="0.25">
      <c r="A1514" t="s">
        <v>447</v>
      </c>
      <c r="B1514" t="str">
        <f>_xlfn.XLOOKUP(A1514,[1]Municipios!$B:$B,[1]Municipios!$C:$C)</f>
        <v>Oeste</v>
      </c>
      <c r="C1514" t="str">
        <f>_xlfn.XLOOKUP(A1514,[1]Municipios!$B:$B,[1]Municipios!$D:$D)</f>
        <v>Oeste Integrado</v>
      </c>
      <c r="D1514">
        <v>2025</v>
      </c>
      <c r="E1514" t="s">
        <v>231</v>
      </c>
      <c r="F1514">
        <v>0.77779999999999994</v>
      </c>
      <c r="G1514">
        <v>77.540000000000006</v>
      </c>
    </row>
    <row r="1515" spans="1:7" x14ac:dyDescent="0.25">
      <c r="A1515" t="s">
        <v>447</v>
      </c>
      <c r="B1515" t="str">
        <f>_xlfn.XLOOKUP(A1515,[1]Municipios!$B:$B,[1]Municipios!$C:$C)</f>
        <v>Oeste</v>
      </c>
      <c r="C1515" t="str">
        <f>_xlfn.XLOOKUP(A1515,[1]Municipios!$B:$B,[1]Municipios!$D:$D)</f>
        <v>Oeste Integrado</v>
      </c>
      <c r="D1515">
        <v>2025</v>
      </c>
      <c r="E1515" t="s">
        <v>232</v>
      </c>
      <c r="F1515">
        <v>0.76929999999999998</v>
      </c>
      <c r="G1515">
        <v>77.540000000000006</v>
      </c>
    </row>
    <row r="1516" spans="1:7" x14ac:dyDescent="0.25">
      <c r="A1516" t="s">
        <v>447</v>
      </c>
      <c r="B1516" t="str">
        <f>_xlfn.XLOOKUP(A1516,[1]Municipios!$B:$B,[1]Municipios!$C:$C)</f>
        <v>Oeste</v>
      </c>
      <c r="C1516" t="str">
        <f>_xlfn.XLOOKUP(A1516,[1]Municipios!$B:$B,[1]Municipios!$D:$D)</f>
        <v>Oeste Integrado</v>
      </c>
      <c r="D1516">
        <v>2025</v>
      </c>
      <c r="E1516" t="s">
        <v>233</v>
      </c>
      <c r="F1516">
        <v>0.75</v>
      </c>
      <c r="G1516">
        <v>77.540000000000006</v>
      </c>
    </row>
    <row r="1517" spans="1:7" x14ac:dyDescent="0.25">
      <c r="A1517" t="s">
        <v>447</v>
      </c>
      <c r="B1517" t="str">
        <f>_xlfn.XLOOKUP(A1517,[1]Municipios!$B:$B,[1]Municipios!$C:$C)</f>
        <v>Oeste</v>
      </c>
      <c r="C1517" t="str">
        <f>_xlfn.XLOOKUP(A1517,[1]Municipios!$B:$B,[1]Municipios!$D:$D)</f>
        <v>Oeste Integrado</v>
      </c>
      <c r="D1517">
        <v>2025</v>
      </c>
      <c r="E1517" t="s">
        <v>215</v>
      </c>
      <c r="F1517">
        <v>1</v>
      </c>
      <c r="G1517">
        <v>77.540000000000006</v>
      </c>
    </row>
    <row r="1518" spans="1:7" x14ac:dyDescent="0.25">
      <c r="A1518" t="s">
        <v>447</v>
      </c>
      <c r="B1518" t="str">
        <f>_xlfn.XLOOKUP(A1518,[1]Municipios!$B:$B,[1]Municipios!$C:$C)</f>
        <v>Oeste</v>
      </c>
      <c r="C1518" t="str">
        <f>_xlfn.XLOOKUP(A1518,[1]Municipios!$B:$B,[1]Municipios!$D:$D)</f>
        <v>Oeste Integrado</v>
      </c>
      <c r="D1518">
        <v>2025</v>
      </c>
      <c r="E1518" t="s">
        <v>234</v>
      </c>
      <c r="F1518">
        <v>0.77780000000000005</v>
      </c>
      <c r="G1518">
        <v>77.540000000000006</v>
      </c>
    </row>
    <row r="1519" spans="1:7" x14ac:dyDescent="0.25">
      <c r="A1519" t="s">
        <v>447</v>
      </c>
      <c r="B1519" t="str">
        <f>_xlfn.XLOOKUP(A1519,[1]Municipios!$B:$B,[1]Municipios!$C:$C)</f>
        <v>Oeste</v>
      </c>
      <c r="C1519" t="str">
        <f>_xlfn.XLOOKUP(A1519,[1]Municipios!$B:$B,[1]Municipios!$D:$D)</f>
        <v>Oeste Integrado</v>
      </c>
      <c r="D1519">
        <v>2025</v>
      </c>
      <c r="E1519" t="s">
        <v>235</v>
      </c>
      <c r="F1519">
        <v>1</v>
      </c>
      <c r="G1519">
        <v>77.540000000000006</v>
      </c>
    </row>
    <row r="1520" spans="1:7" x14ac:dyDescent="0.25">
      <c r="A1520" t="s">
        <v>447</v>
      </c>
      <c r="B1520" t="str">
        <f>_xlfn.XLOOKUP(A1520,[1]Municipios!$B:$B,[1]Municipios!$C:$C)</f>
        <v>Oeste</v>
      </c>
      <c r="C1520" t="str">
        <f>_xlfn.XLOOKUP(A1520,[1]Municipios!$B:$B,[1]Municipios!$D:$D)</f>
        <v>Oeste Integrado</v>
      </c>
      <c r="D1520">
        <v>2025</v>
      </c>
      <c r="E1520" t="s">
        <v>236</v>
      </c>
      <c r="F1520">
        <v>7.6999999999999999E-2</v>
      </c>
      <c r="G1520">
        <v>77.540000000000006</v>
      </c>
    </row>
    <row r="1521" spans="1:7" x14ac:dyDescent="0.25">
      <c r="A1521" t="s">
        <v>447</v>
      </c>
      <c r="B1521" t="str">
        <f>_xlfn.XLOOKUP(A1521,[1]Municipios!$B:$B,[1]Municipios!$C:$C)</f>
        <v>Oeste</v>
      </c>
      <c r="C1521" t="str">
        <f>_xlfn.XLOOKUP(A1521,[1]Municipios!$B:$B,[1]Municipios!$D:$D)</f>
        <v>Oeste Integrado</v>
      </c>
      <c r="D1521">
        <v>2025</v>
      </c>
      <c r="E1521" t="s">
        <v>237</v>
      </c>
      <c r="F1521">
        <v>1</v>
      </c>
      <c r="G1521">
        <v>77.540000000000006</v>
      </c>
    </row>
    <row r="1522" spans="1:7" x14ac:dyDescent="0.25">
      <c r="A1522" t="s">
        <v>410</v>
      </c>
      <c r="B1522" t="str">
        <f>_xlfn.XLOOKUP(A1522,[1]Municipios!$B:$B,[1]Municipios!$C:$C)</f>
        <v>Noroeste</v>
      </c>
      <c r="C1522" t="str">
        <f>_xlfn.XLOOKUP(A1522,[1]Municipios!$B:$B,[1]Municipios!$D:$D)</f>
        <v>Costa Noroeste</v>
      </c>
      <c r="D1522">
        <v>2025</v>
      </c>
      <c r="E1522" t="s">
        <v>231</v>
      </c>
      <c r="F1522">
        <v>0.77779999999999994</v>
      </c>
      <c r="G1522">
        <v>76.08</v>
      </c>
    </row>
    <row r="1523" spans="1:7" x14ac:dyDescent="0.25">
      <c r="A1523" t="s">
        <v>410</v>
      </c>
      <c r="B1523" t="str">
        <f>_xlfn.XLOOKUP(A1523,[1]Municipios!$B:$B,[1]Municipios!$C:$C)</f>
        <v>Noroeste</v>
      </c>
      <c r="C1523" t="str">
        <f>_xlfn.XLOOKUP(A1523,[1]Municipios!$B:$B,[1]Municipios!$D:$D)</f>
        <v>Costa Noroeste</v>
      </c>
      <c r="D1523">
        <v>2025</v>
      </c>
      <c r="E1523" t="s">
        <v>232</v>
      </c>
      <c r="F1523">
        <v>0.69240000000000002</v>
      </c>
      <c r="G1523">
        <v>76.08</v>
      </c>
    </row>
    <row r="1524" spans="1:7" x14ac:dyDescent="0.25">
      <c r="A1524" t="s">
        <v>410</v>
      </c>
      <c r="B1524" t="str">
        <f>_xlfn.XLOOKUP(A1524,[1]Municipios!$B:$B,[1]Municipios!$C:$C)</f>
        <v>Noroeste</v>
      </c>
      <c r="C1524" t="str">
        <f>_xlfn.XLOOKUP(A1524,[1]Municipios!$B:$B,[1]Municipios!$D:$D)</f>
        <v>Costa Noroeste</v>
      </c>
      <c r="D1524">
        <v>2025</v>
      </c>
      <c r="E1524" t="s">
        <v>233</v>
      </c>
      <c r="F1524">
        <v>1</v>
      </c>
      <c r="G1524">
        <v>76.08</v>
      </c>
    </row>
    <row r="1525" spans="1:7" x14ac:dyDescent="0.25">
      <c r="A1525" t="s">
        <v>410</v>
      </c>
      <c r="B1525" t="str">
        <f>_xlfn.XLOOKUP(A1525,[1]Municipios!$B:$B,[1]Municipios!$C:$C)</f>
        <v>Noroeste</v>
      </c>
      <c r="C1525" t="str">
        <f>_xlfn.XLOOKUP(A1525,[1]Municipios!$B:$B,[1]Municipios!$D:$D)</f>
        <v>Costa Noroeste</v>
      </c>
      <c r="D1525">
        <v>2025</v>
      </c>
      <c r="E1525" t="s">
        <v>215</v>
      </c>
      <c r="F1525">
        <v>0.79999999999999993</v>
      </c>
      <c r="G1525">
        <v>76.08</v>
      </c>
    </row>
    <row r="1526" spans="1:7" x14ac:dyDescent="0.25">
      <c r="A1526" t="s">
        <v>410</v>
      </c>
      <c r="B1526" t="str">
        <f>_xlfn.XLOOKUP(A1526,[1]Municipios!$B:$B,[1]Municipios!$C:$C)</f>
        <v>Noroeste</v>
      </c>
      <c r="C1526" t="str">
        <f>_xlfn.XLOOKUP(A1526,[1]Municipios!$B:$B,[1]Municipios!$D:$D)</f>
        <v>Costa Noroeste</v>
      </c>
      <c r="D1526">
        <v>2025</v>
      </c>
      <c r="E1526" t="s">
        <v>234</v>
      </c>
      <c r="F1526">
        <v>0.77780000000000005</v>
      </c>
      <c r="G1526">
        <v>76.08</v>
      </c>
    </row>
    <row r="1527" spans="1:7" x14ac:dyDescent="0.25">
      <c r="A1527" t="s">
        <v>410</v>
      </c>
      <c r="B1527" t="str">
        <f>_xlfn.XLOOKUP(A1527,[1]Municipios!$B:$B,[1]Municipios!$C:$C)</f>
        <v>Noroeste</v>
      </c>
      <c r="C1527" t="str">
        <f>_xlfn.XLOOKUP(A1527,[1]Municipios!$B:$B,[1]Municipios!$D:$D)</f>
        <v>Costa Noroeste</v>
      </c>
      <c r="D1527">
        <v>2025</v>
      </c>
      <c r="E1527" t="s">
        <v>235</v>
      </c>
      <c r="F1527">
        <v>1</v>
      </c>
      <c r="G1527">
        <v>76.08</v>
      </c>
    </row>
    <row r="1528" spans="1:7" x14ac:dyDescent="0.25">
      <c r="A1528" t="s">
        <v>410</v>
      </c>
      <c r="B1528" t="str">
        <f>_xlfn.XLOOKUP(A1528,[1]Municipios!$B:$B,[1]Municipios!$C:$C)</f>
        <v>Noroeste</v>
      </c>
      <c r="C1528" t="str">
        <f>_xlfn.XLOOKUP(A1528,[1]Municipios!$B:$B,[1]Municipios!$D:$D)</f>
        <v>Costa Noroeste</v>
      </c>
      <c r="D1528">
        <v>2025</v>
      </c>
      <c r="E1528" t="s">
        <v>236</v>
      </c>
      <c r="F1528">
        <v>0.154</v>
      </c>
      <c r="G1528">
        <v>76.08</v>
      </c>
    </row>
    <row r="1529" spans="1:7" x14ac:dyDescent="0.25">
      <c r="A1529" t="s">
        <v>410</v>
      </c>
      <c r="B1529" t="str">
        <f>_xlfn.XLOOKUP(A1529,[1]Municipios!$B:$B,[1]Municipios!$C:$C)</f>
        <v>Noroeste</v>
      </c>
      <c r="C1529" t="str">
        <f>_xlfn.XLOOKUP(A1529,[1]Municipios!$B:$B,[1]Municipios!$D:$D)</f>
        <v>Costa Noroeste</v>
      </c>
      <c r="D1529">
        <v>2025</v>
      </c>
      <c r="E1529" t="s">
        <v>237</v>
      </c>
      <c r="F1529">
        <v>1</v>
      </c>
      <c r="G1529">
        <v>76.08</v>
      </c>
    </row>
    <row r="1530" spans="1:7" x14ac:dyDescent="0.25">
      <c r="A1530" t="s">
        <v>577</v>
      </c>
      <c r="B1530" t="str">
        <f>_xlfn.XLOOKUP(A1530,[1]Municipios!$B:$B,[1]Municipios!$C:$C)</f>
        <v>Noroeste</v>
      </c>
      <c r="C1530" t="str">
        <f>_xlfn.XLOOKUP(A1530,[1]Municipios!$B:$B,[1]Municipios!$D:$D)</f>
        <v>Terra Roxa</v>
      </c>
      <c r="D1530">
        <v>2025</v>
      </c>
      <c r="E1530" t="s">
        <v>231</v>
      </c>
      <c r="F1530">
        <v>0.88890000000000002</v>
      </c>
      <c r="G1530">
        <v>34.799999999999997</v>
      </c>
    </row>
    <row r="1531" spans="1:7" x14ac:dyDescent="0.25">
      <c r="A1531" t="s">
        <v>577</v>
      </c>
      <c r="B1531" t="str">
        <f>_xlfn.XLOOKUP(A1531,[1]Municipios!$B:$B,[1]Municipios!$C:$C)</f>
        <v>Noroeste</v>
      </c>
      <c r="C1531" t="str">
        <f>_xlfn.XLOOKUP(A1531,[1]Municipios!$B:$B,[1]Municipios!$D:$D)</f>
        <v>Terra Roxa</v>
      </c>
      <c r="D1531">
        <v>2025</v>
      </c>
      <c r="E1531" t="s">
        <v>232</v>
      </c>
      <c r="F1531">
        <v>0.76919999999999999</v>
      </c>
      <c r="G1531">
        <v>34.799999999999997</v>
      </c>
    </row>
    <row r="1532" spans="1:7" x14ac:dyDescent="0.25">
      <c r="A1532" t="s">
        <v>577</v>
      </c>
      <c r="B1532" t="str">
        <f>_xlfn.XLOOKUP(A1532,[1]Municipios!$B:$B,[1]Municipios!$C:$C)</f>
        <v>Noroeste</v>
      </c>
      <c r="C1532" t="str">
        <f>_xlfn.XLOOKUP(A1532,[1]Municipios!$B:$B,[1]Municipios!$D:$D)</f>
        <v>Terra Roxa</v>
      </c>
      <c r="D1532">
        <v>2025</v>
      </c>
      <c r="E1532" t="s">
        <v>233</v>
      </c>
      <c r="F1532">
        <v>0.375</v>
      </c>
      <c r="G1532">
        <v>34.799999999999997</v>
      </c>
    </row>
    <row r="1533" spans="1:7" x14ac:dyDescent="0.25">
      <c r="A1533" t="s">
        <v>577</v>
      </c>
      <c r="B1533" t="str">
        <f>_xlfn.XLOOKUP(A1533,[1]Municipios!$B:$B,[1]Municipios!$C:$C)</f>
        <v>Noroeste</v>
      </c>
      <c r="C1533" t="str">
        <f>_xlfn.XLOOKUP(A1533,[1]Municipios!$B:$B,[1]Municipios!$D:$D)</f>
        <v>Terra Roxa</v>
      </c>
      <c r="D1533">
        <v>2025</v>
      </c>
      <c r="E1533" t="s">
        <v>215</v>
      </c>
      <c r="F1533">
        <v>0</v>
      </c>
      <c r="G1533">
        <v>34.799999999999997</v>
      </c>
    </row>
    <row r="1534" spans="1:7" x14ac:dyDescent="0.25">
      <c r="A1534" t="s">
        <v>577</v>
      </c>
      <c r="B1534" t="str">
        <f>_xlfn.XLOOKUP(A1534,[1]Municipios!$B:$B,[1]Municipios!$C:$C)</f>
        <v>Noroeste</v>
      </c>
      <c r="C1534" t="str">
        <f>_xlfn.XLOOKUP(A1534,[1]Municipios!$B:$B,[1]Municipios!$D:$D)</f>
        <v>Terra Roxa</v>
      </c>
      <c r="D1534">
        <v>2025</v>
      </c>
      <c r="E1534" t="s">
        <v>234</v>
      </c>
      <c r="F1534">
        <v>0.33329999999999999</v>
      </c>
      <c r="G1534">
        <v>34.799999999999997</v>
      </c>
    </row>
    <row r="1535" spans="1:7" x14ac:dyDescent="0.25">
      <c r="A1535" t="s">
        <v>577</v>
      </c>
      <c r="B1535" t="str">
        <f>_xlfn.XLOOKUP(A1535,[1]Municipios!$B:$B,[1]Municipios!$C:$C)</f>
        <v>Noroeste</v>
      </c>
      <c r="C1535" t="str">
        <f>_xlfn.XLOOKUP(A1535,[1]Municipios!$B:$B,[1]Municipios!$D:$D)</f>
        <v>Terra Roxa</v>
      </c>
      <c r="D1535">
        <v>2025</v>
      </c>
      <c r="E1535" t="s">
        <v>235</v>
      </c>
      <c r="F1535">
        <v>0.28570000000000001</v>
      </c>
      <c r="G1535">
        <v>34.799999999999997</v>
      </c>
    </row>
    <row r="1536" spans="1:7" x14ac:dyDescent="0.25">
      <c r="A1536" t="s">
        <v>577</v>
      </c>
      <c r="B1536" t="str">
        <f>_xlfn.XLOOKUP(A1536,[1]Municipios!$B:$B,[1]Municipios!$C:$C)</f>
        <v>Noroeste</v>
      </c>
      <c r="C1536" t="str">
        <f>_xlfn.XLOOKUP(A1536,[1]Municipios!$B:$B,[1]Municipios!$D:$D)</f>
        <v>Terra Roxa</v>
      </c>
      <c r="D1536">
        <v>2025</v>
      </c>
      <c r="E1536" t="s">
        <v>236</v>
      </c>
      <c r="F1536">
        <v>0</v>
      </c>
      <c r="G1536">
        <v>34.799999999999997</v>
      </c>
    </row>
    <row r="1537" spans="1:7" x14ac:dyDescent="0.25">
      <c r="A1537" t="s">
        <v>577</v>
      </c>
      <c r="B1537" t="str">
        <f>_xlfn.XLOOKUP(A1537,[1]Municipios!$B:$B,[1]Municipios!$C:$C)</f>
        <v>Noroeste</v>
      </c>
      <c r="C1537" t="str">
        <f>_xlfn.XLOOKUP(A1537,[1]Municipios!$B:$B,[1]Municipios!$D:$D)</f>
        <v>Terra Roxa</v>
      </c>
      <c r="D1537">
        <v>2025</v>
      </c>
      <c r="E1537" t="s">
        <v>237</v>
      </c>
      <c r="F1537">
        <v>0</v>
      </c>
      <c r="G1537">
        <v>34.799999999999997</v>
      </c>
    </row>
    <row r="1538" spans="1:7" x14ac:dyDescent="0.25">
      <c r="A1538" t="s">
        <v>282</v>
      </c>
      <c r="B1538" t="str">
        <f>_xlfn.XLOOKUP(A1538,[1]Municipios!$B:$B,[1]Municipios!$C:$C)</f>
        <v>Norte</v>
      </c>
      <c r="C1538" t="str">
        <f>_xlfn.XLOOKUP(A1538,[1]Municipios!$B:$B,[1]Municipios!$D:$D)</f>
        <v>Norte Do Paraná</v>
      </c>
      <c r="D1538">
        <v>2025</v>
      </c>
      <c r="E1538" t="s">
        <v>231</v>
      </c>
      <c r="F1538">
        <v>0.66669999999999996</v>
      </c>
      <c r="G1538">
        <v>92.62</v>
      </c>
    </row>
    <row r="1539" spans="1:7" x14ac:dyDescent="0.25">
      <c r="A1539" t="s">
        <v>282</v>
      </c>
      <c r="B1539" t="str">
        <f>_xlfn.XLOOKUP(A1539,[1]Municipios!$B:$B,[1]Municipios!$C:$C)</f>
        <v>Norte</v>
      </c>
      <c r="C1539" t="str">
        <f>_xlfn.XLOOKUP(A1539,[1]Municipios!$B:$B,[1]Municipios!$D:$D)</f>
        <v>Norte Do Paraná</v>
      </c>
      <c r="D1539">
        <v>2025</v>
      </c>
      <c r="E1539" t="s">
        <v>232</v>
      </c>
      <c r="F1539">
        <v>0.84619999999999995</v>
      </c>
      <c r="G1539">
        <v>92.62</v>
      </c>
    </row>
    <row r="1540" spans="1:7" x14ac:dyDescent="0.25">
      <c r="A1540" t="s">
        <v>282</v>
      </c>
      <c r="B1540" t="str">
        <f>_xlfn.XLOOKUP(A1540,[1]Municipios!$B:$B,[1]Municipios!$C:$C)</f>
        <v>Norte</v>
      </c>
      <c r="C1540" t="str">
        <f>_xlfn.XLOOKUP(A1540,[1]Municipios!$B:$B,[1]Municipios!$D:$D)</f>
        <v>Norte Do Paraná</v>
      </c>
      <c r="D1540">
        <v>2025</v>
      </c>
      <c r="E1540" t="s">
        <v>233</v>
      </c>
      <c r="F1540">
        <v>1</v>
      </c>
      <c r="G1540">
        <v>92.62</v>
      </c>
    </row>
    <row r="1541" spans="1:7" x14ac:dyDescent="0.25">
      <c r="A1541" t="s">
        <v>282</v>
      </c>
      <c r="B1541" t="str">
        <f>_xlfn.XLOOKUP(A1541,[1]Municipios!$B:$B,[1]Municipios!$C:$C)</f>
        <v>Norte</v>
      </c>
      <c r="C1541" t="str">
        <f>_xlfn.XLOOKUP(A1541,[1]Municipios!$B:$B,[1]Municipios!$D:$D)</f>
        <v>Norte Do Paraná</v>
      </c>
      <c r="D1541">
        <v>2025</v>
      </c>
      <c r="E1541" t="s">
        <v>215</v>
      </c>
      <c r="F1541">
        <v>1</v>
      </c>
      <c r="G1541">
        <v>92.62</v>
      </c>
    </row>
    <row r="1542" spans="1:7" x14ac:dyDescent="0.25">
      <c r="A1542" t="s">
        <v>282</v>
      </c>
      <c r="B1542" t="str">
        <f>_xlfn.XLOOKUP(A1542,[1]Municipios!$B:$B,[1]Municipios!$C:$C)</f>
        <v>Norte</v>
      </c>
      <c r="C1542" t="str">
        <f>_xlfn.XLOOKUP(A1542,[1]Municipios!$B:$B,[1]Municipios!$D:$D)</f>
        <v>Norte Do Paraná</v>
      </c>
      <c r="D1542">
        <v>2025</v>
      </c>
      <c r="E1542" t="s">
        <v>234</v>
      </c>
      <c r="F1542">
        <v>1</v>
      </c>
      <c r="G1542">
        <v>92.62</v>
      </c>
    </row>
    <row r="1543" spans="1:7" x14ac:dyDescent="0.25">
      <c r="A1543" t="s">
        <v>282</v>
      </c>
      <c r="B1543" t="str">
        <f>_xlfn.XLOOKUP(A1543,[1]Municipios!$B:$B,[1]Municipios!$C:$C)</f>
        <v>Norte</v>
      </c>
      <c r="C1543" t="str">
        <f>_xlfn.XLOOKUP(A1543,[1]Municipios!$B:$B,[1]Municipios!$D:$D)</f>
        <v>Norte Do Paraná</v>
      </c>
      <c r="D1543">
        <v>2025</v>
      </c>
      <c r="E1543" t="s">
        <v>235</v>
      </c>
      <c r="F1543">
        <v>1</v>
      </c>
      <c r="G1543">
        <v>92.62</v>
      </c>
    </row>
    <row r="1544" spans="1:7" x14ac:dyDescent="0.25">
      <c r="A1544" t="s">
        <v>282</v>
      </c>
      <c r="B1544" t="str">
        <f>_xlfn.XLOOKUP(A1544,[1]Municipios!$B:$B,[1]Municipios!$C:$C)</f>
        <v>Norte</v>
      </c>
      <c r="C1544" t="str">
        <f>_xlfn.XLOOKUP(A1544,[1]Municipios!$B:$B,[1]Municipios!$D:$D)</f>
        <v>Norte Do Paraná</v>
      </c>
      <c r="D1544">
        <v>2025</v>
      </c>
      <c r="E1544" t="s">
        <v>236</v>
      </c>
      <c r="F1544">
        <v>0.92309999999999992</v>
      </c>
      <c r="G1544">
        <v>92.62</v>
      </c>
    </row>
    <row r="1545" spans="1:7" x14ac:dyDescent="0.25">
      <c r="A1545" t="s">
        <v>282</v>
      </c>
      <c r="B1545" t="str">
        <f>_xlfn.XLOOKUP(A1545,[1]Municipios!$B:$B,[1]Municipios!$C:$C)</f>
        <v>Norte</v>
      </c>
      <c r="C1545" t="str">
        <f>_xlfn.XLOOKUP(A1545,[1]Municipios!$B:$B,[1]Municipios!$D:$D)</f>
        <v>Norte Do Paraná</v>
      </c>
      <c r="D1545">
        <v>2025</v>
      </c>
      <c r="E1545" t="s">
        <v>237</v>
      </c>
      <c r="F1545">
        <v>1</v>
      </c>
      <c r="G1545">
        <v>92.62</v>
      </c>
    </row>
    <row r="1546" spans="1:7" x14ac:dyDescent="0.25">
      <c r="A1546" t="s">
        <v>578</v>
      </c>
      <c r="B1546" t="str">
        <f>_xlfn.XLOOKUP(A1546,[1]Municipios!$B:$B,[1]Municipios!$C:$C)</f>
        <v>Noroeste</v>
      </c>
      <c r="C1546" t="str">
        <f>_xlfn.XLOOKUP(A1546,[1]Municipios!$B:$B,[1]Municipios!$D:$D)</f>
        <v>Centro Ocidental</v>
      </c>
      <c r="D1546">
        <v>2025</v>
      </c>
      <c r="E1546" t="s">
        <v>231</v>
      </c>
      <c r="F1546">
        <v>0.44439999999999996</v>
      </c>
      <c r="G1546">
        <v>27.13</v>
      </c>
    </row>
    <row r="1547" spans="1:7" x14ac:dyDescent="0.25">
      <c r="A1547" t="s">
        <v>578</v>
      </c>
      <c r="B1547" t="str">
        <f>_xlfn.XLOOKUP(A1547,[1]Municipios!$B:$B,[1]Municipios!$C:$C)</f>
        <v>Noroeste</v>
      </c>
      <c r="C1547" t="str">
        <f>_xlfn.XLOOKUP(A1547,[1]Municipios!$B:$B,[1]Municipios!$D:$D)</f>
        <v>Centro Ocidental</v>
      </c>
      <c r="D1547">
        <v>2025</v>
      </c>
      <c r="E1547" t="s">
        <v>232</v>
      </c>
      <c r="F1547">
        <v>0.46140000000000009</v>
      </c>
      <c r="G1547">
        <v>27.13</v>
      </c>
    </row>
    <row r="1548" spans="1:7" x14ac:dyDescent="0.25">
      <c r="A1548" t="s">
        <v>578</v>
      </c>
      <c r="B1548" t="str">
        <f>_xlfn.XLOOKUP(A1548,[1]Municipios!$B:$B,[1]Municipios!$C:$C)</f>
        <v>Noroeste</v>
      </c>
      <c r="C1548" t="str">
        <f>_xlfn.XLOOKUP(A1548,[1]Municipios!$B:$B,[1]Municipios!$D:$D)</f>
        <v>Centro Ocidental</v>
      </c>
      <c r="D1548">
        <v>2025</v>
      </c>
      <c r="E1548" t="s">
        <v>233</v>
      </c>
      <c r="F1548">
        <v>0.125</v>
      </c>
      <c r="G1548">
        <v>27.13</v>
      </c>
    </row>
    <row r="1549" spans="1:7" x14ac:dyDescent="0.25">
      <c r="A1549" t="s">
        <v>578</v>
      </c>
      <c r="B1549" t="str">
        <f>_xlfn.XLOOKUP(A1549,[1]Municipios!$B:$B,[1]Municipios!$C:$C)</f>
        <v>Noroeste</v>
      </c>
      <c r="C1549" t="str">
        <f>_xlfn.XLOOKUP(A1549,[1]Municipios!$B:$B,[1]Municipios!$D:$D)</f>
        <v>Centro Ocidental</v>
      </c>
      <c r="D1549">
        <v>2025</v>
      </c>
      <c r="E1549" t="s">
        <v>215</v>
      </c>
      <c r="F1549">
        <v>0.39999999999999997</v>
      </c>
      <c r="G1549">
        <v>27.13</v>
      </c>
    </row>
    <row r="1550" spans="1:7" x14ac:dyDescent="0.25">
      <c r="A1550" t="s">
        <v>578</v>
      </c>
      <c r="B1550" t="str">
        <f>_xlfn.XLOOKUP(A1550,[1]Municipios!$B:$B,[1]Municipios!$C:$C)</f>
        <v>Noroeste</v>
      </c>
      <c r="C1550" t="str">
        <f>_xlfn.XLOOKUP(A1550,[1]Municipios!$B:$B,[1]Municipios!$D:$D)</f>
        <v>Centro Ocidental</v>
      </c>
      <c r="D1550">
        <v>2025</v>
      </c>
      <c r="E1550" t="s">
        <v>234</v>
      </c>
      <c r="F1550">
        <v>0.2223</v>
      </c>
      <c r="G1550">
        <v>27.13</v>
      </c>
    </row>
    <row r="1551" spans="1:7" x14ac:dyDescent="0.25">
      <c r="A1551" t="s">
        <v>578</v>
      </c>
      <c r="B1551" t="str">
        <f>_xlfn.XLOOKUP(A1551,[1]Municipios!$B:$B,[1]Municipios!$C:$C)</f>
        <v>Noroeste</v>
      </c>
      <c r="C1551" t="str">
        <f>_xlfn.XLOOKUP(A1551,[1]Municipios!$B:$B,[1]Municipios!$D:$D)</f>
        <v>Centro Ocidental</v>
      </c>
      <c r="D1551">
        <v>2025</v>
      </c>
      <c r="E1551" t="s">
        <v>235</v>
      </c>
      <c r="F1551">
        <v>0.28570000000000001</v>
      </c>
      <c r="G1551">
        <v>27.13</v>
      </c>
    </row>
    <row r="1552" spans="1:7" x14ac:dyDescent="0.25">
      <c r="A1552" t="s">
        <v>578</v>
      </c>
      <c r="B1552" t="str">
        <f>_xlfn.XLOOKUP(A1552,[1]Municipios!$B:$B,[1]Municipios!$C:$C)</f>
        <v>Noroeste</v>
      </c>
      <c r="C1552" t="str">
        <f>_xlfn.XLOOKUP(A1552,[1]Municipios!$B:$B,[1]Municipios!$D:$D)</f>
        <v>Centro Ocidental</v>
      </c>
      <c r="D1552">
        <v>2025</v>
      </c>
      <c r="E1552" t="s">
        <v>236</v>
      </c>
      <c r="F1552">
        <v>7.690000000000001E-2</v>
      </c>
      <c r="G1552">
        <v>27.13</v>
      </c>
    </row>
    <row r="1553" spans="1:7" x14ac:dyDescent="0.25">
      <c r="A1553" t="s">
        <v>578</v>
      </c>
      <c r="B1553" t="str">
        <f>_xlfn.XLOOKUP(A1553,[1]Municipios!$B:$B,[1]Municipios!$C:$C)</f>
        <v>Noroeste</v>
      </c>
      <c r="C1553" t="str">
        <f>_xlfn.XLOOKUP(A1553,[1]Municipios!$B:$B,[1]Municipios!$D:$D)</f>
        <v>Centro Ocidental</v>
      </c>
      <c r="D1553">
        <v>2025</v>
      </c>
      <c r="E1553" t="s">
        <v>237</v>
      </c>
      <c r="F1553">
        <v>0</v>
      </c>
      <c r="G1553">
        <v>27.13</v>
      </c>
    </row>
    <row r="1554" spans="1:7" x14ac:dyDescent="0.25">
      <c r="A1554" t="s">
        <v>514</v>
      </c>
      <c r="B1554" t="str">
        <f>_xlfn.XLOOKUP(A1554,[1]Municipios!$B:$B,[1]Municipios!$C:$C)</f>
        <v>Norte</v>
      </c>
      <c r="C1554" t="str">
        <f>_xlfn.XLOOKUP(A1554,[1]Municipios!$B:$B,[1]Municipios!$D:$D)</f>
        <v>Vale Do Ivaí</v>
      </c>
      <c r="D1554">
        <v>2025</v>
      </c>
      <c r="E1554" t="s">
        <v>231</v>
      </c>
      <c r="F1554">
        <v>0.55559999999999998</v>
      </c>
      <c r="G1554">
        <v>73.53</v>
      </c>
    </row>
    <row r="1555" spans="1:7" x14ac:dyDescent="0.25">
      <c r="A1555" t="s">
        <v>514</v>
      </c>
      <c r="B1555" t="str">
        <f>_xlfn.XLOOKUP(A1555,[1]Municipios!$B:$B,[1]Municipios!$C:$C)</f>
        <v>Norte</v>
      </c>
      <c r="C1555" t="str">
        <f>_xlfn.XLOOKUP(A1555,[1]Municipios!$B:$B,[1]Municipios!$D:$D)</f>
        <v>Vale Do Ivaí</v>
      </c>
      <c r="D1555">
        <v>2025</v>
      </c>
      <c r="E1555" t="s">
        <v>232</v>
      </c>
      <c r="F1555">
        <v>0.84619999999999995</v>
      </c>
      <c r="G1555">
        <v>73.53</v>
      </c>
    </row>
    <row r="1556" spans="1:7" x14ac:dyDescent="0.25">
      <c r="A1556" t="s">
        <v>514</v>
      </c>
      <c r="B1556" t="str">
        <f>_xlfn.XLOOKUP(A1556,[1]Municipios!$B:$B,[1]Municipios!$C:$C)</f>
        <v>Norte</v>
      </c>
      <c r="C1556" t="str">
        <f>_xlfn.XLOOKUP(A1556,[1]Municipios!$B:$B,[1]Municipios!$D:$D)</f>
        <v>Vale Do Ivaí</v>
      </c>
      <c r="D1556">
        <v>2025</v>
      </c>
      <c r="E1556" t="s">
        <v>233</v>
      </c>
      <c r="F1556">
        <v>0.75</v>
      </c>
      <c r="G1556">
        <v>73.53</v>
      </c>
    </row>
    <row r="1557" spans="1:7" x14ac:dyDescent="0.25">
      <c r="A1557" t="s">
        <v>514</v>
      </c>
      <c r="B1557" t="str">
        <f>_xlfn.XLOOKUP(A1557,[1]Municipios!$B:$B,[1]Municipios!$C:$C)</f>
        <v>Norte</v>
      </c>
      <c r="C1557" t="str">
        <f>_xlfn.XLOOKUP(A1557,[1]Municipios!$B:$B,[1]Municipios!$D:$D)</f>
        <v>Vale Do Ivaí</v>
      </c>
      <c r="D1557">
        <v>2025</v>
      </c>
      <c r="E1557" t="s">
        <v>215</v>
      </c>
      <c r="F1557">
        <v>0.95000000000000007</v>
      </c>
      <c r="G1557">
        <v>73.53</v>
      </c>
    </row>
    <row r="1558" spans="1:7" x14ac:dyDescent="0.25">
      <c r="A1558" t="s">
        <v>514</v>
      </c>
      <c r="B1558" t="str">
        <f>_xlfn.XLOOKUP(A1558,[1]Municipios!$B:$B,[1]Municipios!$C:$C)</f>
        <v>Norte</v>
      </c>
      <c r="C1558" t="str">
        <f>_xlfn.XLOOKUP(A1558,[1]Municipios!$B:$B,[1]Municipios!$D:$D)</f>
        <v>Vale Do Ivaí</v>
      </c>
      <c r="D1558">
        <v>2025</v>
      </c>
      <c r="E1558" t="s">
        <v>234</v>
      </c>
      <c r="F1558">
        <v>0.44440000000000002</v>
      </c>
      <c r="G1558">
        <v>73.53</v>
      </c>
    </row>
    <row r="1559" spans="1:7" x14ac:dyDescent="0.25">
      <c r="A1559" t="s">
        <v>514</v>
      </c>
      <c r="B1559" t="str">
        <f>_xlfn.XLOOKUP(A1559,[1]Municipios!$B:$B,[1]Municipios!$C:$C)</f>
        <v>Norte</v>
      </c>
      <c r="C1559" t="str">
        <f>_xlfn.XLOOKUP(A1559,[1]Municipios!$B:$B,[1]Municipios!$D:$D)</f>
        <v>Vale Do Ivaí</v>
      </c>
      <c r="D1559">
        <v>2025</v>
      </c>
      <c r="E1559" t="s">
        <v>235</v>
      </c>
      <c r="F1559">
        <v>1</v>
      </c>
      <c r="G1559">
        <v>73.53</v>
      </c>
    </row>
    <row r="1560" spans="1:7" x14ac:dyDescent="0.25">
      <c r="A1560" t="s">
        <v>514</v>
      </c>
      <c r="B1560" t="str">
        <f>_xlfn.XLOOKUP(A1560,[1]Municipios!$B:$B,[1]Municipios!$C:$C)</f>
        <v>Norte</v>
      </c>
      <c r="C1560" t="str">
        <f>_xlfn.XLOOKUP(A1560,[1]Municipios!$B:$B,[1]Municipios!$D:$D)</f>
        <v>Vale Do Ivaí</v>
      </c>
      <c r="D1560">
        <v>2025</v>
      </c>
      <c r="E1560" t="s">
        <v>236</v>
      </c>
      <c r="F1560">
        <v>0.38469999999999999</v>
      </c>
      <c r="G1560">
        <v>73.53</v>
      </c>
    </row>
    <row r="1561" spans="1:7" x14ac:dyDescent="0.25">
      <c r="A1561" t="s">
        <v>514</v>
      </c>
      <c r="B1561" t="str">
        <f>_xlfn.XLOOKUP(A1561,[1]Municipios!$B:$B,[1]Municipios!$C:$C)</f>
        <v>Norte</v>
      </c>
      <c r="C1561" t="str">
        <f>_xlfn.XLOOKUP(A1561,[1]Municipios!$B:$B,[1]Municipios!$D:$D)</f>
        <v>Vale Do Ivaí</v>
      </c>
      <c r="D1561">
        <v>2025</v>
      </c>
      <c r="E1561" t="s">
        <v>237</v>
      </c>
      <c r="F1561">
        <v>1</v>
      </c>
      <c r="G1561">
        <v>73.53</v>
      </c>
    </row>
    <row r="1562" spans="1:7" x14ac:dyDescent="0.25">
      <c r="A1562" t="s">
        <v>474</v>
      </c>
      <c r="B1562" t="str">
        <f>_xlfn.XLOOKUP(A1562,[1]Municipios!$B:$B,[1]Municipios!$C:$C)</f>
        <v>Norte</v>
      </c>
      <c r="C1562" t="str">
        <f>_xlfn.XLOOKUP(A1562,[1]Municipios!$B:$B,[1]Municipios!$D:$D)</f>
        <v>Vale do Paranapanema</v>
      </c>
      <c r="D1562">
        <v>2025</v>
      </c>
      <c r="E1562" t="s">
        <v>231</v>
      </c>
      <c r="F1562">
        <v>0.55549999999999988</v>
      </c>
      <c r="G1562">
        <v>55.35</v>
      </c>
    </row>
    <row r="1563" spans="1:7" x14ac:dyDescent="0.25">
      <c r="A1563" t="s">
        <v>474</v>
      </c>
      <c r="B1563" t="str">
        <f>_xlfn.XLOOKUP(A1563,[1]Municipios!$B:$B,[1]Municipios!$C:$C)</f>
        <v>Norte</v>
      </c>
      <c r="C1563" t="str">
        <f>_xlfn.XLOOKUP(A1563,[1]Municipios!$B:$B,[1]Municipios!$D:$D)</f>
        <v>Vale do Paranapanema</v>
      </c>
      <c r="D1563">
        <v>2025</v>
      </c>
      <c r="E1563" t="s">
        <v>232</v>
      </c>
      <c r="F1563">
        <v>0.69220000000000004</v>
      </c>
      <c r="G1563">
        <v>55.35</v>
      </c>
    </row>
    <row r="1564" spans="1:7" x14ac:dyDescent="0.25">
      <c r="A1564" t="s">
        <v>474</v>
      </c>
      <c r="B1564" t="str">
        <f>_xlfn.XLOOKUP(A1564,[1]Municipios!$B:$B,[1]Municipios!$C:$C)</f>
        <v>Norte</v>
      </c>
      <c r="C1564" t="str">
        <f>_xlfn.XLOOKUP(A1564,[1]Municipios!$B:$B,[1]Municipios!$D:$D)</f>
        <v>Vale do Paranapanema</v>
      </c>
      <c r="D1564">
        <v>2025</v>
      </c>
      <c r="E1564" t="s">
        <v>233</v>
      </c>
      <c r="F1564">
        <v>0.625</v>
      </c>
      <c r="G1564">
        <v>55.35</v>
      </c>
    </row>
    <row r="1565" spans="1:7" x14ac:dyDescent="0.25">
      <c r="A1565" t="s">
        <v>474</v>
      </c>
      <c r="B1565" t="str">
        <f>_xlfn.XLOOKUP(A1565,[1]Municipios!$B:$B,[1]Municipios!$C:$C)</f>
        <v>Norte</v>
      </c>
      <c r="C1565" t="str">
        <f>_xlfn.XLOOKUP(A1565,[1]Municipios!$B:$B,[1]Municipios!$D:$D)</f>
        <v>Vale do Paranapanema</v>
      </c>
      <c r="D1565">
        <v>2025</v>
      </c>
      <c r="E1565" t="s">
        <v>215</v>
      </c>
      <c r="F1565">
        <v>0.9</v>
      </c>
      <c r="G1565">
        <v>55.35</v>
      </c>
    </row>
    <row r="1566" spans="1:7" x14ac:dyDescent="0.25">
      <c r="A1566" t="s">
        <v>474</v>
      </c>
      <c r="B1566" t="str">
        <f>_xlfn.XLOOKUP(A1566,[1]Municipios!$B:$B,[1]Municipios!$C:$C)</f>
        <v>Norte</v>
      </c>
      <c r="C1566" t="str">
        <f>_xlfn.XLOOKUP(A1566,[1]Municipios!$B:$B,[1]Municipios!$D:$D)</f>
        <v>Vale do Paranapanema</v>
      </c>
      <c r="D1566">
        <v>2025</v>
      </c>
      <c r="E1566" t="s">
        <v>234</v>
      </c>
      <c r="F1566">
        <v>0.88880000000000003</v>
      </c>
      <c r="G1566">
        <v>55.35</v>
      </c>
    </row>
    <row r="1567" spans="1:7" x14ac:dyDescent="0.25">
      <c r="A1567" t="s">
        <v>474</v>
      </c>
      <c r="B1567" t="str">
        <f>_xlfn.XLOOKUP(A1567,[1]Municipios!$B:$B,[1]Municipios!$C:$C)</f>
        <v>Norte</v>
      </c>
      <c r="C1567" t="str">
        <f>_xlfn.XLOOKUP(A1567,[1]Municipios!$B:$B,[1]Municipios!$D:$D)</f>
        <v>Vale do Paranapanema</v>
      </c>
      <c r="D1567">
        <v>2025</v>
      </c>
      <c r="E1567" t="s">
        <v>235</v>
      </c>
      <c r="F1567">
        <v>0.57150000000000001</v>
      </c>
      <c r="G1567">
        <v>55.35</v>
      </c>
    </row>
    <row r="1568" spans="1:7" x14ac:dyDescent="0.25">
      <c r="A1568" t="s">
        <v>474</v>
      </c>
      <c r="B1568" t="str">
        <f>_xlfn.XLOOKUP(A1568,[1]Municipios!$B:$B,[1]Municipios!$C:$C)</f>
        <v>Norte</v>
      </c>
      <c r="C1568" t="str">
        <f>_xlfn.XLOOKUP(A1568,[1]Municipios!$B:$B,[1]Municipios!$D:$D)</f>
        <v>Vale do Paranapanema</v>
      </c>
      <c r="D1568">
        <v>2025</v>
      </c>
      <c r="E1568" t="s">
        <v>236</v>
      </c>
      <c r="F1568">
        <v>0</v>
      </c>
      <c r="G1568">
        <v>55.35</v>
      </c>
    </row>
    <row r="1569" spans="1:7" x14ac:dyDescent="0.25">
      <c r="A1569" t="s">
        <v>474</v>
      </c>
      <c r="B1569" t="str">
        <f>_xlfn.XLOOKUP(A1569,[1]Municipios!$B:$B,[1]Municipios!$C:$C)</f>
        <v>Norte</v>
      </c>
      <c r="C1569" t="str">
        <f>_xlfn.XLOOKUP(A1569,[1]Municipios!$B:$B,[1]Municipios!$D:$D)</f>
        <v>Vale do Paranapanema</v>
      </c>
      <c r="D1569">
        <v>2025</v>
      </c>
      <c r="E1569" t="s">
        <v>237</v>
      </c>
      <c r="F1569">
        <v>0</v>
      </c>
      <c r="G1569">
        <v>55.35</v>
      </c>
    </row>
    <row r="1570" spans="1:7" x14ac:dyDescent="0.25">
      <c r="A1570" t="s">
        <v>579</v>
      </c>
      <c r="B1570" t="str">
        <f>_xlfn.XLOOKUP(A1570,[1]Municipios!$B:$B,[1]Municipios!$C:$C)</f>
        <v>Centro</v>
      </c>
      <c r="C1570" t="str">
        <f>_xlfn.XLOOKUP(A1570,[1]Municipios!$B:$B,[1]Municipios!$D:$D)</f>
        <v>Vale Dos Pinheirais</v>
      </c>
      <c r="D1570">
        <v>2025</v>
      </c>
      <c r="E1570" t="s">
        <v>231</v>
      </c>
      <c r="F1570">
        <v>0.55559999999999998</v>
      </c>
      <c r="G1570">
        <v>45.19</v>
      </c>
    </row>
    <row r="1571" spans="1:7" x14ac:dyDescent="0.25">
      <c r="A1571" t="s">
        <v>579</v>
      </c>
      <c r="B1571" t="str">
        <f>_xlfn.XLOOKUP(A1571,[1]Municipios!$B:$B,[1]Municipios!$C:$C)</f>
        <v>Centro</v>
      </c>
      <c r="C1571" t="str">
        <f>_xlfn.XLOOKUP(A1571,[1]Municipios!$B:$B,[1]Municipios!$D:$D)</f>
        <v>Vale Dos Pinheirais</v>
      </c>
      <c r="D1571">
        <v>2025</v>
      </c>
      <c r="E1571" t="s">
        <v>232</v>
      </c>
      <c r="F1571">
        <v>0.69240000000000002</v>
      </c>
      <c r="G1571">
        <v>45.19</v>
      </c>
    </row>
    <row r="1572" spans="1:7" x14ac:dyDescent="0.25">
      <c r="A1572" t="s">
        <v>579</v>
      </c>
      <c r="B1572" t="str">
        <f>_xlfn.XLOOKUP(A1572,[1]Municipios!$B:$B,[1]Municipios!$C:$C)</f>
        <v>Centro</v>
      </c>
      <c r="C1572" t="str">
        <f>_xlfn.XLOOKUP(A1572,[1]Municipios!$B:$B,[1]Municipios!$D:$D)</f>
        <v>Vale Dos Pinheirais</v>
      </c>
      <c r="D1572">
        <v>2025</v>
      </c>
      <c r="E1572" t="s">
        <v>233</v>
      </c>
      <c r="F1572">
        <v>0.625</v>
      </c>
      <c r="G1572">
        <v>45.19</v>
      </c>
    </row>
    <row r="1573" spans="1:7" x14ac:dyDescent="0.25">
      <c r="A1573" t="s">
        <v>579</v>
      </c>
      <c r="B1573" t="str">
        <f>_xlfn.XLOOKUP(A1573,[1]Municipios!$B:$B,[1]Municipios!$C:$C)</f>
        <v>Centro</v>
      </c>
      <c r="C1573" t="str">
        <f>_xlfn.XLOOKUP(A1573,[1]Municipios!$B:$B,[1]Municipios!$D:$D)</f>
        <v>Vale Dos Pinheirais</v>
      </c>
      <c r="D1573">
        <v>2025</v>
      </c>
      <c r="E1573" t="s">
        <v>215</v>
      </c>
      <c r="F1573">
        <v>0.54999999999999993</v>
      </c>
      <c r="G1573">
        <v>45.19</v>
      </c>
    </row>
    <row r="1574" spans="1:7" x14ac:dyDescent="0.25">
      <c r="A1574" t="s">
        <v>579</v>
      </c>
      <c r="B1574" t="str">
        <f>_xlfn.XLOOKUP(A1574,[1]Municipios!$B:$B,[1]Municipios!$C:$C)</f>
        <v>Centro</v>
      </c>
      <c r="C1574" t="str">
        <f>_xlfn.XLOOKUP(A1574,[1]Municipios!$B:$B,[1]Municipios!$D:$D)</f>
        <v>Vale Dos Pinheirais</v>
      </c>
      <c r="D1574">
        <v>2025</v>
      </c>
      <c r="E1574" t="s">
        <v>234</v>
      </c>
      <c r="F1574">
        <v>0.55549999999999999</v>
      </c>
      <c r="G1574">
        <v>45.19</v>
      </c>
    </row>
    <row r="1575" spans="1:7" x14ac:dyDescent="0.25">
      <c r="A1575" t="s">
        <v>579</v>
      </c>
      <c r="B1575" t="str">
        <f>_xlfn.XLOOKUP(A1575,[1]Municipios!$B:$B,[1]Municipios!$C:$C)</f>
        <v>Centro</v>
      </c>
      <c r="C1575" t="str">
        <f>_xlfn.XLOOKUP(A1575,[1]Municipios!$B:$B,[1]Municipios!$D:$D)</f>
        <v>Vale Dos Pinheirais</v>
      </c>
      <c r="D1575">
        <v>2025</v>
      </c>
      <c r="E1575" t="s">
        <v>235</v>
      </c>
      <c r="F1575">
        <v>0.42859999999999998</v>
      </c>
      <c r="G1575">
        <v>45.19</v>
      </c>
    </row>
    <row r="1576" spans="1:7" x14ac:dyDescent="0.25">
      <c r="A1576" t="s">
        <v>579</v>
      </c>
      <c r="B1576" t="str">
        <f>_xlfn.XLOOKUP(A1576,[1]Municipios!$B:$B,[1]Municipios!$C:$C)</f>
        <v>Centro</v>
      </c>
      <c r="C1576" t="str">
        <f>_xlfn.XLOOKUP(A1576,[1]Municipios!$B:$B,[1]Municipios!$D:$D)</f>
        <v>Vale Dos Pinheirais</v>
      </c>
      <c r="D1576">
        <v>2025</v>
      </c>
      <c r="E1576" t="s">
        <v>236</v>
      </c>
      <c r="F1576">
        <v>0.15390000000000001</v>
      </c>
      <c r="G1576">
        <v>45.19</v>
      </c>
    </row>
    <row r="1577" spans="1:7" x14ac:dyDescent="0.25">
      <c r="A1577" t="s">
        <v>579</v>
      </c>
      <c r="B1577" t="str">
        <f>_xlfn.XLOOKUP(A1577,[1]Municipios!$B:$B,[1]Municipios!$C:$C)</f>
        <v>Centro</v>
      </c>
      <c r="C1577" t="str">
        <f>_xlfn.XLOOKUP(A1577,[1]Municipios!$B:$B,[1]Municipios!$D:$D)</f>
        <v>Vale Dos Pinheirais</v>
      </c>
      <c r="D1577">
        <v>2025</v>
      </c>
      <c r="E1577" t="s">
        <v>237</v>
      </c>
      <c r="F1577">
        <v>0</v>
      </c>
      <c r="G1577">
        <v>45.19</v>
      </c>
    </row>
    <row r="1578" spans="1:7" x14ac:dyDescent="0.25">
      <c r="A1578" t="s">
        <v>580</v>
      </c>
      <c r="B1578" t="str">
        <f>_xlfn.XLOOKUP(A1578,[1]Municipios!$B:$B,[1]Municipios!$C:$C)</f>
        <v>Noroeste</v>
      </c>
      <c r="C1578" t="str">
        <f>_xlfn.XLOOKUP(A1578,[1]Municipios!$B:$B,[1]Municipios!$D:$D)</f>
        <v>Centro Ocidental</v>
      </c>
      <c r="D1578">
        <v>2025</v>
      </c>
      <c r="E1578" t="s">
        <v>231</v>
      </c>
      <c r="F1578">
        <v>0.88890000000000002</v>
      </c>
      <c r="G1578">
        <v>83.59</v>
      </c>
    </row>
    <row r="1579" spans="1:7" x14ac:dyDescent="0.25">
      <c r="A1579" t="s">
        <v>580</v>
      </c>
      <c r="B1579" t="str">
        <f>_xlfn.XLOOKUP(A1579,[1]Municipios!$B:$B,[1]Municipios!$C:$C)</f>
        <v>Noroeste</v>
      </c>
      <c r="C1579" t="str">
        <f>_xlfn.XLOOKUP(A1579,[1]Municipios!$B:$B,[1]Municipios!$D:$D)</f>
        <v>Centro Ocidental</v>
      </c>
      <c r="D1579">
        <v>2025</v>
      </c>
      <c r="E1579" t="s">
        <v>232</v>
      </c>
      <c r="F1579">
        <v>0.92310000000000003</v>
      </c>
      <c r="G1579">
        <v>83.59</v>
      </c>
    </row>
    <row r="1580" spans="1:7" x14ac:dyDescent="0.25">
      <c r="A1580" t="s">
        <v>580</v>
      </c>
      <c r="B1580" t="str">
        <f>_xlfn.XLOOKUP(A1580,[1]Municipios!$B:$B,[1]Municipios!$C:$C)</f>
        <v>Noroeste</v>
      </c>
      <c r="C1580" t="str">
        <f>_xlfn.XLOOKUP(A1580,[1]Municipios!$B:$B,[1]Municipios!$D:$D)</f>
        <v>Centro Ocidental</v>
      </c>
      <c r="D1580">
        <v>2025</v>
      </c>
      <c r="E1580" t="s">
        <v>233</v>
      </c>
      <c r="F1580">
        <v>0.625</v>
      </c>
      <c r="G1580">
        <v>83.59</v>
      </c>
    </row>
    <row r="1581" spans="1:7" x14ac:dyDescent="0.25">
      <c r="A1581" t="s">
        <v>580</v>
      </c>
      <c r="B1581" t="str">
        <f>_xlfn.XLOOKUP(A1581,[1]Municipios!$B:$B,[1]Municipios!$C:$C)</f>
        <v>Noroeste</v>
      </c>
      <c r="C1581" t="str">
        <f>_xlfn.XLOOKUP(A1581,[1]Municipios!$B:$B,[1]Municipios!$D:$D)</f>
        <v>Centro Ocidental</v>
      </c>
      <c r="D1581">
        <v>2025</v>
      </c>
      <c r="E1581" t="s">
        <v>215</v>
      </c>
      <c r="F1581">
        <v>0.79999999999999993</v>
      </c>
      <c r="G1581">
        <v>83.59</v>
      </c>
    </row>
    <row r="1582" spans="1:7" x14ac:dyDescent="0.25">
      <c r="A1582" t="s">
        <v>580</v>
      </c>
      <c r="B1582" t="str">
        <f>_xlfn.XLOOKUP(A1582,[1]Municipios!$B:$B,[1]Municipios!$C:$C)</f>
        <v>Noroeste</v>
      </c>
      <c r="C1582" t="str">
        <f>_xlfn.XLOOKUP(A1582,[1]Municipios!$B:$B,[1]Municipios!$D:$D)</f>
        <v>Centro Ocidental</v>
      </c>
      <c r="D1582">
        <v>2025</v>
      </c>
      <c r="E1582" t="s">
        <v>234</v>
      </c>
      <c r="F1582">
        <v>0.88890000000000002</v>
      </c>
      <c r="G1582">
        <v>83.59</v>
      </c>
    </row>
    <row r="1583" spans="1:7" x14ac:dyDescent="0.25">
      <c r="A1583" t="s">
        <v>580</v>
      </c>
      <c r="B1583" t="str">
        <f>_xlfn.XLOOKUP(A1583,[1]Municipios!$B:$B,[1]Municipios!$C:$C)</f>
        <v>Noroeste</v>
      </c>
      <c r="C1583" t="str">
        <f>_xlfn.XLOOKUP(A1583,[1]Municipios!$B:$B,[1]Municipios!$D:$D)</f>
        <v>Centro Ocidental</v>
      </c>
      <c r="D1583">
        <v>2025</v>
      </c>
      <c r="E1583" t="s">
        <v>235</v>
      </c>
      <c r="F1583">
        <v>0.85720000000000007</v>
      </c>
      <c r="G1583">
        <v>83.59</v>
      </c>
    </row>
    <row r="1584" spans="1:7" x14ac:dyDescent="0.25">
      <c r="A1584" t="s">
        <v>580</v>
      </c>
      <c r="B1584" t="str">
        <f>_xlfn.XLOOKUP(A1584,[1]Municipios!$B:$B,[1]Municipios!$C:$C)</f>
        <v>Noroeste</v>
      </c>
      <c r="C1584" t="str">
        <f>_xlfn.XLOOKUP(A1584,[1]Municipios!$B:$B,[1]Municipios!$D:$D)</f>
        <v>Centro Ocidental</v>
      </c>
      <c r="D1584">
        <v>2025</v>
      </c>
      <c r="E1584" t="s">
        <v>236</v>
      </c>
      <c r="F1584">
        <v>0.53859999999999997</v>
      </c>
      <c r="G1584">
        <v>83.59</v>
      </c>
    </row>
    <row r="1585" spans="1:7" x14ac:dyDescent="0.25">
      <c r="A1585" t="s">
        <v>580</v>
      </c>
      <c r="B1585" t="str">
        <f>_xlfn.XLOOKUP(A1585,[1]Municipios!$B:$B,[1]Municipios!$C:$C)</f>
        <v>Noroeste</v>
      </c>
      <c r="C1585" t="str">
        <f>_xlfn.XLOOKUP(A1585,[1]Municipios!$B:$B,[1]Municipios!$D:$D)</f>
        <v>Centro Ocidental</v>
      </c>
      <c r="D1585">
        <v>2025</v>
      </c>
      <c r="E1585" t="s">
        <v>237</v>
      </c>
      <c r="F1585">
        <v>1</v>
      </c>
      <c r="G1585">
        <v>83.59</v>
      </c>
    </row>
    <row r="1586" spans="1:7" x14ac:dyDescent="0.25">
      <c r="A1586" t="s">
        <v>581</v>
      </c>
      <c r="B1586" t="str">
        <f>_xlfn.XLOOKUP(A1586,[1]Municipios!$B:$B,[1]Municipios!$C:$C)</f>
        <v>Noroeste</v>
      </c>
      <c r="C1586" t="str">
        <f>_xlfn.XLOOKUP(A1586,[1]Municipios!$B:$B,[1]Municipios!$D:$D)</f>
        <v>Terra Roxa</v>
      </c>
      <c r="D1586">
        <v>2025</v>
      </c>
      <c r="E1586" t="s">
        <v>231</v>
      </c>
      <c r="F1586">
        <v>0.77779999999999994</v>
      </c>
      <c r="G1586">
        <v>79.77</v>
      </c>
    </row>
    <row r="1587" spans="1:7" x14ac:dyDescent="0.25">
      <c r="A1587" t="s">
        <v>581</v>
      </c>
      <c r="B1587" t="str">
        <f>_xlfn.XLOOKUP(A1587,[1]Municipios!$B:$B,[1]Municipios!$C:$C)</f>
        <v>Noroeste</v>
      </c>
      <c r="C1587" t="str">
        <f>_xlfn.XLOOKUP(A1587,[1]Municipios!$B:$B,[1]Municipios!$D:$D)</f>
        <v>Terra Roxa</v>
      </c>
      <c r="D1587">
        <v>2025</v>
      </c>
      <c r="E1587" t="s">
        <v>232</v>
      </c>
      <c r="F1587">
        <v>0.69240000000000002</v>
      </c>
      <c r="G1587">
        <v>79.77</v>
      </c>
    </row>
    <row r="1588" spans="1:7" x14ac:dyDescent="0.25">
      <c r="A1588" t="s">
        <v>581</v>
      </c>
      <c r="B1588" t="str">
        <f>_xlfn.XLOOKUP(A1588,[1]Municipios!$B:$B,[1]Municipios!$C:$C)</f>
        <v>Noroeste</v>
      </c>
      <c r="C1588" t="str">
        <f>_xlfn.XLOOKUP(A1588,[1]Municipios!$B:$B,[1]Municipios!$D:$D)</f>
        <v>Terra Roxa</v>
      </c>
      <c r="D1588">
        <v>2025</v>
      </c>
      <c r="E1588" t="s">
        <v>233</v>
      </c>
      <c r="F1588">
        <v>1</v>
      </c>
      <c r="G1588">
        <v>79.77</v>
      </c>
    </row>
    <row r="1589" spans="1:7" x14ac:dyDescent="0.25">
      <c r="A1589" t="s">
        <v>581</v>
      </c>
      <c r="B1589" t="str">
        <f>_xlfn.XLOOKUP(A1589,[1]Municipios!$B:$B,[1]Municipios!$C:$C)</f>
        <v>Noroeste</v>
      </c>
      <c r="C1589" t="str">
        <f>_xlfn.XLOOKUP(A1589,[1]Municipios!$B:$B,[1]Municipios!$D:$D)</f>
        <v>Terra Roxa</v>
      </c>
      <c r="D1589">
        <v>2025</v>
      </c>
      <c r="E1589" t="s">
        <v>215</v>
      </c>
      <c r="F1589">
        <v>0.79999999999999993</v>
      </c>
      <c r="G1589">
        <v>79.77</v>
      </c>
    </row>
    <row r="1590" spans="1:7" x14ac:dyDescent="0.25">
      <c r="A1590" t="s">
        <v>581</v>
      </c>
      <c r="B1590" t="str">
        <f>_xlfn.XLOOKUP(A1590,[1]Municipios!$B:$B,[1]Municipios!$C:$C)</f>
        <v>Noroeste</v>
      </c>
      <c r="C1590" t="str">
        <f>_xlfn.XLOOKUP(A1590,[1]Municipios!$B:$B,[1]Municipios!$D:$D)</f>
        <v>Terra Roxa</v>
      </c>
      <c r="D1590">
        <v>2025</v>
      </c>
      <c r="E1590" t="s">
        <v>234</v>
      </c>
      <c r="F1590">
        <v>0.77780000000000005</v>
      </c>
      <c r="G1590">
        <v>79.77</v>
      </c>
    </row>
    <row r="1591" spans="1:7" x14ac:dyDescent="0.25">
      <c r="A1591" t="s">
        <v>581</v>
      </c>
      <c r="B1591" t="str">
        <f>_xlfn.XLOOKUP(A1591,[1]Municipios!$B:$B,[1]Municipios!$C:$C)</f>
        <v>Noroeste</v>
      </c>
      <c r="C1591" t="str">
        <f>_xlfn.XLOOKUP(A1591,[1]Municipios!$B:$B,[1]Municipios!$D:$D)</f>
        <v>Terra Roxa</v>
      </c>
      <c r="D1591">
        <v>2025</v>
      </c>
      <c r="E1591" t="s">
        <v>235</v>
      </c>
      <c r="F1591">
        <v>1</v>
      </c>
      <c r="G1591">
        <v>79.77</v>
      </c>
    </row>
    <row r="1592" spans="1:7" x14ac:dyDescent="0.25">
      <c r="A1592" t="s">
        <v>581</v>
      </c>
      <c r="B1592" t="str">
        <f>_xlfn.XLOOKUP(A1592,[1]Municipios!$B:$B,[1]Municipios!$C:$C)</f>
        <v>Noroeste</v>
      </c>
      <c r="C1592" t="str">
        <f>_xlfn.XLOOKUP(A1592,[1]Municipios!$B:$B,[1]Municipios!$D:$D)</f>
        <v>Terra Roxa</v>
      </c>
      <c r="D1592">
        <v>2025</v>
      </c>
      <c r="E1592" t="s">
        <v>236</v>
      </c>
      <c r="F1592">
        <v>0.46159999999999995</v>
      </c>
      <c r="G1592">
        <v>79.77</v>
      </c>
    </row>
    <row r="1593" spans="1:7" x14ac:dyDescent="0.25">
      <c r="A1593" t="s">
        <v>581</v>
      </c>
      <c r="B1593" t="str">
        <f>_xlfn.XLOOKUP(A1593,[1]Municipios!$B:$B,[1]Municipios!$C:$C)</f>
        <v>Noroeste</v>
      </c>
      <c r="C1593" t="str">
        <f>_xlfn.XLOOKUP(A1593,[1]Municipios!$B:$B,[1]Municipios!$D:$D)</f>
        <v>Terra Roxa</v>
      </c>
      <c r="D1593">
        <v>2025</v>
      </c>
      <c r="E1593" t="s">
        <v>237</v>
      </c>
      <c r="F1593">
        <v>1</v>
      </c>
      <c r="G1593">
        <v>79.77</v>
      </c>
    </row>
    <row r="1594" spans="1:7" x14ac:dyDescent="0.25">
      <c r="A1594" t="s">
        <v>425</v>
      </c>
      <c r="B1594" t="str">
        <f>_xlfn.XLOOKUP(A1594,[1]Municipios!$B:$B,[1]Municipios!$C:$C)</f>
        <v>Noroeste</v>
      </c>
      <c r="C1594" t="str">
        <f>_xlfn.XLOOKUP(A1594,[1]Municipios!$B:$B,[1]Municipios!$D:$D)</f>
        <v>Terra Roxa</v>
      </c>
      <c r="D1594">
        <v>2025</v>
      </c>
      <c r="E1594" t="s">
        <v>231</v>
      </c>
      <c r="F1594">
        <v>0.77779999999999994</v>
      </c>
      <c r="G1594">
        <v>89.41</v>
      </c>
    </row>
    <row r="1595" spans="1:7" x14ac:dyDescent="0.25">
      <c r="A1595" t="s">
        <v>425</v>
      </c>
      <c r="B1595" t="str">
        <f>_xlfn.XLOOKUP(A1595,[1]Municipios!$B:$B,[1]Municipios!$C:$C)</f>
        <v>Noroeste</v>
      </c>
      <c r="C1595" t="str">
        <f>_xlfn.XLOOKUP(A1595,[1]Municipios!$B:$B,[1]Municipios!$D:$D)</f>
        <v>Terra Roxa</v>
      </c>
      <c r="D1595">
        <v>2025</v>
      </c>
      <c r="E1595" t="s">
        <v>232</v>
      </c>
      <c r="F1595">
        <v>0.92310000000000003</v>
      </c>
      <c r="G1595">
        <v>89.41</v>
      </c>
    </row>
    <row r="1596" spans="1:7" x14ac:dyDescent="0.25">
      <c r="A1596" t="s">
        <v>425</v>
      </c>
      <c r="B1596" t="str">
        <f>_xlfn.XLOOKUP(A1596,[1]Municipios!$B:$B,[1]Municipios!$C:$C)</f>
        <v>Noroeste</v>
      </c>
      <c r="C1596" t="str">
        <f>_xlfn.XLOOKUP(A1596,[1]Municipios!$B:$B,[1]Municipios!$D:$D)</f>
        <v>Terra Roxa</v>
      </c>
      <c r="D1596">
        <v>2025</v>
      </c>
      <c r="E1596" t="s">
        <v>233</v>
      </c>
      <c r="F1596">
        <v>1</v>
      </c>
      <c r="G1596">
        <v>89.41</v>
      </c>
    </row>
    <row r="1597" spans="1:7" x14ac:dyDescent="0.25">
      <c r="A1597" t="s">
        <v>425</v>
      </c>
      <c r="B1597" t="str">
        <f>_xlfn.XLOOKUP(A1597,[1]Municipios!$B:$B,[1]Municipios!$C:$C)</f>
        <v>Noroeste</v>
      </c>
      <c r="C1597" t="str">
        <f>_xlfn.XLOOKUP(A1597,[1]Municipios!$B:$B,[1]Municipios!$D:$D)</f>
        <v>Terra Roxa</v>
      </c>
      <c r="D1597">
        <v>2025</v>
      </c>
      <c r="E1597" t="s">
        <v>215</v>
      </c>
      <c r="F1597">
        <v>0.75</v>
      </c>
      <c r="G1597">
        <v>89.41</v>
      </c>
    </row>
    <row r="1598" spans="1:7" x14ac:dyDescent="0.25">
      <c r="A1598" t="s">
        <v>425</v>
      </c>
      <c r="B1598" t="str">
        <f>_xlfn.XLOOKUP(A1598,[1]Municipios!$B:$B,[1]Municipios!$C:$C)</f>
        <v>Noroeste</v>
      </c>
      <c r="C1598" t="str">
        <f>_xlfn.XLOOKUP(A1598,[1]Municipios!$B:$B,[1]Municipios!$D:$D)</f>
        <v>Terra Roxa</v>
      </c>
      <c r="D1598">
        <v>2025</v>
      </c>
      <c r="E1598" t="s">
        <v>234</v>
      </c>
      <c r="F1598">
        <v>1</v>
      </c>
      <c r="G1598">
        <v>89.41</v>
      </c>
    </row>
    <row r="1599" spans="1:7" x14ac:dyDescent="0.25">
      <c r="A1599" t="s">
        <v>425</v>
      </c>
      <c r="B1599" t="str">
        <f>_xlfn.XLOOKUP(A1599,[1]Municipios!$B:$B,[1]Municipios!$C:$C)</f>
        <v>Noroeste</v>
      </c>
      <c r="C1599" t="str">
        <f>_xlfn.XLOOKUP(A1599,[1]Municipios!$B:$B,[1]Municipios!$D:$D)</f>
        <v>Terra Roxa</v>
      </c>
      <c r="D1599">
        <v>2025</v>
      </c>
      <c r="E1599" t="s">
        <v>235</v>
      </c>
      <c r="F1599">
        <v>1</v>
      </c>
      <c r="G1599">
        <v>89.41</v>
      </c>
    </row>
    <row r="1600" spans="1:7" x14ac:dyDescent="0.25">
      <c r="A1600" t="s">
        <v>425</v>
      </c>
      <c r="B1600" t="str">
        <f>_xlfn.XLOOKUP(A1600,[1]Municipios!$B:$B,[1]Municipios!$C:$C)</f>
        <v>Noroeste</v>
      </c>
      <c r="C1600" t="str">
        <f>_xlfn.XLOOKUP(A1600,[1]Municipios!$B:$B,[1]Municipios!$D:$D)</f>
        <v>Terra Roxa</v>
      </c>
      <c r="D1600">
        <v>2025</v>
      </c>
      <c r="E1600" t="s">
        <v>236</v>
      </c>
      <c r="F1600">
        <v>0.69229999999999992</v>
      </c>
      <c r="G1600">
        <v>89.41</v>
      </c>
    </row>
    <row r="1601" spans="1:7" x14ac:dyDescent="0.25">
      <c r="A1601" t="s">
        <v>425</v>
      </c>
      <c r="B1601" t="str">
        <f>_xlfn.XLOOKUP(A1601,[1]Municipios!$B:$B,[1]Municipios!$C:$C)</f>
        <v>Noroeste</v>
      </c>
      <c r="C1601" t="str">
        <f>_xlfn.XLOOKUP(A1601,[1]Municipios!$B:$B,[1]Municipios!$D:$D)</f>
        <v>Terra Roxa</v>
      </c>
      <c r="D1601">
        <v>2025</v>
      </c>
      <c r="E1601" t="s">
        <v>237</v>
      </c>
      <c r="F1601">
        <v>1</v>
      </c>
      <c r="G1601">
        <v>89.41</v>
      </c>
    </row>
    <row r="1602" spans="1:7" x14ac:dyDescent="0.25">
      <c r="A1602" t="s">
        <v>494</v>
      </c>
      <c r="B1602" t="str">
        <f>_xlfn.XLOOKUP(A1602,[1]Municipios!$B:$B,[1]Municipios!$C:$C)</f>
        <v>Leste</v>
      </c>
      <c r="C1602" t="str">
        <f>_xlfn.XLOOKUP(A1602,[1]Municipios!$B:$B,[1]Municipios!$D:$D)</f>
        <v>Gralha Azul</v>
      </c>
      <c r="D1602">
        <v>2025</v>
      </c>
      <c r="E1602" t="s">
        <v>231</v>
      </c>
      <c r="F1602">
        <v>0.55559999999999998</v>
      </c>
      <c r="G1602">
        <v>55.73</v>
      </c>
    </row>
    <row r="1603" spans="1:7" x14ac:dyDescent="0.25">
      <c r="A1603" t="s">
        <v>494</v>
      </c>
      <c r="B1603" t="str">
        <f>_xlfn.XLOOKUP(A1603,[1]Municipios!$B:$B,[1]Municipios!$C:$C)</f>
        <v>Leste</v>
      </c>
      <c r="C1603" t="str">
        <f>_xlfn.XLOOKUP(A1603,[1]Municipios!$B:$B,[1]Municipios!$D:$D)</f>
        <v>Gralha Azul</v>
      </c>
      <c r="D1603">
        <v>2025</v>
      </c>
      <c r="E1603" t="s">
        <v>232</v>
      </c>
      <c r="F1603">
        <v>0.76929999999999998</v>
      </c>
      <c r="G1603">
        <v>55.73</v>
      </c>
    </row>
    <row r="1604" spans="1:7" x14ac:dyDescent="0.25">
      <c r="A1604" t="s">
        <v>494</v>
      </c>
      <c r="B1604" t="str">
        <f>_xlfn.XLOOKUP(A1604,[1]Municipios!$B:$B,[1]Municipios!$C:$C)</f>
        <v>Leste</v>
      </c>
      <c r="C1604" t="str">
        <f>_xlfn.XLOOKUP(A1604,[1]Municipios!$B:$B,[1]Municipios!$D:$D)</f>
        <v>Gralha Azul</v>
      </c>
      <c r="D1604">
        <v>2025</v>
      </c>
      <c r="E1604" t="s">
        <v>233</v>
      </c>
      <c r="F1604">
        <v>0.75</v>
      </c>
      <c r="G1604">
        <v>55.73</v>
      </c>
    </row>
    <row r="1605" spans="1:7" x14ac:dyDescent="0.25">
      <c r="A1605" t="s">
        <v>494</v>
      </c>
      <c r="B1605" t="str">
        <f>_xlfn.XLOOKUP(A1605,[1]Municipios!$B:$B,[1]Municipios!$C:$C)</f>
        <v>Leste</v>
      </c>
      <c r="C1605" t="str">
        <f>_xlfn.XLOOKUP(A1605,[1]Municipios!$B:$B,[1]Municipios!$D:$D)</f>
        <v>Gralha Azul</v>
      </c>
      <c r="D1605">
        <v>2025</v>
      </c>
      <c r="E1605" t="s">
        <v>215</v>
      </c>
      <c r="F1605">
        <v>0</v>
      </c>
      <c r="G1605">
        <v>55.73</v>
      </c>
    </row>
    <row r="1606" spans="1:7" x14ac:dyDescent="0.25">
      <c r="A1606" t="s">
        <v>494</v>
      </c>
      <c r="B1606" t="str">
        <f>_xlfn.XLOOKUP(A1606,[1]Municipios!$B:$B,[1]Municipios!$C:$C)</f>
        <v>Leste</v>
      </c>
      <c r="C1606" t="str">
        <f>_xlfn.XLOOKUP(A1606,[1]Municipios!$B:$B,[1]Municipios!$D:$D)</f>
        <v>Gralha Azul</v>
      </c>
      <c r="D1606">
        <v>2025</v>
      </c>
      <c r="E1606" t="s">
        <v>234</v>
      </c>
      <c r="F1606">
        <v>0.55549999999999999</v>
      </c>
      <c r="G1606">
        <v>55.73</v>
      </c>
    </row>
    <row r="1607" spans="1:7" x14ac:dyDescent="0.25">
      <c r="A1607" t="s">
        <v>494</v>
      </c>
      <c r="B1607" t="str">
        <f>_xlfn.XLOOKUP(A1607,[1]Municipios!$B:$B,[1]Municipios!$C:$C)</f>
        <v>Leste</v>
      </c>
      <c r="C1607" t="str">
        <f>_xlfn.XLOOKUP(A1607,[1]Municipios!$B:$B,[1]Municipios!$D:$D)</f>
        <v>Gralha Azul</v>
      </c>
      <c r="D1607">
        <v>2025</v>
      </c>
      <c r="E1607" t="s">
        <v>235</v>
      </c>
      <c r="F1607">
        <v>0.71439999999999992</v>
      </c>
      <c r="G1607">
        <v>55.73</v>
      </c>
    </row>
    <row r="1608" spans="1:7" x14ac:dyDescent="0.25">
      <c r="A1608" t="s">
        <v>494</v>
      </c>
      <c r="B1608" t="str">
        <f>_xlfn.XLOOKUP(A1608,[1]Municipios!$B:$B,[1]Municipios!$C:$C)</f>
        <v>Leste</v>
      </c>
      <c r="C1608" t="str">
        <f>_xlfn.XLOOKUP(A1608,[1]Municipios!$B:$B,[1]Municipios!$D:$D)</f>
        <v>Gralha Azul</v>
      </c>
      <c r="D1608">
        <v>2025</v>
      </c>
      <c r="E1608" t="s">
        <v>236</v>
      </c>
      <c r="F1608">
        <v>0.154</v>
      </c>
      <c r="G1608">
        <v>55.73</v>
      </c>
    </row>
    <row r="1609" spans="1:7" x14ac:dyDescent="0.25">
      <c r="A1609" t="s">
        <v>494</v>
      </c>
      <c r="B1609" t="str">
        <f>_xlfn.XLOOKUP(A1609,[1]Municipios!$B:$B,[1]Municipios!$C:$C)</f>
        <v>Leste</v>
      </c>
      <c r="C1609" t="str">
        <f>_xlfn.XLOOKUP(A1609,[1]Municipios!$B:$B,[1]Municipios!$D:$D)</f>
        <v>Gralha Azul</v>
      </c>
      <c r="D1609">
        <v>2025</v>
      </c>
      <c r="E1609" t="s">
        <v>237</v>
      </c>
      <c r="F1609">
        <v>1</v>
      </c>
      <c r="G1609">
        <v>55.73</v>
      </c>
    </row>
    <row r="1610" spans="1:7" x14ac:dyDescent="0.25">
      <c r="A1610" t="s">
        <v>387</v>
      </c>
      <c r="B1610" t="str">
        <f>_xlfn.XLOOKUP(A1610,[1]Municipios!$B:$B,[1]Municipios!$C:$C)</f>
        <v>Sul</v>
      </c>
      <c r="C1610" t="str">
        <f>_xlfn.XLOOKUP(A1610,[1]Municipios!$B:$B,[1]Municipios!$D:$D)</f>
        <v>Sudoeste La Frontera</v>
      </c>
      <c r="D1610">
        <v>2025</v>
      </c>
      <c r="E1610" t="s">
        <v>231</v>
      </c>
      <c r="F1610">
        <v>0.11120000000000001</v>
      </c>
      <c r="G1610">
        <v>38.54</v>
      </c>
    </row>
    <row r="1611" spans="1:7" x14ac:dyDescent="0.25">
      <c r="A1611" t="s">
        <v>387</v>
      </c>
      <c r="B1611" t="str">
        <f>_xlfn.XLOOKUP(A1611,[1]Municipios!$B:$B,[1]Municipios!$C:$C)</f>
        <v>Sul</v>
      </c>
      <c r="C1611" t="str">
        <f>_xlfn.XLOOKUP(A1611,[1]Municipios!$B:$B,[1]Municipios!$D:$D)</f>
        <v>Sudoeste La Frontera</v>
      </c>
      <c r="D1611">
        <v>2025</v>
      </c>
      <c r="E1611" t="s">
        <v>232</v>
      </c>
      <c r="F1611">
        <v>0.76929999999999998</v>
      </c>
      <c r="G1611">
        <v>38.54</v>
      </c>
    </row>
    <row r="1612" spans="1:7" x14ac:dyDescent="0.25">
      <c r="A1612" t="s">
        <v>387</v>
      </c>
      <c r="B1612" t="str">
        <f>_xlfn.XLOOKUP(A1612,[1]Municipios!$B:$B,[1]Municipios!$C:$C)</f>
        <v>Sul</v>
      </c>
      <c r="C1612" t="str">
        <f>_xlfn.XLOOKUP(A1612,[1]Municipios!$B:$B,[1]Municipios!$D:$D)</f>
        <v>Sudoeste La Frontera</v>
      </c>
      <c r="D1612">
        <v>2025</v>
      </c>
      <c r="E1612" t="s">
        <v>233</v>
      </c>
      <c r="F1612">
        <v>0.125</v>
      </c>
      <c r="G1612">
        <v>38.54</v>
      </c>
    </row>
    <row r="1613" spans="1:7" x14ac:dyDescent="0.25">
      <c r="A1613" t="s">
        <v>387</v>
      </c>
      <c r="B1613" t="str">
        <f>_xlfn.XLOOKUP(A1613,[1]Municipios!$B:$B,[1]Municipios!$C:$C)</f>
        <v>Sul</v>
      </c>
      <c r="C1613" t="str">
        <f>_xlfn.XLOOKUP(A1613,[1]Municipios!$B:$B,[1]Municipios!$D:$D)</f>
        <v>Sudoeste La Frontera</v>
      </c>
      <c r="D1613">
        <v>2025</v>
      </c>
      <c r="E1613" t="s">
        <v>215</v>
      </c>
      <c r="F1613">
        <v>0.70000000000000007</v>
      </c>
      <c r="G1613">
        <v>38.54</v>
      </c>
    </row>
    <row r="1614" spans="1:7" x14ac:dyDescent="0.25">
      <c r="A1614" t="s">
        <v>387</v>
      </c>
      <c r="B1614" t="str">
        <f>_xlfn.XLOOKUP(A1614,[1]Municipios!$B:$B,[1]Municipios!$C:$C)</f>
        <v>Sul</v>
      </c>
      <c r="C1614" t="str">
        <f>_xlfn.XLOOKUP(A1614,[1]Municipios!$B:$B,[1]Municipios!$D:$D)</f>
        <v>Sudoeste La Frontera</v>
      </c>
      <c r="D1614">
        <v>2025</v>
      </c>
      <c r="E1614" t="s">
        <v>234</v>
      </c>
      <c r="F1614">
        <v>0.55549999999999999</v>
      </c>
      <c r="G1614">
        <v>38.54</v>
      </c>
    </row>
    <row r="1615" spans="1:7" x14ac:dyDescent="0.25">
      <c r="A1615" t="s">
        <v>387</v>
      </c>
      <c r="B1615" t="str">
        <f>_xlfn.XLOOKUP(A1615,[1]Municipios!$B:$B,[1]Municipios!$C:$C)</f>
        <v>Sul</v>
      </c>
      <c r="C1615" t="str">
        <f>_xlfn.XLOOKUP(A1615,[1]Municipios!$B:$B,[1]Municipios!$D:$D)</f>
        <v>Sudoeste La Frontera</v>
      </c>
      <c r="D1615">
        <v>2025</v>
      </c>
      <c r="E1615" t="s">
        <v>235</v>
      </c>
      <c r="F1615">
        <v>0.42869999999999997</v>
      </c>
      <c r="G1615">
        <v>38.54</v>
      </c>
    </row>
    <row r="1616" spans="1:7" x14ac:dyDescent="0.25">
      <c r="A1616" t="s">
        <v>387</v>
      </c>
      <c r="B1616" t="str">
        <f>_xlfn.XLOOKUP(A1616,[1]Municipios!$B:$B,[1]Municipios!$C:$C)</f>
        <v>Sul</v>
      </c>
      <c r="C1616" t="str">
        <f>_xlfn.XLOOKUP(A1616,[1]Municipios!$B:$B,[1]Municipios!$D:$D)</f>
        <v>Sudoeste La Frontera</v>
      </c>
      <c r="D1616">
        <v>2025</v>
      </c>
      <c r="E1616" t="s">
        <v>236</v>
      </c>
      <c r="F1616">
        <v>0</v>
      </c>
      <c r="G1616">
        <v>38.54</v>
      </c>
    </row>
    <row r="1617" spans="1:7" x14ac:dyDescent="0.25">
      <c r="A1617" t="s">
        <v>387</v>
      </c>
      <c r="B1617" t="str">
        <f>_xlfn.XLOOKUP(A1617,[1]Municipios!$B:$B,[1]Municipios!$C:$C)</f>
        <v>Sul</v>
      </c>
      <c r="C1617" t="str">
        <f>_xlfn.XLOOKUP(A1617,[1]Municipios!$B:$B,[1]Municipios!$D:$D)</f>
        <v>Sudoeste La Frontera</v>
      </c>
      <c r="D1617">
        <v>2025</v>
      </c>
      <c r="E1617" t="s">
        <v>237</v>
      </c>
      <c r="F1617">
        <v>0</v>
      </c>
      <c r="G1617">
        <v>38.54</v>
      </c>
    </row>
    <row r="1618" spans="1:7" x14ac:dyDescent="0.25">
      <c r="A1618" t="s">
        <v>255</v>
      </c>
      <c r="B1618" t="str">
        <f>_xlfn.XLOOKUP(A1618,[1]Municipios!$B:$B,[1]Municipios!$C:$C)</f>
        <v>Sul</v>
      </c>
      <c r="C1618" t="str">
        <f>_xlfn.XLOOKUP(A1618,[1]Municipios!$B:$B,[1]Municipios!$D:$D)</f>
        <v>Sudoeste Pioneiro</v>
      </c>
      <c r="D1618">
        <v>2025</v>
      </c>
      <c r="E1618" t="s">
        <v>231</v>
      </c>
      <c r="F1618">
        <v>0.88890000000000002</v>
      </c>
      <c r="G1618">
        <v>82.93</v>
      </c>
    </row>
    <row r="1619" spans="1:7" x14ac:dyDescent="0.25">
      <c r="A1619" t="s">
        <v>255</v>
      </c>
      <c r="B1619" t="str">
        <f>_xlfn.XLOOKUP(A1619,[1]Municipios!$B:$B,[1]Municipios!$C:$C)</f>
        <v>Sul</v>
      </c>
      <c r="C1619" t="str">
        <f>_xlfn.XLOOKUP(A1619,[1]Municipios!$B:$B,[1]Municipios!$D:$D)</f>
        <v>Sudoeste Pioneiro</v>
      </c>
      <c r="D1619">
        <v>2025</v>
      </c>
      <c r="E1619" t="s">
        <v>232</v>
      </c>
      <c r="F1619">
        <v>1</v>
      </c>
      <c r="G1619">
        <v>82.93</v>
      </c>
    </row>
    <row r="1620" spans="1:7" x14ac:dyDescent="0.25">
      <c r="A1620" t="s">
        <v>255</v>
      </c>
      <c r="B1620" t="str">
        <f>_xlfn.XLOOKUP(A1620,[1]Municipios!$B:$B,[1]Municipios!$C:$C)</f>
        <v>Sul</v>
      </c>
      <c r="C1620" t="str">
        <f>_xlfn.XLOOKUP(A1620,[1]Municipios!$B:$B,[1]Municipios!$D:$D)</f>
        <v>Sudoeste Pioneiro</v>
      </c>
      <c r="D1620">
        <v>2025</v>
      </c>
      <c r="E1620" t="s">
        <v>233</v>
      </c>
      <c r="F1620">
        <v>0.75</v>
      </c>
      <c r="G1620">
        <v>82.93</v>
      </c>
    </row>
    <row r="1621" spans="1:7" x14ac:dyDescent="0.25">
      <c r="A1621" t="s">
        <v>255</v>
      </c>
      <c r="B1621" t="str">
        <f>_xlfn.XLOOKUP(A1621,[1]Municipios!$B:$B,[1]Municipios!$C:$C)</f>
        <v>Sul</v>
      </c>
      <c r="C1621" t="str">
        <f>_xlfn.XLOOKUP(A1621,[1]Municipios!$B:$B,[1]Municipios!$D:$D)</f>
        <v>Sudoeste Pioneiro</v>
      </c>
      <c r="D1621">
        <v>2025</v>
      </c>
      <c r="E1621" t="s">
        <v>215</v>
      </c>
      <c r="F1621">
        <v>0.79999999999999993</v>
      </c>
      <c r="G1621">
        <v>82.93</v>
      </c>
    </row>
    <row r="1622" spans="1:7" x14ac:dyDescent="0.25">
      <c r="A1622" t="s">
        <v>255</v>
      </c>
      <c r="B1622" t="str">
        <f>_xlfn.XLOOKUP(A1622,[1]Municipios!$B:$B,[1]Municipios!$C:$C)</f>
        <v>Sul</v>
      </c>
      <c r="C1622" t="str">
        <f>_xlfn.XLOOKUP(A1622,[1]Municipios!$B:$B,[1]Municipios!$D:$D)</f>
        <v>Sudoeste Pioneiro</v>
      </c>
      <c r="D1622">
        <v>2025</v>
      </c>
      <c r="E1622" t="s">
        <v>234</v>
      </c>
      <c r="F1622">
        <v>0.77780000000000005</v>
      </c>
      <c r="G1622">
        <v>82.93</v>
      </c>
    </row>
    <row r="1623" spans="1:7" x14ac:dyDescent="0.25">
      <c r="A1623" t="s">
        <v>255</v>
      </c>
      <c r="B1623" t="str">
        <f>_xlfn.XLOOKUP(A1623,[1]Municipios!$B:$B,[1]Municipios!$C:$C)</f>
        <v>Sul</v>
      </c>
      <c r="C1623" t="str">
        <f>_xlfn.XLOOKUP(A1623,[1]Municipios!$B:$B,[1]Municipios!$D:$D)</f>
        <v>Sudoeste Pioneiro</v>
      </c>
      <c r="D1623">
        <v>2025</v>
      </c>
      <c r="E1623" t="s">
        <v>235</v>
      </c>
      <c r="F1623">
        <v>1</v>
      </c>
      <c r="G1623">
        <v>82.93</v>
      </c>
    </row>
    <row r="1624" spans="1:7" x14ac:dyDescent="0.25">
      <c r="A1624" t="s">
        <v>255</v>
      </c>
      <c r="B1624" t="str">
        <f>_xlfn.XLOOKUP(A1624,[1]Municipios!$B:$B,[1]Municipios!$C:$C)</f>
        <v>Sul</v>
      </c>
      <c r="C1624" t="str">
        <f>_xlfn.XLOOKUP(A1624,[1]Municipios!$B:$B,[1]Municipios!$D:$D)</f>
        <v>Sudoeste Pioneiro</v>
      </c>
      <c r="D1624">
        <v>2025</v>
      </c>
      <c r="E1624" t="s">
        <v>236</v>
      </c>
      <c r="F1624">
        <v>0.30770000000000003</v>
      </c>
      <c r="G1624">
        <v>82.93</v>
      </c>
    </row>
    <row r="1625" spans="1:7" x14ac:dyDescent="0.25">
      <c r="A1625" t="s">
        <v>255</v>
      </c>
      <c r="B1625" t="str">
        <f>_xlfn.XLOOKUP(A1625,[1]Municipios!$B:$B,[1]Municipios!$C:$C)</f>
        <v>Sul</v>
      </c>
      <c r="C1625" t="str">
        <f>_xlfn.XLOOKUP(A1625,[1]Municipios!$B:$B,[1]Municipios!$D:$D)</f>
        <v>Sudoeste Pioneiro</v>
      </c>
      <c r="D1625">
        <v>2025</v>
      </c>
      <c r="E1625" t="s">
        <v>237</v>
      </c>
      <c r="F1625">
        <v>1</v>
      </c>
      <c r="G1625">
        <v>82.93</v>
      </c>
    </row>
    <row r="1626" spans="1:7" x14ac:dyDescent="0.25">
      <c r="A1626" t="s">
        <v>582</v>
      </c>
      <c r="B1626" t="str">
        <f>_xlfn.XLOOKUP(A1626,[1]Municipios!$B:$B,[1]Municipios!$C:$C)</f>
        <v>Centro</v>
      </c>
      <c r="C1626" t="str">
        <f>_xlfn.XLOOKUP(A1626,[1]Municipios!$B:$B,[1]Municipios!$D:$D)</f>
        <v>Paraná Centro</v>
      </c>
      <c r="D1626">
        <v>2025</v>
      </c>
      <c r="E1626" t="s">
        <v>231</v>
      </c>
      <c r="F1626">
        <v>0.77779999999999994</v>
      </c>
      <c r="G1626">
        <v>70.930000000000007</v>
      </c>
    </row>
    <row r="1627" spans="1:7" x14ac:dyDescent="0.25">
      <c r="A1627" t="s">
        <v>582</v>
      </c>
      <c r="B1627" t="str">
        <f>_xlfn.XLOOKUP(A1627,[1]Municipios!$B:$B,[1]Municipios!$C:$C)</f>
        <v>Centro</v>
      </c>
      <c r="C1627" t="str">
        <f>_xlfn.XLOOKUP(A1627,[1]Municipios!$B:$B,[1]Municipios!$D:$D)</f>
        <v>Paraná Centro</v>
      </c>
      <c r="D1627">
        <v>2025</v>
      </c>
      <c r="E1627" t="s">
        <v>232</v>
      </c>
      <c r="F1627">
        <v>0.46150000000000002</v>
      </c>
      <c r="G1627">
        <v>70.930000000000007</v>
      </c>
    </row>
    <row r="1628" spans="1:7" x14ac:dyDescent="0.25">
      <c r="A1628" t="s">
        <v>582</v>
      </c>
      <c r="B1628" t="str">
        <f>_xlfn.XLOOKUP(A1628,[1]Municipios!$B:$B,[1]Municipios!$C:$C)</f>
        <v>Centro</v>
      </c>
      <c r="C1628" t="str">
        <f>_xlfn.XLOOKUP(A1628,[1]Municipios!$B:$B,[1]Municipios!$D:$D)</f>
        <v>Paraná Centro</v>
      </c>
      <c r="D1628">
        <v>2025</v>
      </c>
      <c r="E1628" t="s">
        <v>233</v>
      </c>
      <c r="F1628">
        <v>0.625</v>
      </c>
      <c r="G1628">
        <v>70.930000000000007</v>
      </c>
    </row>
    <row r="1629" spans="1:7" x14ac:dyDescent="0.25">
      <c r="A1629" t="s">
        <v>582</v>
      </c>
      <c r="B1629" t="str">
        <f>_xlfn.XLOOKUP(A1629,[1]Municipios!$B:$B,[1]Municipios!$C:$C)</f>
        <v>Centro</v>
      </c>
      <c r="C1629" t="str">
        <f>_xlfn.XLOOKUP(A1629,[1]Municipios!$B:$B,[1]Municipios!$D:$D)</f>
        <v>Paraná Centro</v>
      </c>
      <c r="D1629">
        <v>2025</v>
      </c>
      <c r="E1629" t="s">
        <v>215</v>
      </c>
      <c r="F1629">
        <v>0.4499999999999999</v>
      </c>
      <c r="G1629">
        <v>70.930000000000007</v>
      </c>
    </row>
    <row r="1630" spans="1:7" x14ac:dyDescent="0.25">
      <c r="A1630" t="s">
        <v>582</v>
      </c>
      <c r="B1630" t="str">
        <f>_xlfn.XLOOKUP(A1630,[1]Municipios!$B:$B,[1]Municipios!$C:$C)</f>
        <v>Centro</v>
      </c>
      <c r="C1630" t="str">
        <f>_xlfn.XLOOKUP(A1630,[1]Municipios!$B:$B,[1]Municipios!$D:$D)</f>
        <v>Paraná Centro</v>
      </c>
      <c r="D1630">
        <v>2025</v>
      </c>
      <c r="E1630" t="s">
        <v>234</v>
      </c>
      <c r="F1630">
        <v>0.77780000000000005</v>
      </c>
      <c r="G1630">
        <v>70.930000000000007</v>
      </c>
    </row>
    <row r="1631" spans="1:7" x14ac:dyDescent="0.25">
      <c r="A1631" t="s">
        <v>582</v>
      </c>
      <c r="B1631" t="str">
        <f>_xlfn.XLOOKUP(A1631,[1]Municipios!$B:$B,[1]Municipios!$C:$C)</f>
        <v>Centro</v>
      </c>
      <c r="C1631" t="str">
        <f>_xlfn.XLOOKUP(A1631,[1]Municipios!$B:$B,[1]Municipios!$D:$D)</f>
        <v>Paraná Centro</v>
      </c>
      <c r="D1631">
        <v>2025</v>
      </c>
      <c r="E1631" t="s">
        <v>235</v>
      </c>
      <c r="F1631">
        <v>1</v>
      </c>
      <c r="G1631">
        <v>70.930000000000007</v>
      </c>
    </row>
    <row r="1632" spans="1:7" x14ac:dyDescent="0.25">
      <c r="A1632" t="s">
        <v>582</v>
      </c>
      <c r="B1632" t="str">
        <f>_xlfn.XLOOKUP(A1632,[1]Municipios!$B:$B,[1]Municipios!$C:$C)</f>
        <v>Centro</v>
      </c>
      <c r="C1632" t="str">
        <f>_xlfn.XLOOKUP(A1632,[1]Municipios!$B:$B,[1]Municipios!$D:$D)</f>
        <v>Paraná Centro</v>
      </c>
      <c r="D1632">
        <v>2025</v>
      </c>
      <c r="E1632" t="s">
        <v>236</v>
      </c>
      <c r="F1632">
        <v>0.53849999999999987</v>
      </c>
      <c r="G1632">
        <v>70.930000000000007</v>
      </c>
    </row>
    <row r="1633" spans="1:7" x14ac:dyDescent="0.25">
      <c r="A1633" t="s">
        <v>582</v>
      </c>
      <c r="B1633" t="str">
        <f>_xlfn.XLOOKUP(A1633,[1]Municipios!$B:$B,[1]Municipios!$C:$C)</f>
        <v>Centro</v>
      </c>
      <c r="C1633" t="str">
        <f>_xlfn.XLOOKUP(A1633,[1]Municipios!$B:$B,[1]Municipios!$D:$D)</f>
        <v>Paraná Centro</v>
      </c>
      <c r="D1633">
        <v>2025</v>
      </c>
      <c r="E1633" t="s">
        <v>237</v>
      </c>
      <c r="F1633">
        <v>1</v>
      </c>
      <c r="G1633">
        <v>70.930000000000007</v>
      </c>
    </row>
    <row r="1634" spans="1:7" x14ac:dyDescent="0.25">
      <c r="A1634" t="s">
        <v>448</v>
      </c>
      <c r="B1634" t="str">
        <f>_xlfn.XLOOKUP(A1634,[1]Municipios!$B:$B,[1]Municipios!$C:$C)</f>
        <v>Oeste</v>
      </c>
      <c r="C1634" t="str">
        <f>_xlfn.XLOOKUP(A1634,[1]Municipios!$B:$B,[1]Municipios!$D:$D)</f>
        <v>Oeste Integrado</v>
      </c>
      <c r="D1634">
        <v>2025</v>
      </c>
      <c r="E1634" t="s">
        <v>231</v>
      </c>
      <c r="F1634">
        <v>0.88890000000000002</v>
      </c>
      <c r="G1634">
        <v>83.89</v>
      </c>
    </row>
    <row r="1635" spans="1:7" x14ac:dyDescent="0.25">
      <c r="A1635" t="s">
        <v>448</v>
      </c>
      <c r="B1635" t="str">
        <f>_xlfn.XLOOKUP(A1635,[1]Municipios!$B:$B,[1]Municipios!$C:$C)</f>
        <v>Oeste</v>
      </c>
      <c r="C1635" t="str">
        <f>_xlfn.XLOOKUP(A1635,[1]Municipios!$B:$B,[1]Municipios!$D:$D)</f>
        <v>Oeste Integrado</v>
      </c>
      <c r="D1635">
        <v>2025</v>
      </c>
      <c r="E1635" t="s">
        <v>232</v>
      </c>
      <c r="F1635">
        <v>0.84619999999999995</v>
      </c>
      <c r="G1635">
        <v>83.89</v>
      </c>
    </row>
    <row r="1636" spans="1:7" x14ac:dyDescent="0.25">
      <c r="A1636" t="s">
        <v>448</v>
      </c>
      <c r="B1636" t="str">
        <f>_xlfn.XLOOKUP(A1636,[1]Municipios!$B:$B,[1]Municipios!$C:$C)</f>
        <v>Oeste</v>
      </c>
      <c r="C1636" t="str">
        <f>_xlfn.XLOOKUP(A1636,[1]Municipios!$B:$B,[1]Municipios!$D:$D)</f>
        <v>Oeste Integrado</v>
      </c>
      <c r="D1636">
        <v>2025</v>
      </c>
      <c r="E1636" t="s">
        <v>233</v>
      </c>
      <c r="F1636">
        <v>1</v>
      </c>
      <c r="G1636">
        <v>83.89</v>
      </c>
    </row>
    <row r="1637" spans="1:7" x14ac:dyDescent="0.25">
      <c r="A1637" t="s">
        <v>448</v>
      </c>
      <c r="B1637" t="str">
        <f>_xlfn.XLOOKUP(A1637,[1]Municipios!$B:$B,[1]Municipios!$C:$C)</f>
        <v>Oeste</v>
      </c>
      <c r="C1637" t="str">
        <f>_xlfn.XLOOKUP(A1637,[1]Municipios!$B:$B,[1]Municipios!$D:$D)</f>
        <v>Oeste Integrado</v>
      </c>
      <c r="D1637">
        <v>2025</v>
      </c>
      <c r="E1637" t="s">
        <v>215</v>
      </c>
      <c r="F1637">
        <v>0.75</v>
      </c>
      <c r="G1637">
        <v>83.89</v>
      </c>
    </row>
    <row r="1638" spans="1:7" x14ac:dyDescent="0.25">
      <c r="A1638" t="s">
        <v>448</v>
      </c>
      <c r="B1638" t="str">
        <f>_xlfn.XLOOKUP(A1638,[1]Municipios!$B:$B,[1]Municipios!$C:$C)</f>
        <v>Oeste</v>
      </c>
      <c r="C1638" t="str">
        <f>_xlfn.XLOOKUP(A1638,[1]Municipios!$B:$B,[1]Municipios!$D:$D)</f>
        <v>Oeste Integrado</v>
      </c>
      <c r="D1638">
        <v>2025</v>
      </c>
      <c r="E1638" t="s">
        <v>234</v>
      </c>
      <c r="F1638">
        <v>0.77780000000000005</v>
      </c>
      <c r="G1638">
        <v>83.89</v>
      </c>
    </row>
    <row r="1639" spans="1:7" x14ac:dyDescent="0.25">
      <c r="A1639" t="s">
        <v>448</v>
      </c>
      <c r="B1639" t="str">
        <f>_xlfn.XLOOKUP(A1639,[1]Municipios!$B:$B,[1]Municipios!$C:$C)</f>
        <v>Oeste</v>
      </c>
      <c r="C1639" t="str">
        <f>_xlfn.XLOOKUP(A1639,[1]Municipios!$B:$B,[1]Municipios!$D:$D)</f>
        <v>Oeste Integrado</v>
      </c>
      <c r="D1639">
        <v>2025</v>
      </c>
      <c r="E1639" t="s">
        <v>235</v>
      </c>
      <c r="F1639">
        <v>1</v>
      </c>
      <c r="G1639">
        <v>83.89</v>
      </c>
    </row>
    <row r="1640" spans="1:7" x14ac:dyDescent="0.25">
      <c r="A1640" t="s">
        <v>448</v>
      </c>
      <c r="B1640" t="str">
        <f>_xlfn.XLOOKUP(A1640,[1]Municipios!$B:$B,[1]Municipios!$C:$C)</f>
        <v>Oeste</v>
      </c>
      <c r="C1640" t="str">
        <f>_xlfn.XLOOKUP(A1640,[1]Municipios!$B:$B,[1]Municipios!$D:$D)</f>
        <v>Oeste Integrado</v>
      </c>
      <c r="D1640">
        <v>2025</v>
      </c>
      <c r="E1640" t="s">
        <v>236</v>
      </c>
      <c r="F1640">
        <v>0.53849999999999987</v>
      </c>
      <c r="G1640">
        <v>83.89</v>
      </c>
    </row>
    <row r="1641" spans="1:7" x14ac:dyDescent="0.25">
      <c r="A1641" t="s">
        <v>448</v>
      </c>
      <c r="B1641" t="str">
        <f>_xlfn.XLOOKUP(A1641,[1]Municipios!$B:$B,[1]Municipios!$C:$C)</f>
        <v>Oeste</v>
      </c>
      <c r="C1641" t="str">
        <f>_xlfn.XLOOKUP(A1641,[1]Municipios!$B:$B,[1]Municipios!$D:$D)</f>
        <v>Oeste Integrado</v>
      </c>
      <c r="D1641">
        <v>2025</v>
      </c>
      <c r="E1641" t="s">
        <v>237</v>
      </c>
      <c r="F1641">
        <v>1</v>
      </c>
      <c r="G1641">
        <v>83.89</v>
      </c>
    </row>
    <row r="1642" spans="1:7" x14ac:dyDescent="0.25">
      <c r="A1642" t="s">
        <v>307</v>
      </c>
      <c r="B1642" t="str">
        <f>_xlfn.XLOOKUP(A1642,[1]Municipios!$B:$B,[1]Municipios!$C:$C)</f>
        <v>Noroeste</v>
      </c>
      <c r="C1642" t="str">
        <f>_xlfn.XLOOKUP(A1642,[1]Municipios!$B:$B,[1]Municipios!$D:$D)</f>
        <v>Arenito-Caiuá</v>
      </c>
      <c r="D1642">
        <v>2025</v>
      </c>
      <c r="E1642" t="s">
        <v>231</v>
      </c>
      <c r="F1642">
        <v>0.44439999999999996</v>
      </c>
      <c r="G1642">
        <v>65.989999999999995</v>
      </c>
    </row>
    <row r="1643" spans="1:7" x14ac:dyDescent="0.25">
      <c r="A1643" t="s">
        <v>307</v>
      </c>
      <c r="B1643" t="str">
        <f>_xlfn.XLOOKUP(A1643,[1]Municipios!$B:$B,[1]Municipios!$C:$C)</f>
        <v>Noroeste</v>
      </c>
      <c r="C1643" t="str">
        <f>_xlfn.XLOOKUP(A1643,[1]Municipios!$B:$B,[1]Municipios!$D:$D)</f>
        <v>Arenito-Caiuá</v>
      </c>
      <c r="D1643">
        <v>2025</v>
      </c>
      <c r="E1643" t="s">
        <v>232</v>
      </c>
      <c r="F1643">
        <v>0.92310000000000003</v>
      </c>
      <c r="G1643">
        <v>65.989999999999995</v>
      </c>
    </row>
    <row r="1644" spans="1:7" x14ac:dyDescent="0.25">
      <c r="A1644" t="s">
        <v>307</v>
      </c>
      <c r="B1644" t="str">
        <f>_xlfn.XLOOKUP(A1644,[1]Municipios!$B:$B,[1]Municipios!$C:$C)</f>
        <v>Noroeste</v>
      </c>
      <c r="C1644" t="str">
        <f>_xlfn.XLOOKUP(A1644,[1]Municipios!$B:$B,[1]Municipios!$D:$D)</f>
        <v>Arenito-Caiuá</v>
      </c>
      <c r="D1644">
        <v>2025</v>
      </c>
      <c r="E1644" t="s">
        <v>233</v>
      </c>
      <c r="F1644">
        <v>0.5</v>
      </c>
      <c r="G1644">
        <v>65.989999999999995</v>
      </c>
    </row>
    <row r="1645" spans="1:7" x14ac:dyDescent="0.25">
      <c r="A1645" t="s">
        <v>307</v>
      </c>
      <c r="B1645" t="str">
        <f>_xlfn.XLOOKUP(A1645,[1]Municipios!$B:$B,[1]Municipios!$C:$C)</f>
        <v>Noroeste</v>
      </c>
      <c r="C1645" t="str">
        <f>_xlfn.XLOOKUP(A1645,[1]Municipios!$B:$B,[1]Municipios!$D:$D)</f>
        <v>Arenito-Caiuá</v>
      </c>
      <c r="D1645">
        <v>2025</v>
      </c>
      <c r="E1645" t="s">
        <v>215</v>
      </c>
      <c r="F1645">
        <v>0.75</v>
      </c>
      <c r="G1645">
        <v>65.989999999999995</v>
      </c>
    </row>
    <row r="1646" spans="1:7" x14ac:dyDescent="0.25">
      <c r="A1646" t="s">
        <v>307</v>
      </c>
      <c r="B1646" t="str">
        <f>_xlfn.XLOOKUP(A1646,[1]Municipios!$B:$B,[1]Municipios!$C:$C)</f>
        <v>Noroeste</v>
      </c>
      <c r="C1646" t="str">
        <f>_xlfn.XLOOKUP(A1646,[1]Municipios!$B:$B,[1]Municipios!$D:$D)</f>
        <v>Arenito-Caiuá</v>
      </c>
      <c r="D1646">
        <v>2025</v>
      </c>
      <c r="E1646" t="s">
        <v>234</v>
      </c>
      <c r="F1646">
        <v>0.88890000000000002</v>
      </c>
      <c r="G1646">
        <v>65.989999999999995</v>
      </c>
    </row>
    <row r="1647" spans="1:7" x14ac:dyDescent="0.25">
      <c r="A1647" t="s">
        <v>307</v>
      </c>
      <c r="B1647" t="str">
        <f>_xlfn.XLOOKUP(A1647,[1]Municipios!$B:$B,[1]Municipios!$C:$C)</f>
        <v>Noroeste</v>
      </c>
      <c r="C1647" t="str">
        <f>_xlfn.XLOOKUP(A1647,[1]Municipios!$B:$B,[1]Municipios!$D:$D)</f>
        <v>Arenito-Caiuá</v>
      </c>
      <c r="D1647">
        <v>2025</v>
      </c>
      <c r="E1647" t="s">
        <v>235</v>
      </c>
      <c r="F1647">
        <v>0.85720000000000007</v>
      </c>
      <c r="G1647">
        <v>65.989999999999995</v>
      </c>
    </row>
    <row r="1648" spans="1:7" x14ac:dyDescent="0.25">
      <c r="A1648" t="s">
        <v>307</v>
      </c>
      <c r="B1648" t="str">
        <f>_xlfn.XLOOKUP(A1648,[1]Municipios!$B:$B,[1]Municipios!$C:$C)</f>
        <v>Noroeste</v>
      </c>
      <c r="C1648" t="str">
        <f>_xlfn.XLOOKUP(A1648,[1]Municipios!$B:$B,[1]Municipios!$D:$D)</f>
        <v>Arenito-Caiuá</v>
      </c>
      <c r="D1648">
        <v>2025</v>
      </c>
      <c r="E1648" t="s">
        <v>236</v>
      </c>
      <c r="F1648">
        <v>7.690000000000001E-2</v>
      </c>
      <c r="G1648">
        <v>65.989999999999995</v>
      </c>
    </row>
    <row r="1649" spans="1:7" x14ac:dyDescent="0.25">
      <c r="A1649" t="s">
        <v>307</v>
      </c>
      <c r="B1649" t="str">
        <f>_xlfn.XLOOKUP(A1649,[1]Municipios!$B:$B,[1]Municipios!$C:$C)</f>
        <v>Noroeste</v>
      </c>
      <c r="C1649" t="str">
        <f>_xlfn.XLOOKUP(A1649,[1]Municipios!$B:$B,[1]Municipios!$D:$D)</f>
        <v>Arenito-Caiuá</v>
      </c>
      <c r="D1649">
        <v>2025</v>
      </c>
      <c r="E1649" t="s">
        <v>237</v>
      </c>
      <c r="F1649">
        <v>0.5</v>
      </c>
      <c r="G1649">
        <v>65.989999999999995</v>
      </c>
    </row>
    <row r="1650" spans="1:7" x14ac:dyDescent="0.25">
      <c r="A1650" t="s">
        <v>426</v>
      </c>
      <c r="B1650" t="str">
        <f>_xlfn.XLOOKUP(A1650,[1]Municipios!$B:$B,[1]Municipios!$C:$C)</f>
        <v>Noroeste</v>
      </c>
      <c r="C1650" t="str">
        <f>_xlfn.XLOOKUP(A1650,[1]Municipios!$B:$B,[1]Municipios!$D:$D)</f>
        <v>Terra Roxa</v>
      </c>
      <c r="D1650">
        <v>2025</v>
      </c>
      <c r="E1650" t="s">
        <v>231</v>
      </c>
      <c r="F1650">
        <v>0.88890000000000002</v>
      </c>
      <c r="G1650">
        <v>82.29</v>
      </c>
    </row>
    <row r="1651" spans="1:7" x14ac:dyDescent="0.25">
      <c r="A1651" t="s">
        <v>426</v>
      </c>
      <c r="B1651" t="str">
        <f>_xlfn.XLOOKUP(A1651,[1]Municipios!$B:$B,[1]Municipios!$C:$C)</f>
        <v>Noroeste</v>
      </c>
      <c r="C1651" t="str">
        <f>_xlfn.XLOOKUP(A1651,[1]Municipios!$B:$B,[1]Municipios!$D:$D)</f>
        <v>Terra Roxa</v>
      </c>
      <c r="D1651">
        <v>2025</v>
      </c>
      <c r="E1651" t="s">
        <v>232</v>
      </c>
      <c r="F1651">
        <v>1</v>
      </c>
      <c r="G1651">
        <v>82.29</v>
      </c>
    </row>
    <row r="1652" spans="1:7" x14ac:dyDescent="0.25">
      <c r="A1652" t="s">
        <v>426</v>
      </c>
      <c r="B1652" t="str">
        <f>_xlfn.XLOOKUP(A1652,[1]Municipios!$B:$B,[1]Municipios!$C:$C)</f>
        <v>Noroeste</v>
      </c>
      <c r="C1652" t="str">
        <f>_xlfn.XLOOKUP(A1652,[1]Municipios!$B:$B,[1]Municipios!$D:$D)</f>
        <v>Terra Roxa</v>
      </c>
      <c r="D1652">
        <v>2025</v>
      </c>
      <c r="E1652" t="s">
        <v>233</v>
      </c>
      <c r="F1652">
        <v>1</v>
      </c>
      <c r="G1652">
        <v>82.29</v>
      </c>
    </row>
    <row r="1653" spans="1:7" x14ac:dyDescent="0.25">
      <c r="A1653" t="s">
        <v>426</v>
      </c>
      <c r="B1653" t="str">
        <f>_xlfn.XLOOKUP(A1653,[1]Municipios!$B:$B,[1]Municipios!$C:$C)</f>
        <v>Noroeste</v>
      </c>
      <c r="C1653" t="str">
        <f>_xlfn.XLOOKUP(A1653,[1]Municipios!$B:$B,[1]Municipios!$D:$D)</f>
        <v>Terra Roxa</v>
      </c>
      <c r="D1653">
        <v>2025</v>
      </c>
      <c r="E1653" t="s">
        <v>215</v>
      </c>
      <c r="F1653">
        <v>0.79999999999999993</v>
      </c>
      <c r="G1653">
        <v>82.29</v>
      </c>
    </row>
    <row r="1654" spans="1:7" x14ac:dyDescent="0.25">
      <c r="A1654" t="s">
        <v>426</v>
      </c>
      <c r="B1654" t="str">
        <f>_xlfn.XLOOKUP(A1654,[1]Municipios!$B:$B,[1]Municipios!$C:$C)</f>
        <v>Noroeste</v>
      </c>
      <c r="C1654" t="str">
        <f>_xlfn.XLOOKUP(A1654,[1]Municipios!$B:$B,[1]Municipios!$D:$D)</f>
        <v>Terra Roxa</v>
      </c>
      <c r="D1654">
        <v>2025</v>
      </c>
      <c r="E1654" t="s">
        <v>234</v>
      </c>
      <c r="F1654">
        <v>0.66669999999999996</v>
      </c>
      <c r="G1654">
        <v>82.29</v>
      </c>
    </row>
    <row r="1655" spans="1:7" x14ac:dyDescent="0.25">
      <c r="A1655" t="s">
        <v>426</v>
      </c>
      <c r="B1655" t="str">
        <f>_xlfn.XLOOKUP(A1655,[1]Municipios!$B:$B,[1]Municipios!$C:$C)</f>
        <v>Noroeste</v>
      </c>
      <c r="C1655" t="str">
        <f>_xlfn.XLOOKUP(A1655,[1]Municipios!$B:$B,[1]Municipios!$D:$D)</f>
        <v>Terra Roxa</v>
      </c>
      <c r="D1655">
        <v>2025</v>
      </c>
      <c r="E1655" t="s">
        <v>235</v>
      </c>
      <c r="F1655">
        <v>1</v>
      </c>
      <c r="G1655">
        <v>82.29</v>
      </c>
    </row>
    <row r="1656" spans="1:7" x14ac:dyDescent="0.25">
      <c r="A1656" t="s">
        <v>426</v>
      </c>
      <c r="B1656" t="str">
        <f>_xlfn.XLOOKUP(A1656,[1]Municipios!$B:$B,[1]Municipios!$C:$C)</f>
        <v>Noroeste</v>
      </c>
      <c r="C1656" t="str">
        <f>_xlfn.XLOOKUP(A1656,[1]Municipios!$B:$B,[1]Municipios!$D:$D)</f>
        <v>Terra Roxa</v>
      </c>
      <c r="D1656">
        <v>2025</v>
      </c>
      <c r="E1656" t="s">
        <v>236</v>
      </c>
      <c r="F1656">
        <v>0.30770000000000003</v>
      </c>
      <c r="G1656">
        <v>82.29</v>
      </c>
    </row>
    <row r="1657" spans="1:7" x14ac:dyDescent="0.25">
      <c r="A1657" t="s">
        <v>426</v>
      </c>
      <c r="B1657" t="str">
        <f>_xlfn.XLOOKUP(A1657,[1]Municipios!$B:$B,[1]Municipios!$C:$C)</f>
        <v>Noroeste</v>
      </c>
      <c r="C1657" t="str">
        <f>_xlfn.XLOOKUP(A1657,[1]Municipios!$B:$B,[1]Municipios!$D:$D)</f>
        <v>Terra Roxa</v>
      </c>
      <c r="D1657">
        <v>2025</v>
      </c>
      <c r="E1657" t="s">
        <v>237</v>
      </c>
      <c r="F1657">
        <v>1</v>
      </c>
      <c r="G1657">
        <v>82.29</v>
      </c>
    </row>
    <row r="1658" spans="1:7" x14ac:dyDescent="0.25">
      <c r="A1658" t="s">
        <v>515</v>
      </c>
      <c r="B1658" t="str">
        <f>_xlfn.XLOOKUP(A1658,[1]Municipios!$B:$B,[1]Municipios!$C:$C)</f>
        <v>Norte</v>
      </c>
      <c r="C1658" t="str">
        <f>_xlfn.XLOOKUP(A1658,[1]Municipios!$B:$B,[1]Municipios!$D:$D)</f>
        <v>Vale Do Ivaí</v>
      </c>
      <c r="D1658">
        <v>2025</v>
      </c>
      <c r="E1658" t="s">
        <v>231</v>
      </c>
      <c r="F1658">
        <v>0.77779999999999994</v>
      </c>
      <c r="G1658">
        <v>55.74</v>
      </c>
    </row>
    <row r="1659" spans="1:7" x14ac:dyDescent="0.25">
      <c r="A1659" t="s">
        <v>515</v>
      </c>
      <c r="B1659" t="str">
        <f>_xlfn.XLOOKUP(A1659,[1]Municipios!$B:$B,[1]Municipios!$C:$C)</f>
        <v>Norte</v>
      </c>
      <c r="C1659" t="str">
        <f>_xlfn.XLOOKUP(A1659,[1]Municipios!$B:$B,[1]Municipios!$D:$D)</f>
        <v>Vale Do Ivaí</v>
      </c>
      <c r="D1659">
        <v>2025</v>
      </c>
      <c r="E1659" t="s">
        <v>232</v>
      </c>
      <c r="F1659">
        <v>0.84619999999999995</v>
      </c>
      <c r="G1659">
        <v>55.74</v>
      </c>
    </row>
    <row r="1660" spans="1:7" x14ac:dyDescent="0.25">
      <c r="A1660" t="s">
        <v>515</v>
      </c>
      <c r="B1660" t="str">
        <f>_xlfn.XLOOKUP(A1660,[1]Municipios!$B:$B,[1]Municipios!$C:$C)</f>
        <v>Norte</v>
      </c>
      <c r="C1660" t="str">
        <f>_xlfn.XLOOKUP(A1660,[1]Municipios!$B:$B,[1]Municipios!$D:$D)</f>
        <v>Vale Do Ivaí</v>
      </c>
      <c r="D1660">
        <v>2025</v>
      </c>
      <c r="E1660" t="s">
        <v>233</v>
      </c>
      <c r="F1660">
        <v>0.5</v>
      </c>
      <c r="G1660">
        <v>55.74</v>
      </c>
    </row>
    <row r="1661" spans="1:7" x14ac:dyDescent="0.25">
      <c r="A1661" t="s">
        <v>515</v>
      </c>
      <c r="B1661" t="str">
        <f>_xlfn.XLOOKUP(A1661,[1]Municipios!$B:$B,[1]Municipios!$C:$C)</f>
        <v>Norte</v>
      </c>
      <c r="C1661" t="str">
        <f>_xlfn.XLOOKUP(A1661,[1]Municipios!$B:$B,[1]Municipios!$D:$D)</f>
        <v>Vale Do Ivaí</v>
      </c>
      <c r="D1661">
        <v>2025</v>
      </c>
      <c r="E1661" t="s">
        <v>215</v>
      </c>
      <c r="F1661">
        <v>0.9</v>
      </c>
      <c r="G1661">
        <v>55.74</v>
      </c>
    </row>
    <row r="1662" spans="1:7" x14ac:dyDescent="0.25">
      <c r="A1662" t="s">
        <v>515</v>
      </c>
      <c r="B1662" t="str">
        <f>_xlfn.XLOOKUP(A1662,[1]Municipios!$B:$B,[1]Municipios!$C:$C)</f>
        <v>Norte</v>
      </c>
      <c r="C1662" t="str">
        <f>_xlfn.XLOOKUP(A1662,[1]Municipios!$B:$B,[1]Municipios!$D:$D)</f>
        <v>Vale Do Ivaí</v>
      </c>
      <c r="D1662">
        <v>2025</v>
      </c>
      <c r="E1662" t="s">
        <v>234</v>
      </c>
      <c r="F1662">
        <v>0.55549999999999999</v>
      </c>
      <c r="G1662">
        <v>55.74</v>
      </c>
    </row>
    <row r="1663" spans="1:7" x14ac:dyDescent="0.25">
      <c r="A1663" t="s">
        <v>515</v>
      </c>
      <c r="B1663" t="str">
        <f>_xlfn.XLOOKUP(A1663,[1]Municipios!$B:$B,[1]Municipios!$C:$C)</f>
        <v>Norte</v>
      </c>
      <c r="C1663" t="str">
        <f>_xlfn.XLOOKUP(A1663,[1]Municipios!$B:$B,[1]Municipios!$D:$D)</f>
        <v>Vale Do Ivaí</v>
      </c>
      <c r="D1663">
        <v>2025</v>
      </c>
      <c r="E1663" t="s">
        <v>235</v>
      </c>
      <c r="F1663">
        <v>0.42849999999999999</v>
      </c>
      <c r="G1663">
        <v>55.74</v>
      </c>
    </row>
    <row r="1664" spans="1:7" x14ac:dyDescent="0.25">
      <c r="A1664" t="s">
        <v>515</v>
      </c>
      <c r="B1664" t="str">
        <f>_xlfn.XLOOKUP(A1664,[1]Municipios!$B:$B,[1]Municipios!$C:$C)</f>
        <v>Norte</v>
      </c>
      <c r="C1664" t="str">
        <f>_xlfn.XLOOKUP(A1664,[1]Municipios!$B:$B,[1]Municipios!$D:$D)</f>
        <v>Vale Do Ivaí</v>
      </c>
      <c r="D1664">
        <v>2025</v>
      </c>
      <c r="E1664" t="s">
        <v>236</v>
      </c>
      <c r="F1664">
        <v>0.30770000000000003</v>
      </c>
      <c r="G1664">
        <v>55.74</v>
      </c>
    </row>
    <row r="1665" spans="1:7" x14ac:dyDescent="0.25">
      <c r="A1665" t="s">
        <v>515</v>
      </c>
      <c r="B1665" t="str">
        <f>_xlfn.XLOOKUP(A1665,[1]Municipios!$B:$B,[1]Municipios!$C:$C)</f>
        <v>Norte</v>
      </c>
      <c r="C1665" t="str">
        <f>_xlfn.XLOOKUP(A1665,[1]Municipios!$B:$B,[1]Municipios!$D:$D)</f>
        <v>Vale Do Ivaí</v>
      </c>
      <c r="D1665">
        <v>2025</v>
      </c>
      <c r="E1665" t="s">
        <v>237</v>
      </c>
      <c r="F1665">
        <v>0</v>
      </c>
      <c r="G1665">
        <v>55.74</v>
      </c>
    </row>
    <row r="1666" spans="1:7" x14ac:dyDescent="0.25">
      <c r="A1666" t="s">
        <v>583</v>
      </c>
      <c r="B1666" t="str">
        <f>_xlfn.XLOOKUP(A1666,[1]Municipios!$B:$B,[1]Municipios!$C:$C)</f>
        <v>Noroeste</v>
      </c>
      <c r="C1666" t="str">
        <f>_xlfn.XLOOKUP(A1666,[1]Municipios!$B:$B,[1]Municipios!$D:$D)</f>
        <v>Costa Noroeste</v>
      </c>
      <c r="D1666">
        <v>2025</v>
      </c>
      <c r="E1666" t="s">
        <v>231</v>
      </c>
      <c r="F1666">
        <v>0.22219999999999998</v>
      </c>
      <c r="G1666">
        <v>0</v>
      </c>
    </row>
    <row r="1667" spans="1:7" x14ac:dyDescent="0.25">
      <c r="A1667" t="s">
        <v>583</v>
      </c>
      <c r="B1667" t="str">
        <f>_xlfn.XLOOKUP(A1667,[1]Municipios!$B:$B,[1]Municipios!$C:$C)</f>
        <v>Noroeste</v>
      </c>
      <c r="C1667" t="str">
        <f>_xlfn.XLOOKUP(A1667,[1]Municipios!$B:$B,[1]Municipios!$D:$D)</f>
        <v>Costa Noroeste</v>
      </c>
      <c r="D1667">
        <v>2025</v>
      </c>
      <c r="E1667" t="s">
        <v>232</v>
      </c>
      <c r="F1667">
        <v>0.30760000000000004</v>
      </c>
      <c r="G1667">
        <v>0</v>
      </c>
    </row>
    <row r="1668" spans="1:7" x14ac:dyDescent="0.25">
      <c r="A1668" t="s">
        <v>583</v>
      </c>
      <c r="B1668" t="str">
        <f>_xlfn.XLOOKUP(A1668,[1]Municipios!$B:$B,[1]Municipios!$C:$C)</f>
        <v>Noroeste</v>
      </c>
      <c r="C1668" t="str">
        <f>_xlfn.XLOOKUP(A1668,[1]Municipios!$B:$B,[1]Municipios!$D:$D)</f>
        <v>Costa Noroeste</v>
      </c>
      <c r="D1668">
        <v>2025</v>
      </c>
      <c r="E1668" t="s">
        <v>233</v>
      </c>
      <c r="F1668">
        <v>0.125</v>
      </c>
      <c r="G1668">
        <v>0</v>
      </c>
    </row>
    <row r="1669" spans="1:7" x14ac:dyDescent="0.25">
      <c r="A1669" t="s">
        <v>583</v>
      </c>
      <c r="B1669" t="str">
        <f>_xlfn.XLOOKUP(A1669,[1]Municipios!$B:$B,[1]Municipios!$C:$C)</f>
        <v>Noroeste</v>
      </c>
      <c r="C1669" t="str">
        <f>_xlfn.XLOOKUP(A1669,[1]Municipios!$B:$B,[1]Municipios!$D:$D)</f>
        <v>Costa Noroeste</v>
      </c>
      <c r="D1669">
        <v>2025</v>
      </c>
      <c r="E1669" t="s">
        <v>215</v>
      </c>
      <c r="F1669">
        <v>0</v>
      </c>
      <c r="G1669">
        <v>0</v>
      </c>
    </row>
    <row r="1670" spans="1:7" x14ac:dyDescent="0.25">
      <c r="A1670" t="s">
        <v>583</v>
      </c>
      <c r="B1670" t="str">
        <f>_xlfn.XLOOKUP(A1670,[1]Municipios!$B:$B,[1]Municipios!$C:$C)</f>
        <v>Noroeste</v>
      </c>
      <c r="C1670" t="str">
        <f>_xlfn.XLOOKUP(A1670,[1]Municipios!$B:$B,[1]Municipios!$D:$D)</f>
        <v>Costa Noroeste</v>
      </c>
      <c r="D1670">
        <v>2025</v>
      </c>
      <c r="E1670" t="s">
        <v>234</v>
      </c>
      <c r="F1670">
        <v>0</v>
      </c>
      <c r="G1670">
        <v>0</v>
      </c>
    </row>
    <row r="1671" spans="1:7" x14ac:dyDescent="0.25">
      <c r="A1671" t="s">
        <v>583</v>
      </c>
      <c r="B1671" t="str">
        <f>_xlfn.XLOOKUP(A1671,[1]Municipios!$B:$B,[1]Municipios!$C:$C)</f>
        <v>Noroeste</v>
      </c>
      <c r="C1671" t="str">
        <f>_xlfn.XLOOKUP(A1671,[1]Municipios!$B:$B,[1]Municipios!$D:$D)</f>
        <v>Costa Noroeste</v>
      </c>
      <c r="D1671">
        <v>2025</v>
      </c>
      <c r="E1671" t="s">
        <v>235</v>
      </c>
      <c r="F1671">
        <v>0.1429</v>
      </c>
      <c r="G1671">
        <v>0</v>
      </c>
    </row>
    <row r="1672" spans="1:7" x14ac:dyDescent="0.25">
      <c r="A1672" t="s">
        <v>583</v>
      </c>
      <c r="B1672" t="str">
        <f>_xlfn.XLOOKUP(A1672,[1]Municipios!$B:$B,[1]Municipios!$C:$C)</f>
        <v>Noroeste</v>
      </c>
      <c r="C1672" t="str">
        <f>_xlfn.XLOOKUP(A1672,[1]Municipios!$B:$B,[1]Municipios!$D:$D)</f>
        <v>Costa Noroeste</v>
      </c>
      <c r="D1672">
        <v>2025</v>
      </c>
      <c r="E1672" t="s">
        <v>236</v>
      </c>
      <c r="F1672">
        <v>0</v>
      </c>
      <c r="G1672">
        <v>0</v>
      </c>
    </row>
    <row r="1673" spans="1:7" x14ac:dyDescent="0.25">
      <c r="A1673" t="s">
        <v>583</v>
      </c>
      <c r="B1673" t="str">
        <f>_xlfn.XLOOKUP(A1673,[1]Municipios!$B:$B,[1]Municipios!$C:$C)</f>
        <v>Noroeste</v>
      </c>
      <c r="C1673" t="str">
        <f>_xlfn.XLOOKUP(A1673,[1]Municipios!$B:$B,[1]Municipios!$D:$D)</f>
        <v>Costa Noroeste</v>
      </c>
      <c r="D1673">
        <v>2025</v>
      </c>
      <c r="E1673" t="s">
        <v>237</v>
      </c>
      <c r="F1673">
        <v>0</v>
      </c>
      <c r="G1673">
        <v>0</v>
      </c>
    </row>
    <row r="1674" spans="1:7" x14ac:dyDescent="0.25">
      <c r="A1674" t="s">
        <v>584</v>
      </c>
      <c r="B1674" t="str">
        <f>_xlfn.XLOOKUP(A1674,[1]Municipios!$B:$B,[1]Municipios!$C:$C)</f>
        <v>Noroeste</v>
      </c>
      <c r="C1674" t="str">
        <f>_xlfn.XLOOKUP(A1674,[1]Municipios!$B:$B,[1]Municipios!$D:$D)</f>
        <v>Arenito-Caiuá</v>
      </c>
      <c r="D1674">
        <v>2025</v>
      </c>
      <c r="E1674" t="s">
        <v>231</v>
      </c>
      <c r="F1674">
        <v>0.11120000000000001</v>
      </c>
      <c r="G1674">
        <v>24.05</v>
      </c>
    </row>
    <row r="1675" spans="1:7" x14ac:dyDescent="0.25">
      <c r="A1675" t="s">
        <v>584</v>
      </c>
      <c r="B1675" t="str">
        <f>_xlfn.XLOOKUP(A1675,[1]Municipios!$B:$B,[1]Municipios!$C:$C)</f>
        <v>Noroeste</v>
      </c>
      <c r="C1675" t="str">
        <f>_xlfn.XLOOKUP(A1675,[1]Municipios!$B:$B,[1]Municipios!$D:$D)</f>
        <v>Arenito-Caiuá</v>
      </c>
      <c r="D1675">
        <v>2025</v>
      </c>
      <c r="E1675" t="s">
        <v>232</v>
      </c>
      <c r="F1675">
        <v>0.61539999999999995</v>
      </c>
      <c r="G1675">
        <v>24.05</v>
      </c>
    </row>
    <row r="1676" spans="1:7" x14ac:dyDescent="0.25">
      <c r="A1676" t="s">
        <v>584</v>
      </c>
      <c r="B1676" t="str">
        <f>_xlfn.XLOOKUP(A1676,[1]Municipios!$B:$B,[1]Municipios!$C:$C)</f>
        <v>Noroeste</v>
      </c>
      <c r="C1676" t="str">
        <f>_xlfn.XLOOKUP(A1676,[1]Municipios!$B:$B,[1]Municipios!$D:$D)</f>
        <v>Arenito-Caiuá</v>
      </c>
      <c r="D1676">
        <v>2025</v>
      </c>
      <c r="E1676" t="s">
        <v>233</v>
      </c>
      <c r="F1676">
        <v>0.5</v>
      </c>
      <c r="G1676">
        <v>24.05</v>
      </c>
    </row>
    <row r="1677" spans="1:7" x14ac:dyDescent="0.25">
      <c r="A1677" t="s">
        <v>584</v>
      </c>
      <c r="B1677" t="str">
        <f>_xlfn.XLOOKUP(A1677,[1]Municipios!$B:$B,[1]Municipios!$C:$C)</f>
        <v>Noroeste</v>
      </c>
      <c r="C1677" t="str">
        <f>_xlfn.XLOOKUP(A1677,[1]Municipios!$B:$B,[1]Municipios!$D:$D)</f>
        <v>Arenito-Caiuá</v>
      </c>
      <c r="D1677">
        <v>2025</v>
      </c>
      <c r="E1677" t="s">
        <v>215</v>
      </c>
      <c r="F1677">
        <v>0</v>
      </c>
      <c r="G1677">
        <v>24.05</v>
      </c>
    </row>
    <row r="1678" spans="1:7" x14ac:dyDescent="0.25">
      <c r="A1678" t="s">
        <v>584</v>
      </c>
      <c r="B1678" t="str">
        <f>_xlfn.XLOOKUP(A1678,[1]Municipios!$B:$B,[1]Municipios!$C:$C)</f>
        <v>Noroeste</v>
      </c>
      <c r="C1678" t="str">
        <f>_xlfn.XLOOKUP(A1678,[1]Municipios!$B:$B,[1]Municipios!$D:$D)</f>
        <v>Arenito-Caiuá</v>
      </c>
      <c r="D1678">
        <v>2025</v>
      </c>
      <c r="E1678" t="s">
        <v>234</v>
      </c>
      <c r="F1678">
        <v>0.55549999999999999</v>
      </c>
      <c r="G1678">
        <v>24.05</v>
      </c>
    </row>
    <row r="1679" spans="1:7" x14ac:dyDescent="0.25">
      <c r="A1679" t="s">
        <v>584</v>
      </c>
      <c r="B1679" t="str">
        <f>_xlfn.XLOOKUP(A1679,[1]Municipios!$B:$B,[1]Municipios!$C:$C)</f>
        <v>Noroeste</v>
      </c>
      <c r="C1679" t="str">
        <f>_xlfn.XLOOKUP(A1679,[1]Municipios!$B:$B,[1]Municipios!$D:$D)</f>
        <v>Arenito-Caiuá</v>
      </c>
      <c r="D1679">
        <v>2025</v>
      </c>
      <c r="E1679" t="s">
        <v>235</v>
      </c>
      <c r="F1679">
        <v>0</v>
      </c>
      <c r="G1679">
        <v>24.05</v>
      </c>
    </row>
    <row r="1680" spans="1:7" x14ac:dyDescent="0.25">
      <c r="A1680" t="s">
        <v>584</v>
      </c>
      <c r="B1680" t="str">
        <f>_xlfn.XLOOKUP(A1680,[1]Municipios!$B:$B,[1]Municipios!$C:$C)</f>
        <v>Noroeste</v>
      </c>
      <c r="C1680" t="str">
        <f>_xlfn.XLOOKUP(A1680,[1]Municipios!$B:$B,[1]Municipios!$D:$D)</f>
        <v>Arenito-Caiuá</v>
      </c>
      <c r="D1680">
        <v>2025</v>
      </c>
      <c r="E1680" t="s">
        <v>236</v>
      </c>
      <c r="F1680">
        <v>7.6999999999999999E-2</v>
      </c>
      <c r="G1680">
        <v>24.05</v>
      </c>
    </row>
    <row r="1681" spans="1:7" x14ac:dyDescent="0.25">
      <c r="A1681" t="s">
        <v>584</v>
      </c>
      <c r="B1681" t="str">
        <f>_xlfn.XLOOKUP(A1681,[1]Municipios!$B:$B,[1]Municipios!$C:$C)</f>
        <v>Noroeste</v>
      </c>
      <c r="C1681" t="str">
        <f>_xlfn.XLOOKUP(A1681,[1]Municipios!$B:$B,[1]Municipios!$D:$D)</f>
        <v>Arenito-Caiuá</v>
      </c>
      <c r="D1681">
        <v>2025</v>
      </c>
      <c r="E1681" t="s">
        <v>237</v>
      </c>
      <c r="F1681">
        <v>0</v>
      </c>
      <c r="G1681">
        <v>24.05</v>
      </c>
    </row>
    <row r="1682" spans="1:7" x14ac:dyDescent="0.25">
      <c r="A1682" t="s">
        <v>427</v>
      </c>
      <c r="B1682" t="str">
        <f>_xlfn.XLOOKUP(A1682,[1]Municipios!$B:$B,[1]Municipios!$C:$C)</f>
        <v>Noroeste</v>
      </c>
      <c r="C1682" t="str">
        <f>_xlfn.XLOOKUP(A1682,[1]Municipios!$B:$B,[1]Municipios!$D:$D)</f>
        <v>Terra Roxa</v>
      </c>
      <c r="D1682">
        <v>2025</v>
      </c>
      <c r="E1682" t="s">
        <v>231</v>
      </c>
      <c r="F1682">
        <v>0.66669999999999996</v>
      </c>
      <c r="G1682">
        <v>93.22</v>
      </c>
    </row>
    <row r="1683" spans="1:7" x14ac:dyDescent="0.25">
      <c r="A1683" t="s">
        <v>427</v>
      </c>
      <c r="B1683" t="str">
        <f>_xlfn.XLOOKUP(A1683,[1]Municipios!$B:$B,[1]Municipios!$C:$C)</f>
        <v>Noroeste</v>
      </c>
      <c r="C1683" t="str">
        <f>_xlfn.XLOOKUP(A1683,[1]Municipios!$B:$B,[1]Municipios!$D:$D)</f>
        <v>Terra Roxa</v>
      </c>
      <c r="D1683">
        <v>2025</v>
      </c>
      <c r="E1683" t="s">
        <v>232</v>
      </c>
      <c r="F1683">
        <v>0.92310000000000003</v>
      </c>
      <c r="G1683">
        <v>93.22</v>
      </c>
    </row>
    <row r="1684" spans="1:7" x14ac:dyDescent="0.25">
      <c r="A1684" t="s">
        <v>427</v>
      </c>
      <c r="B1684" t="str">
        <f>_xlfn.XLOOKUP(A1684,[1]Municipios!$B:$B,[1]Municipios!$C:$C)</f>
        <v>Noroeste</v>
      </c>
      <c r="C1684" t="str">
        <f>_xlfn.XLOOKUP(A1684,[1]Municipios!$B:$B,[1]Municipios!$D:$D)</f>
        <v>Terra Roxa</v>
      </c>
      <c r="D1684">
        <v>2025</v>
      </c>
      <c r="E1684" t="s">
        <v>233</v>
      </c>
      <c r="F1684">
        <v>0.875</v>
      </c>
      <c r="G1684">
        <v>93.22</v>
      </c>
    </row>
    <row r="1685" spans="1:7" x14ac:dyDescent="0.25">
      <c r="A1685" t="s">
        <v>427</v>
      </c>
      <c r="B1685" t="str">
        <f>_xlfn.XLOOKUP(A1685,[1]Municipios!$B:$B,[1]Municipios!$C:$C)</f>
        <v>Noroeste</v>
      </c>
      <c r="C1685" t="str">
        <f>_xlfn.XLOOKUP(A1685,[1]Municipios!$B:$B,[1]Municipios!$D:$D)</f>
        <v>Terra Roxa</v>
      </c>
      <c r="D1685">
        <v>2025</v>
      </c>
      <c r="E1685" t="s">
        <v>215</v>
      </c>
      <c r="F1685">
        <v>1</v>
      </c>
      <c r="G1685">
        <v>93.22</v>
      </c>
    </row>
    <row r="1686" spans="1:7" x14ac:dyDescent="0.25">
      <c r="A1686" t="s">
        <v>427</v>
      </c>
      <c r="B1686" t="str">
        <f>_xlfn.XLOOKUP(A1686,[1]Municipios!$B:$B,[1]Municipios!$C:$C)</f>
        <v>Noroeste</v>
      </c>
      <c r="C1686" t="str">
        <f>_xlfn.XLOOKUP(A1686,[1]Municipios!$B:$B,[1]Municipios!$D:$D)</f>
        <v>Terra Roxa</v>
      </c>
      <c r="D1686">
        <v>2025</v>
      </c>
      <c r="E1686" t="s">
        <v>234</v>
      </c>
      <c r="F1686">
        <v>1</v>
      </c>
      <c r="G1686">
        <v>93.22</v>
      </c>
    </row>
    <row r="1687" spans="1:7" x14ac:dyDescent="0.25">
      <c r="A1687" t="s">
        <v>427</v>
      </c>
      <c r="B1687" t="str">
        <f>_xlfn.XLOOKUP(A1687,[1]Municipios!$B:$B,[1]Municipios!$C:$C)</f>
        <v>Noroeste</v>
      </c>
      <c r="C1687" t="str">
        <f>_xlfn.XLOOKUP(A1687,[1]Municipios!$B:$B,[1]Municipios!$D:$D)</f>
        <v>Terra Roxa</v>
      </c>
      <c r="D1687">
        <v>2025</v>
      </c>
      <c r="E1687" t="s">
        <v>235</v>
      </c>
      <c r="F1687">
        <v>1</v>
      </c>
      <c r="G1687">
        <v>93.22</v>
      </c>
    </row>
    <row r="1688" spans="1:7" x14ac:dyDescent="0.25">
      <c r="A1688" t="s">
        <v>427</v>
      </c>
      <c r="B1688" t="str">
        <f>_xlfn.XLOOKUP(A1688,[1]Municipios!$B:$B,[1]Municipios!$C:$C)</f>
        <v>Noroeste</v>
      </c>
      <c r="C1688" t="str">
        <f>_xlfn.XLOOKUP(A1688,[1]Municipios!$B:$B,[1]Municipios!$D:$D)</f>
        <v>Terra Roxa</v>
      </c>
      <c r="D1688">
        <v>2025</v>
      </c>
      <c r="E1688" t="s">
        <v>236</v>
      </c>
      <c r="F1688">
        <v>0.92309999999999992</v>
      </c>
      <c r="G1688">
        <v>93.22</v>
      </c>
    </row>
    <row r="1689" spans="1:7" x14ac:dyDescent="0.25">
      <c r="A1689" t="s">
        <v>427</v>
      </c>
      <c r="B1689" t="str">
        <f>_xlfn.XLOOKUP(A1689,[1]Municipios!$B:$B,[1]Municipios!$C:$C)</f>
        <v>Noroeste</v>
      </c>
      <c r="C1689" t="str">
        <f>_xlfn.XLOOKUP(A1689,[1]Municipios!$B:$B,[1]Municipios!$D:$D)</f>
        <v>Terra Roxa</v>
      </c>
      <c r="D1689">
        <v>2025</v>
      </c>
      <c r="E1689" t="s">
        <v>237</v>
      </c>
      <c r="F1689">
        <v>1</v>
      </c>
      <c r="G1689">
        <v>93.22</v>
      </c>
    </row>
    <row r="1690" spans="1:7" x14ac:dyDescent="0.25">
      <c r="A1690" t="s">
        <v>256</v>
      </c>
      <c r="B1690" t="str">
        <f>_xlfn.XLOOKUP(A1690,[1]Municipios!$B:$B,[1]Municipios!$C:$C)</f>
        <v>Sul</v>
      </c>
      <c r="C1690" t="str">
        <f>_xlfn.XLOOKUP(A1690,[1]Municipios!$B:$B,[1]Municipios!$D:$D)</f>
        <v>Sudoeste Pioneiro</v>
      </c>
      <c r="D1690">
        <v>2025</v>
      </c>
      <c r="E1690" t="s">
        <v>231</v>
      </c>
      <c r="F1690">
        <v>0.66669999999999996</v>
      </c>
      <c r="G1690">
        <v>82.74</v>
      </c>
    </row>
    <row r="1691" spans="1:7" x14ac:dyDescent="0.25">
      <c r="A1691" t="s">
        <v>256</v>
      </c>
      <c r="B1691" t="str">
        <f>_xlfn.XLOOKUP(A1691,[1]Municipios!$B:$B,[1]Municipios!$C:$C)</f>
        <v>Sul</v>
      </c>
      <c r="C1691" t="str">
        <f>_xlfn.XLOOKUP(A1691,[1]Municipios!$B:$B,[1]Municipios!$D:$D)</f>
        <v>Sudoeste Pioneiro</v>
      </c>
      <c r="D1691">
        <v>2025</v>
      </c>
      <c r="E1691" t="s">
        <v>232</v>
      </c>
      <c r="F1691">
        <v>0.92310000000000003</v>
      </c>
      <c r="G1691">
        <v>82.74</v>
      </c>
    </row>
    <row r="1692" spans="1:7" x14ac:dyDescent="0.25">
      <c r="A1692" t="s">
        <v>256</v>
      </c>
      <c r="B1692" t="str">
        <f>_xlfn.XLOOKUP(A1692,[1]Municipios!$B:$B,[1]Municipios!$C:$C)</f>
        <v>Sul</v>
      </c>
      <c r="C1692" t="str">
        <f>_xlfn.XLOOKUP(A1692,[1]Municipios!$B:$B,[1]Municipios!$D:$D)</f>
        <v>Sudoeste Pioneiro</v>
      </c>
      <c r="D1692">
        <v>2025</v>
      </c>
      <c r="E1692" t="s">
        <v>233</v>
      </c>
      <c r="F1692">
        <v>0.625</v>
      </c>
      <c r="G1692">
        <v>82.74</v>
      </c>
    </row>
    <row r="1693" spans="1:7" x14ac:dyDescent="0.25">
      <c r="A1693" t="s">
        <v>256</v>
      </c>
      <c r="B1693" t="str">
        <f>_xlfn.XLOOKUP(A1693,[1]Municipios!$B:$B,[1]Municipios!$C:$C)</f>
        <v>Sul</v>
      </c>
      <c r="C1693" t="str">
        <f>_xlfn.XLOOKUP(A1693,[1]Municipios!$B:$B,[1]Municipios!$D:$D)</f>
        <v>Sudoeste Pioneiro</v>
      </c>
      <c r="D1693">
        <v>2025</v>
      </c>
      <c r="E1693" t="s">
        <v>215</v>
      </c>
      <c r="F1693">
        <v>1</v>
      </c>
      <c r="G1693">
        <v>82.74</v>
      </c>
    </row>
    <row r="1694" spans="1:7" x14ac:dyDescent="0.25">
      <c r="A1694" t="s">
        <v>256</v>
      </c>
      <c r="B1694" t="str">
        <f>_xlfn.XLOOKUP(A1694,[1]Municipios!$B:$B,[1]Municipios!$C:$C)</f>
        <v>Sul</v>
      </c>
      <c r="C1694" t="str">
        <f>_xlfn.XLOOKUP(A1694,[1]Municipios!$B:$B,[1]Municipios!$D:$D)</f>
        <v>Sudoeste Pioneiro</v>
      </c>
      <c r="D1694">
        <v>2025</v>
      </c>
      <c r="E1694" t="s">
        <v>234</v>
      </c>
      <c r="F1694">
        <v>1</v>
      </c>
      <c r="G1694">
        <v>82.74</v>
      </c>
    </row>
    <row r="1695" spans="1:7" x14ac:dyDescent="0.25">
      <c r="A1695" t="s">
        <v>256</v>
      </c>
      <c r="B1695" t="str">
        <f>_xlfn.XLOOKUP(A1695,[1]Municipios!$B:$B,[1]Municipios!$C:$C)</f>
        <v>Sul</v>
      </c>
      <c r="C1695" t="str">
        <f>_xlfn.XLOOKUP(A1695,[1]Municipios!$B:$B,[1]Municipios!$D:$D)</f>
        <v>Sudoeste Pioneiro</v>
      </c>
      <c r="D1695">
        <v>2025</v>
      </c>
      <c r="E1695" t="s">
        <v>235</v>
      </c>
      <c r="F1695">
        <v>1</v>
      </c>
      <c r="G1695">
        <v>82.74</v>
      </c>
    </row>
    <row r="1696" spans="1:7" x14ac:dyDescent="0.25">
      <c r="A1696" t="s">
        <v>256</v>
      </c>
      <c r="B1696" t="str">
        <f>_xlfn.XLOOKUP(A1696,[1]Municipios!$B:$B,[1]Municipios!$C:$C)</f>
        <v>Sul</v>
      </c>
      <c r="C1696" t="str">
        <f>_xlfn.XLOOKUP(A1696,[1]Municipios!$B:$B,[1]Municipios!$D:$D)</f>
        <v>Sudoeste Pioneiro</v>
      </c>
      <c r="D1696">
        <v>2025</v>
      </c>
      <c r="E1696" t="s">
        <v>236</v>
      </c>
      <c r="F1696">
        <v>0.15390000000000001</v>
      </c>
      <c r="G1696">
        <v>82.74</v>
      </c>
    </row>
    <row r="1697" spans="1:7" x14ac:dyDescent="0.25">
      <c r="A1697" t="s">
        <v>256</v>
      </c>
      <c r="B1697" t="str">
        <f>_xlfn.XLOOKUP(A1697,[1]Municipios!$B:$B,[1]Municipios!$C:$C)</f>
        <v>Sul</v>
      </c>
      <c r="C1697" t="str">
        <f>_xlfn.XLOOKUP(A1697,[1]Municipios!$B:$B,[1]Municipios!$D:$D)</f>
        <v>Sudoeste Pioneiro</v>
      </c>
      <c r="D1697">
        <v>2025</v>
      </c>
      <c r="E1697" t="s">
        <v>237</v>
      </c>
      <c r="F1697">
        <v>1</v>
      </c>
      <c r="G1697">
        <v>82.74</v>
      </c>
    </row>
    <row r="1698" spans="1:7" x14ac:dyDescent="0.25">
      <c r="A1698" t="s">
        <v>449</v>
      </c>
      <c r="B1698" t="str">
        <f>_xlfn.XLOOKUP(A1698,[1]Municipios!$B:$B,[1]Municipios!$C:$C)</f>
        <v>Oeste</v>
      </c>
      <c r="C1698" t="str">
        <f>_xlfn.XLOOKUP(A1698,[1]Municipios!$B:$B,[1]Municipios!$D:$D)</f>
        <v>Oeste Integrado</v>
      </c>
      <c r="D1698">
        <v>2025</v>
      </c>
      <c r="E1698" t="s">
        <v>231</v>
      </c>
      <c r="F1698">
        <v>0.55559999999999998</v>
      </c>
      <c r="G1698">
        <v>76.23</v>
      </c>
    </row>
    <row r="1699" spans="1:7" x14ac:dyDescent="0.25">
      <c r="A1699" t="s">
        <v>449</v>
      </c>
      <c r="B1699" t="str">
        <f>_xlfn.XLOOKUP(A1699,[1]Municipios!$B:$B,[1]Municipios!$C:$C)</f>
        <v>Oeste</v>
      </c>
      <c r="C1699" t="str">
        <f>_xlfn.XLOOKUP(A1699,[1]Municipios!$B:$B,[1]Municipios!$D:$D)</f>
        <v>Oeste Integrado</v>
      </c>
      <c r="D1699">
        <v>2025</v>
      </c>
      <c r="E1699" t="s">
        <v>232</v>
      </c>
      <c r="F1699">
        <v>1</v>
      </c>
      <c r="G1699">
        <v>76.23</v>
      </c>
    </row>
    <row r="1700" spans="1:7" x14ac:dyDescent="0.25">
      <c r="A1700" t="s">
        <v>449</v>
      </c>
      <c r="B1700" t="str">
        <f>_xlfn.XLOOKUP(A1700,[1]Municipios!$B:$B,[1]Municipios!$C:$C)</f>
        <v>Oeste</v>
      </c>
      <c r="C1700" t="str">
        <f>_xlfn.XLOOKUP(A1700,[1]Municipios!$B:$B,[1]Municipios!$D:$D)</f>
        <v>Oeste Integrado</v>
      </c>
      <c r="D1700">
        <v>2025</v>
      </c>
      <c r="E1700" t="s">
        <v>233</v>
      </c>
      <c r="F1700">
        <v>0.75</v>
      </c>
      <c r="G1700">
        <v>76.23</v>
      </c>
    </row>
    <row r="1701" spans="1:7" x14ac:dyDescent="0.25">
      <c r="A1701" t="s">
        <v>449</v>
      </c>
      <c r="B1701" t="str">
        <f>_xlfn.XLOOKUP(A1701,[1]Municipios!$B:$B,[1]Municipios!$C:$C)</f>
        <v>Oeste</v>
      </c>
      <c r="C1701" t="str">
        <f>_xlfn.XLOOKUP(A1701,[1]Municipios!$B:$B,[1]Municipios!$D:$D)</f>
        <v>Oeste Integrado</v>
      </c>
      <c r="D1701">
        <v>2025</v>
      </c>
      <c r="E1701" t="s">
        <v>215</v>
      </c>
      <c r="F1701">
        <v>0.75</v>
      </c>
      <c r="G1701">
        <v>76.23</v>
      </c>
    </row>
    <row r="1702" spans="1:7" x14ac:dyDescent="0.25">
      <c r="A1702" t="s">
        <v>449</v>
      </c>
      <c r="B1702" t="str">
        <f>_xlfn.XLOOKUP(A1702,[1]Municipios!$B:$B,[1]Municipios!$C:$C)</f>
        <v>Oeste</v>
      </c>
      <c r="C1702" t="str">
        <f>_xlfn.XLOOKUP(A1702,[1]Municipios!$B:$B,[1]Municipios!$D:$D)</f>
        <v>Oeste Integrado</v>
      </c>
      <c r="D1702">
        <v>2025</v>
      </c>
      <c r="E1702" t="s">
        <v>234</v>
      </c>
      <c r="F1702">
        <v>0.88890000000000002</v>
      </c>
      <c r="G1702">
        <v>76.23</v>
      </c>
    </row>
    <row r="1703" spans="1:7" x14ac:dyDescent="0.25">
      <c r="A1703" t="s">
        <v>449</v>
      </c>
      <c r="B1703" t="str">
        <f>_xlfn.XLOOKUP(A1703,[1]Municipios!$B:$B,[1]Municipios!$C:$C)</f>
        <v>Oeste</v>
      </c>
      <c r="C1703" t="str">
        <f>_xlfn.XLOOKUP(A1703,[1]Municipios!$B:$B,[1]Municipios!$D:$D)</f>
        <v>Oeste Integrado</v>
      </c>
      <c r="D1703">
        <v>2025</v>
      </c>
      <c r="E1703" t="s">
        <v>235</v>
      </c>
      <c r="F1703">
        <v>0.85720000000000007</v>
      </c>
      <c r="G1703">
        <v>76.23</v>
      </c>
    </row>
    <row r="1704" spans="1:7" x14ac:dyDescent="0.25">
      <c r="A1704" t="s">
        <v>449</v>
      </c>
      <c r="B1704" t="str">
        <f>_xlfn.XLOOKUP(A1704,[1]Municipios!$B:$B,[1]Municipios!$C:$C)</f>
        <v>Oeste</v>
      </c>
      <c r="C1704" t="str">
        <f>_xlfn.XLOOKUP(A1704,[1]Municipios!$B:$B,[1]Municipios!$D:$D)</f>
        <v>Oeste Integrado</v>
      </c>
      <c r="D1704">
        <v>2025</v>
      </c>
      <c r="E1704" t="s">
        <v>236</v>
      </c>
      <c r="F1704">
        <v>0.15390000000000001</v>
      </c>
      <c r="G1704">
        <v>76.23</v>
      </c>
    </row>
    <row r="1705" spans="1:7" x14ac:dyDescent="0.25">
      <c r="A1705" t="s">
        <v>449</v>
      </c>
      <c r="B1705" t="str">
        <f>_xlfn.XLOOKUP(A1705,[1]Municipios!$B:$B,[1]Municipios!$C:$C)</f>
        <v>Oeste</v>
      </c>
      <c r="C1705" t="str">
        <f>_xlfn.XLOOKUP(A1705,[1]Municipios!$B:$B,[1]Municipios!$D:$D)</f>
        <v>Oeste Integrado</v>
      </c>
      <c r="D1705">
        <v>2025</v>
      </c>
      <c r="E1705" t="s">
        <v>237</v>
      </c>
      <c r="F1705">
        <v>1</v>
      </c>
      <c r="G1705">
        <v>76.23</v>
      </c>
    </row>
    <row r="1706" spans="1:7" x14ac:dyDescent="0.25">
      <c r="A1706" t="s">
        <v>257</v>
      </c>
      <c r="B1706" t="str">
        <f>_xlfn.XLOOKUP(A1706,[1]Municipios!$B:$B,[1]Municipios!$C:$C)</f>
        <v>Sul</v>
      </c>
      <c r="C1706" t="str">
        <f>_xlfn.XLOOKUP(A1706,[1]Municipios!$B:$B,[1]Municipios!$D:$D)</f>
        <v>Sudoeste Pioneiro</v>
      </c>
      <c r="D1706">
        <v>2025</v>
      </c>
      <c r="E1706" t="s">
        <v>231</v>
      </c>
      <c r="F1706">
        <v>0.77779999999999994</v>
      </c>
      <c r="G1706">
        <v>81.040000000000006</v>
      </c>
    </row>
    <row r="1707" spans="1:7" x14ac:dyDescent="0.25">
      <c r="A1707" t="s">
        <v>257</v>
      </c>
      <c r="B1707" t="str">
        <f>_xlfn.XLOOKUP(A1707,[1]Municipios!$B:$B,[1]Municipios!$C:$C)</f>
        <v>Sul</v>
      </c>
      <c r="C1707" t="str">
        <f>_xlfn.XLOOKUP(A1707,[1]Municipios!$B:$B,[1]Municipios!$D:$D)</f>
        <v>Sudoeste Pioneiro</v>
      </c>
      <c r="D1707">
        <v>2025</v>
      </c>
      <c r="E1707" t="s">
        <v>232</v>
      </c>
      <c r="F1707">
        <v>0.92310000000000003</v>
      </c>
      <c r="G1707">
        <v>81.040000000000006</v>
      </c>
    </row>
    <row r="1708" spans="1:7" x14ac:dyDescent="0.25">
      <c r="A1708" t="s">
        <v>257</v>
      </c>
      <c r="B1708" t="str">
        <f>_xlfn.XLOOKUP(A1708,[1]Municipios!$B:$B,[1]Municipios!$C:$C)</f>
        <v>Sul</v>
      </c>
      <c r="C1708" t="str">
        <f>_xlfn.XLOOKUP(A1708,[1]Municipios!$B:$B,[1]Municipios!$D:$D)</f>
        <v>Sudoeste Pioneiro</v>
      </c>
      <c r="D1708">
        <v>2025</v>
      </c>
      <c r="E1708" t="s">
        <v>233</v>
      </c>
      <c r="F1708">
        <v>0.875</v>
      </c>
      <c r="G1708">
        <v>81.040000000000006</v>
      </c>
    </row>
    <row r="1709" spans="1:7" x14ac:dyDescent="0.25">
      <c r="A1709" t="s">
        <v>257</v>
      </c>
      <c r="B1709" t="str">
        <f>_xlfn.XLOOKUP(A1709,[1]Municipios!$B:$B,[1]Municipios!$C:$C)</f>
        <v>Sul</v>
      </c>
      <c r="C1709" t="str">
        <f>_xlfn.XLOOKUP(A1709,[1]Municipios!$B:$B,[1]Municipios!$D:$D)</f>
        <v>Sudoeste Pioneiro</v>
      </c>
      <c r="D1709">
        <v>2025</v>
      </c>
      <c r="E1709" t="s">
        <v>215</v>
      </c>
      <c r="F1709">
        <v>0.79999999999999993</v>
      </c>
      <c r="G1709">
        <v>81.040000000000006</v>
      </c>
    </row>
    <row r="1710" spans="1:7" x14ac:dyDescent="0.25">
      <c r="A1710" t="s">
        <v>257</v>
      </c>
      <c r="B1710" t="str">
        <f>_xlfn.XLOOKUP(A1710,[1]Municipios!$B:$B,[1]Municipios!$C:$C)</f>
        <v>Sul</v>
      </c>
      <c r="C1710" t="str">
        <f>_xlfn.XLOOKUP(A1710,[1]Municipios!$B:$B,[1]Municipios!$D:$D)</f>
        <v>Sudoeste Pioneiro</v>
      </c>
      <c r="D1710">
        <v>2025</v>
      </c>
      <c r="E1710" t="s">
        <v>234</v>
      </c>
      <c r="F1710">
        <v>0.88890000000000002</v>
      </c>
      <c r="G1710">
        <v>81.040000000000006</v>
      </c>
    </row>
    <row r="1711" spans="1:7" x14ac:dyDescent="0.25">
      <c r="A1711" t="s">
        <v>257</v>
      </c>
      <c r="B1711" t="str">
        <f>_xlfn.XLOOKUP(A1711,[1]Municipios!$B:$B,[1]Municipios!$C:$C)</f>
        <v>Sul</v>
      </c>
      <c r="C1711" t="str">
        <f>_xlfn.XLOOKUP(A1711,[1]Municipios!$B:$B,[1]Municipios!$D:$D)</f>
        <v>Sudoeste Pioneiro</v>
      </c>
      <c r="D1711">
        <v>2025</v>
      </c>
      <c r="E1711" t="s">
        <v>235</v>
      </c>
      <c r="F1711">
        <v>1</v>
      </c>
      <c r="G1711">
        <v>81.040000000000006</v>
      </c>
    </row>
    <row r="1712" spans="1:7" x14ac:dyDescent="0.25">
      <c r="A1712" t="s">
        <v>257</v>
      </c>
      <c r="B1712" t="str">
        <f>_xlfn.XLOOKUP(A1712,[1]Municipios!$B:$B,[1]Municipios!$C:$C)</f>
        <v>Sul</v>
      </c>
      <c r="C1712" t="str">
        <f>_xlfn.XLOOKUP(A1712,[1]Municipios!$B:$B,[1]Municipios!$D:$D)</f>
        <v>Sudoeste Pioneiro</v>
      </c>
      <c r="D1712">
        <v>2025</v>
      </c>
      <c r="E1712" t="s">
        <v>236</v>
      </c>
      <c r="F1712">
        <v>0.15390000000000001</v>
      </c>
      <c r="G1712">
        <v>81.040000000000006</v>
      </c>
    </row>
    <row r="1713" spans="1:7" x14ac:dyDescent="0.25">
      <c r="A1713" t="s">
        <v>257</v>
      </c>
      <c r="B1713" t="str">
        <f>_xlfn.XLOOKUP(A1713,[1]Municipios!$B:$B,[1]Municipios!$C:$C)</f>
        <v>Sul</v>
      </c>
      <c r="C1713" t="str">
        <f>_xlfn.XLOOKUP(A1713,[1]Municipios!$B:$B,[1]Municipios!$D:$D)</f>
        <v>Sudoeste Pioneiro</v>
      </c>
      <c r="D1713">
        <v>2025</v>
      </c>
      <c r="E1713" t="s">
        <v>237</v>
      </c>
      <c r="F1713">
        <v>1</v>
      </c>
      <c r="G1713">
        <v>81.040000000000006</v>
      </c>
    </row>
    <row r="1714" spans="1:7" x14ac:dyDescent="0.25">
      <c r="A1714" t="s">
        <v>585</v>
      </c>
      <c r="B1714" t="str">
        <f>_xlfn.XLOOKUP(A1714,[1]Municipios!$B:$B,[1]Municipios!$C:$C)</f>
        <v>Oeste</v>
      </c>
      <c r="C1714" t="str">
        <f>_xlfn.XLOOKUP(A1714,[1]Municipios!$B:$B,[1]Municipios!$D:$D)</f>
        <v>Cantuquiriguaçu</v>
      </c>
      <c r="D1714">
        <v>2025</v>
      </c>
      <c r="E1714" t="s">
        <v>231</v>
      </c>
      <c r="F1714">
        <v>0</v>
      </c>
      <c r="G1714">
        <v>29.17</v>
      </c>
    </row>
    <row r="1715" spans="1:7" x14ac:dyDescent="0.25">
      <c r="A1715" t="s">
        <v>585</v>
      </c>
      <c r="B1715" t="str">
        <f>_xlfn.XLOOKUP(A1715,[1]Municipios!$B:$B,[1]Municipios!$C:$C)</f>
        <v>Oeste</v>
      </c>
      <c r="C1715" t="str">
        <f>_xlfn.XLOOKUP(A1715,[1]Municipios!$B:$B,[1]Municipios!$D:$D)</f>
        <v>Cantuquiriguaçu</v>
      </c>
      <c r="D1715">
        <v>2025</v>
      </c>
      <c r="E1715" t="s">
        <v>232</v>
      </c>
      <c r="F1715">
        <v>0.69230000000000003</v>
      </c>
      <c r="G1715">
        <v>29.17</v>
      </c>
    </row>
    <row r="1716" spans="1:7" x14ac:dyDescent="0.25">
      <c r="A1716" t="s">
        <v>585</v>
      </c>
      <c r="B1716" t="str">
        <f>_xlfn.XLOOKUP(A1716,[1]Municipios!$B:$B,[1]Municipios!$C:$C)</f>
        <v>Oeste</v>
      </c>
      <c r="C1716" t="str">
        <f>_xlfn.XLOOKUP(A1716,[1]Municipios!$B:$B,[1]Municipios!$D:$D)</f>
        <v>Cantuquiriguaçu</v>
      </c>
      <c r="D1716">
        <v>2025</v>
      </c>
      <c r="E1716" t="s">
        <v>233</v>
      </c>
      <c r="F1716">
        <v>0.375</v>
      </c>
      <c r="G1716">
        <v>29.17</v>
      </c>
    </row>
    <row r="1717" spans="1:7" x14ac:dyDescent="0.25">
      <c r="A1717" t="s">
        <v>585</v>
      </c>
      <c r="B1717" t="str">
        <f>_xlfn.XLOOKUP(A1717,[1]Municipios!$B:$B,[1]Municipios!$C:$C)</f>
        <v>Oeste</v>
      </c>
      <c r="C1717" t="str">
        <f>_xlfn.XLOOKUP(A1717,[1]Municipios!$B:$B,[1]Municipios!$D:$D)</f>
        <v>Cantuquiriguaçu</v>
      </c>
      <c r="D1717">
        <v>2025</v>
      </c>
      <c r="E1717" t="s">
        <v>215</v>
      </c>
      <c r="F1717">
        <v>0.19999999999999998</v>
      </c>
      <c r="G1717">
        <v>29.17</v>
      </c>
    </row>
    <row r="1718" spans="1:7" x14ac:dyDescent="0.25">
      <c r="A1718" t="s">
        <v>585</v>
      </c>
      <c r="B1718" t="str">
        <f>_xlfn.XLOOKUP(A1718,[1]Municipios!$B:$B,[1]Municipios!$C:$C)</f>
        <v>Oeste</v>
      </c>
      <c r="C1718" t="str">
        <f>_xlfn.XLOOKUP(A1718,[1]Municipios!$B:$B,[1]Municipios!$D:$D)</f>
        <v>Cantuquiriguaçu</v>
      </c>
      <c r="D1718">
        <v>2025</v>
      </c>
      <c r="E1718" t="s">
        <v>234</v>
      </c>
      <c r="F1718">
        <v>0.1111</v>
      </c>
      <c r="G1718">
        <v>29.17</v>
      </c>
    </row>
    <row r="1719" spans="1:7" x14ac:dyDescent="0.25">
      <c r="A1719" t="s">
        <v>585</v>
      </c>
      <c r="B1719" t="str">
        <f>_xlfn.XLOOKUP(A1719,[1]Municipios!$B:$B,[1]Municipios!$C:$C)</f>
        <v>Oeste</v>
      </c>
      <c r="C1719" t="str">
        <f>_xlfn.XLOOKUP(A1719,[1]Municipios!$B:$B,[1]Municipios!$D:$D)</f>
        <v>Cantuquiriguaçu</v>
      </c>
      <c r="D1719">
        <v>2025</v>
      </c>
      <c r="E1719" t="s">
        <v>235</v>
      </c>
      <c r="F1719">
        <v>0.42859999999999998</v>
      </c>
      <c r="G1719">
        <v>29.17</v>
      </c>
    </row>
    <row r="1720" spans="1:7" x14ac:dyDescent="0.25">
      <c r="A1720" t="s">
        <v>585</v>
      </c>
      <c r="B1720" t="str">
        <f>_xlfn.XLOOKUP(A1720,[1]Municipios!$B:$B,[1]Municipios!$C:$C)</f>
        <v>Oeste</v>
      </c>
      <c r="C1720" t="str">
        <f>_xlfn.XLOOKUP(A1720,[1]Municipios!$B:$B,[1]Municipios!$D:$D)</f>
        <v>Cantuquiriguaçu</v>
      </c>
      <c r="D1720">
        <v>2025</v>
      </c>
      <c r="E1720" t="s">
        <v>236</v>
      </c>
      <c r="F1720">
        <v>0</v>
      </c>
      <c r="G1720">
        <v>29.17</v>
      </c>
    </row>
    <row r="1721" spans="1:7" x14ac:dyDescent="0.25">
      <c r="A1721" t="s">
        <v>585</v>
      </c>
      <c r="B1721" t="str">
        <f>_xlfn.XLOOKUP(A1721,[1]Municipios!$B:$B,[1]Municipios!$C:$C)</f>
        <v>Oeste</v>
      </c>
      <c r="C1721" t="str">
        <f>_xlfn.XLOOKUP(A1721,[1]Municipios!$B:$B,[1]Municipios!$D:$D)</f>
        <v>Cantuquiriguaçu</v>
      </c>
      <c r="D1721">
        <v>2025</v>
      </c>
      <c r="E1721" t="s">
        <v>237</v>
      </c>
      <c r="F1721">
        <v>0.5</v>
      </c>
      <c r="G1721">
        <v>29.17</v>
      </c>
    </row>
    <row r="1722" spans="1:7" x14ac:dyDescent="0.25">
      <c r="A1722" t="s">
        <v>586</v>
      </c>
      <c r="B1722" t="str">
        <f>_xlfn.XLOOKUP(A1722,[1]Municipios!$B:$B,[1]Municipios!$C:$C)</f>
        <v>Norte</v>
      </c>
      <c r="C1722" t="str">
        <f>_xlfn.XLOOKUP(A1722,[1]Municipios!$B:$B,[1]Municipios!$D:$D)</f>
        <v>Vale Do Ivaí</v>
      </c>
      <c r="D1722">
        <v>2025</v>
      </c>
      <c r="E1722" t="s">
        <v>231</v>
      </c>
      <c r="F1722">
        <v>0.66659999999999997</v>
      </c>
      <c r="G1722">
        <v>39.369999999999997</v>
      </c>
    </row>
    <row r="1723" spans="1:7" x14ac:dyDescent="0.25">
      <c r="A1723" t="s">
        <v>586</v>
      </c>
      <c r="B1723" t="str">
        <f>_xlfn.XLOOKUP(A1723,[1]Municipios!$B:$B,[1]Municipios!$C:$C)</f>
        <v>Norte</v>
      </c>
      <c r="C1723" t="str">
        <f>_xlfn.XLOOKUP(A1723,[1]Municipios!$B:$B,[1]Municipios!$D:$D)</f>
        <v>Vale Do Ivaí</v>
      </c>
      <c r="D1723">
        <v>2025</v>
      </c>
      <c r="E1723" t="s">
        <v>232</v>
      </c>
      <c r="F1723">
        <v>0.23069999999999999</v>
      </c>
      <c r="G1723">
        <v>39.369999999999997</v>
      </c>
    </row>
    <row r="1724" spans="1:7" x14ac:dyDescent="0.25">
      <c r="A1724" t="s">
        <v>586</v>
      </c>
      <c r="B1724" t="str">
        <f>_xlfn.XLOOKUP(A1724,[1]Municipios!$B:$B,[1]Municipios!$C:$C)</f>
        <v>Norte</v>
      </c>
      <c r="C1724" t="str">
        <f>_xlfn.XLOOKUP(A1724,[1]Municipios!$B:$B,[1]Municipios!$D:$D)</f>
        <v>Vale Do Ivaí</v>
      </c>
      <c r="D1724">
        <v>2025</v>
      </c>
      <c r="E1724" t="s">
        <v>233</v>
      </c>
      <c r="F1724">
        <v>0.5</v>
      </c>
      <c r="G1724">
        <v>39.369999999999997</v>
      </c>
    </row>
    <row r="1725" spans="1:7" x14ac:dyDescent="0.25">
      <c r="A1725" t="s">
        <v>586</v>
      </c>
      <c r="B1725" t="str">
        <f>_xlfn.XLOOKUP(A1725,[1]Municipios!$B:$B,[1]Municipios!$C:$C)</f>
        <v>Norte</v>
      </c>
      <c r="C1725" t="str">
        <f>_xlfn.XLOOKUP(A1725,[1]Municipios!$B:$B,[1]Municipios!$D:$D)</f>
        <v>Vale Do Ivaí</v>
      </c>
      <c r="D1725">
        <v>2025</v>
      </c>
      <c r="E1725" t="s">
        <v>215</v>
      </c>
      <c r="F1725">
        <v>0.79999999999999993</v>
      </c>
      <c r="G1725">
        <v>39.369999999999997</v>
      </c>
    </row>
    <row r="1726" spans="1:7" x14ac:dyDescent="0.25">
      <c r="A1726" t="s">
        <v>586</v>
      </c>
      <c r="B1726" t="str">
        <f>_xlfn.XLOOKUP(A1726,[1]Municipios!$B:$B,[1]Municipios!$C:$C)</f>
        <v>Norte</v>
      </c>
      <c r="C1726" t="str">
        <f>_xlfn.XLOOKUP(A1726,[1]Municipios!$B:$B,[1]Municipios!$D:$D)</f>
        <v>Vale Do Ivaí</v>
      </c>
      <c r="D1726">
        <v>2025</v>
      </c>
      <c r="E1726" t="s">
        <v>234</v>
      </c>
      <c r="F1726">
        <v>0.55559999999999998</v>
      </c>
      <c r="G1726">
        <v>39.369999999999997</v>
      </c>
    </row>
    <row r="1727" spans="1:7" x14ac:dyDescent="0.25">
      <c r="A1727" t="s">
        <v>586</v>
      </c>
      <c r="B1727" t="str">
        <f>_xlfn.XLOOKUP(A1727,[1]Municipios!$B:$B,[1]Municipios!$C:$C)</f>
        <v>Norte</v>
      </c>
      <c r="C1727" t="str">
        <f>_xlfn.XLOOKUP(A1727,[1]Municipios!$B:$B,[1]Municipios!$D:$D)</f>
        <v>Vale Do Ivaí</v>
      </c>
      <c r="D1727">
        <v>2025</v>
      </c>
      <c r="E1727" t="s">
        <v>235</v>
      </c>
      <c r="F1727">
        <v>0.2858</v>
      </c>
      <c r="G1727">
        <v>39.369999999999997</v>
      </c>
    </row>
    <row r="1728" spans="1:7" x14ac:dyDescent="0.25">
      <c r="A1728" t="s">
        <v>586</v>
      </c>
      <c r="B1728" t="str">
        <f>_xlfn.XLOOKUP(A1728,[1]Municipios!$B:$B,[1]Municipios!$C:$C)</f>
        <v>Norte</v>
      </c>
      <c r="C1728" t="str">
        <f>_xlfn.XLOOKUP(A1728,[1]Municipios!$B:$B,[1]Municipios!$D:$D)</f>
        <v>Vale Do Ivaí</v>
      </c>
      <c r="D1728">
        <v>2025</v>
      </c>
      <c r="E1728" t="s">
        <v>236</v>
      </c>
      <c r="F1728">
        <v>0.15379999999999999</v>
      </c>
      <c r="G1728">
        <v>39.369999999999997</v>
      </c>
    </row>
    <row r="1729" spans="1:7" x14ac:dyDescent="0.25">
      <c r="A1729" t="s">
        <v>586</v>
      </c>
      <c r="B1729" t="str">
        <f>_xlfn.XLOOKUP(A1729,[1]Municipios!$B:$B,[1]Municipios!$C:$C)</f>
        <v>Norte</v>
      </c>
      <c r="C1729" t="str">
        <f>_xlfn.XLOOKUP(A1729,[1]Municipios!$B:$B,[1]Municipios!$D:$D)</f>
        <v>Vale Do Ivaí</v>
      </c>
      <c r="D1729">
        <v>2025</v>
      </c>
      <c r="E1729" t="s">
        <v>237</v>
      </c>
      <c r="F1729">
        <v>0</v>
      </c>
      <c r="G1729">
        <v>39.369999999999997</v>
      </c>
    </row>
    <row r="1730" spans="1:7" x14ac:dyDescent="0.25">
      <c r="A1730" t="s">
        <v>450</v>
      </c>
      <c r="B1730" t="str">
        <f>_xlfn.XLOOKUP(A1730,[1]Municipios!$B:$B,[1]Municipios!$C:$C)</f>
        <v>Oeste</v>
      </c>
      <c r="C1730" t="str">
        <f>_xlfn.XLOOKUP(A1730,[1]Municipios!$B:$B,[1]Municipios!$D:$D)</f>
        <v>Oeste Integrado</v>
      </c>
      <c r="D1730">
        <v>2025</v>
      </c>
      <c r="E1730" t="s">
        <v>231</v>
      </c>
      <c r="F1730">
        <v>0.66669999999999996</v>
      </c>
      <c r="G1730">
        <v>74.760000000000005</v>
      </c>
    </row>
    <row r="1731" spans="1:7" x14ac:dyDescent="0.25">
      <c r="A1731" t="s">
        <v>450</v>
      </c>
      <c r="B1731" t="str">
        <f>_xlfn.XLOOKUP(A1731,[1]Municipios!$B:$B,[1]Municipios!$C:$C)</f>
        <v>Oeste</v>
      </c>
      <c r="C1731" t="str">
        <f>_xlfn.XLOOKUP(A1731,[1]Municipios!$B:$B,[1]Municipios!$D:$D)</f>
        <v>Oeste Integrado</v>
      </c>
      <c r="D1731">
        <v>2025</v>
      </c>
      <c r="E1731" t="s">
        <v>232</v>
      </c>
      <c r="F1731">
        <v>0.84619999999999995</v>
      </c>
      <c r="G1731">
        <v>74.760000000000005</v>
      </c>
    </row>
    <row r="1732" spans="1:7" x14ac:dyDescent="0.25">
      <c r="A1732" t="s">
        <v>450</v>
      </c>
      <c r="B1732" t="str">
        <f>_xlfn.XLOOKUP(A1732,[1]Municipios!$B:$B,[1]Municipios!$C:$C)</f>
        <v>Oeste</v>
      </c>
      <c r="C1732" t="str">
        <f>_xlfn.XLOOKUP(A1732,[1]Municipios!$B:$B,[1]Municipios!$D:$D)</f>
        <v>Oeste Integrado</v>
      </c>
      <c r="D1732">
        <v>2025</v>
      </c>
      <c r="E1732" t="s">
        <v>233</v>
      </c>
      <c r="F1732">
        <v>0.625</v>
      </c>
      <c r="G1732">
        <v>74.760000000000005</v>
      </c>
    </row>
    <row r="1733" spans="1:7" x14ac:dyDescent="0.25">
      <c r="A1733" t="s">
        <v>450</v>
      </c>
      <c r="B1733" t="str">
        <f>_xlfn.XLOOKUP(A1733,[1]Municipios!$B:$B,[1]Municipios!$C:$C)</f>
        <v>Oeste</v>
      </c>
      <c r="C1733" t="str">
        <f>_xlfn.XLOOKUP(A1733,[1]Municipios!$B:$B,[1]Municipios!$D:$D)</f>
        <v>Oeste Integrado</v>
      </c>
      <c r="D1733">
        <v>2025</v>
      </c>
      <c r="E1733" t="s">
        <v>215</v>
      </c>
      <c r="F1733">
        <v>0.70000000000000007</v>
      </c>
      <c r="G1733">
        <v>74.760000000000005</v>
      </c>
    </row>
    <row r="1734" spans="1:7" x14ac:dyDescent="0.25">
      <c r="A1734" t="s">
        <v>450</v>
      </c>
      <c r="B1734" t="str">
        <f>_xlfn.XLOOKUP(A1734,[1]Municipios!$B:$B,[1]Municipios!$C:$C)</f>
        <v>Oeste</v>
      </c>
      <c r="C1734" t="str">
        <f>_xlfn.XLOOKUP(A1734,[1]Municipios!$B:$B,[1]Municipios!$D:$D)</f>
        <v>Oeste Integrado</v>
      </c>
      <c r="D1734">
        <v>2025</v>
      </c>
      <c r="E1734" t="s">
        <v>234</v>
      </c>
      <c r="F1734">
        <v>0.77780000000000005</v>
      </c>
      <c r="G1734">
        <v>74.760000000000005</v>
      </c>
    </row>
    <row r="1735" spans="1:7" x14ac:dyDescent="0.25">
      <c r="A1735" t="s">
        <v>450</v>
      </c>
      <c r="B1735" t="str">
        <f>_xlfn.XLOOKUP(A1735,[1]Municipios!$B:$B,[1]Municipios!$C:$C)</f>
        <v>Oeste</v>
      </c>
      <c r="C1735" t="str">
        <f>_xlfn.XLOOKUP(A1735,[1]Municipios!$B:$B,[1]Municipios!$D:$D)</f>
        <v>Oeste Integrado</v>
      </c>
      <c r="D1735">
        <v>2025</v>
      </c>
      <c r="E1735" t="s">
        <v>235</v>
      </c>
      <c r="F1735">
        <v>0.85720000000000007</v>
      </c>
      <c r="G1735">
        <v>74.760000000000005</v>
      </c>
    </row>
    <row r="1736" spans="1:7" x14ac:dyDescent="0.25">
      <c r="A1736" t="s">
        <v>450</v>
      </c>
      <c r="B1736" t="str">
        <f>_xlfn.XLOOKUP(A1736,[1]Municipios!$B:$B,[1]Municipios!$C:$C)</f>
        <v>Oeste</v>
      </c>
      <c r="C1736" t="str">
        <f>_xlfn.XLOOKUP(A1736,[1]Municipios!$B:$B,[1]Municipios!$D:$D)</f>
        <v>Oeste Integrado</v>
      </c>
      <c r="D1736">
        <v>2025</v>
      </c>
      <c r="E1736" t="s">
        <v>236</v>
      </c>
      <c r="F1736">
        <v>0.38480000000000003</v>
      </c>
      <c r="G1736">
        <v>74.760000000000005</v>
      </c>
    </row>
    <row r="1737" spans="1:7" x14ac:dyDescent="0.25">
      <c r="A1737" t="s">
        <v>450</v>
      </c>
      <c r="B1737" t="str">
        <f>_xlfn.XLOOKUP(A1737,[1]Municipios!$B:$B,[1]Municipios!$C:$C)</f>
        <v>Oeste</v>
      </c>
      <c r="C1737" t="str">
        <f>_xlfn.XLOOKUP(A1737,[1]Municipios!$B:$B,[1]Municipios!$D:$D)</f>
        <v>Oeste Integrado</v>
      </c>
      <c r="D1737">
        <v>2025</v>
      </c>
      <c r="E1737" t="s">
        <v>237</v>
      </c>
      <c r="F1737">
        <v>1</v>
      </c>
      <c r="G1737">
        <v>74.760000000000005</v>
      </c>
    </row>
    <row r="1738" spans="1:7" x14ac:dyDescent="0.25">
      <c r="A1738" t="s">
        <v>379</v>
      </c>
      <c r="B1738" t="str">
        <f>_xlfn.XLOOKUP(A1738,[1]Municipios!$B:$B,[1]Municipios!$C:$C)</f>
        <v>Leste</v>
      </c>
      <c r="C1738" t="str">
        <f>_xlfn.XLOOKUP(A1738,[1]Municipios!$B:$B,[1]Municipios!$D:$D)</f>
        <v>Litoral</v>
      </c>
      <c r="D1738">
        <v>2025</v>
      </c>
      <c r="E1738" t="s">
        <v>231</v>
      </c>
      <c r="F1738">
        <v>0.66669999999999996</v>
      </c>
      <c r="G1738">
        <v>83.65</v>
      </c>
    </row>
    <row r="1739" spans="1:7" x14ac:dyDescent="0.25">
      <c r="A1739" t="s">
        <v>379</v>
      </c>
      <c r="B1739" t="str">
        <f>_xlfn.XLOOKUP(A1739,[1]Municipios!$B:$B,[1]Municipios!$C:$C)</f>
        <v>Leste</v>
      </c>
      <c r="C1739" t="str">
        <f>_xlfn.XLOOKUP(A1739,[1]Municipios!$B:$B,[1]Municipios!$D:$D)</f>
        <v>Litoral</v>
      </c>
      <c r="D1739">
        <v>2025</v>
      </c>
      <c r="E1739" t="s">
        <v>232</v>
      </c>
      <c r="F1739">
        <v>0.92310000000000003</v>
      </c>
      <c r="G1739">
        <v>83.65</v>
      </c>
    </row>
    <row r="1740" spans="1:7" x14ac:dyDescent="0.25">
      <c r="A1740" t="s">
        <v>379</v>
      </c>
      <c r="B1740" t="str">
        <f>_xlfn.XLOOKUP(A1740,[1]Municipios!$B:$B,[1]Municipios!$C:$C)</f>
        <v>Leste</v>
      </c>
      <c r="C1740" t="str">
        <f>_xlfn.XLOOKUP(A1740,[1]Municipios!$B:$B,[1]Municipios!$D:$D)</f>
        <v>Litoral</v>
      </c>
      <c r="D1740">
        <v>2025</v>
      </c>
      <c r="E1740" t="s">
        <v>233</v>
      </c>
      <c r="F1740">
        <v>1</v>
      </c>
      <c r="G1740">
        <v>83.65</v>
      </c>
    </row>
    <row r="1741" spans="1:7" x14ac:dyDescent="0.25">
      <c r="A1741" t="s">
        <v>379</v>
      </c>
      <c r="B1741" t="str">
        <f>_xlfn.XLOOKUP(A1741,[1]Municipios!$B:$B,[1]Municipios!$C:$C)</f>
        <v>Leste</v>
      </c>
      <c r="C1741" t="str">
        <f>_xlfn.XLOOKUP(A1741,[1]Municipios!$B:$B,[1]Municipios!$D:$D)</f>
        <v>Litoral</v>
      </c>
      <c r="D1741">
        <v>2025</v>
      </c>
      <c r="E1741" t="s">
        <v>215</v>
      </c>
      <c r="F1741">
        <v>0.85</v>
      </c>
      <c r="G1741">
        <v>83.65</v>
      </c>
    </row>
    <row r="1742" spans="1:7" x14ac:dyDescent="0.25">
      <c r="A1742" t="s">
        <v>379</v>
      </c>
      <c r="B1742" t="str">
        <f>_xlfn.XLOOKUP(A1742,[1]Municipios!$B:$B,[1]Municipios!$C:$C)</f>
        <v>Leste</v>
      </c>
      <c r="C1742" t="str">
        <f>_xlfn.XLOOKUP(A1742,[1]Municipios!$B:$B,[1]Municipios!$D:$D)</f>
        <v>Litoral</v>
      </c>
      <c r="D1742">
        <v>2025</v>
      </c>
      <c r="E1742" t="s">
        <v>234</v>
      </c>
      <c r="F1742">
        <v>0.77780000000000005</v>
      </c>
      <c r="G1742">
        <v>83.65</v>
      </c>
    </row>
    <row r="1743" spans="1:7" x14ac:dyDescent="0.25">
      <c r="A1743" t="s">
        <v>379</v>
      </c>
      <c r="B1743" t="str">
        <f>_xlfn.XLOOKUP(A1743,[1]Municipios!$B:$B,[1]Municipios!$C:$C)</f>
        <v>Leste</v>
      </c>
      <c r="C1743" t="str">
        <f>_xlfn.XLOOKUP(A1743,[1]Municipios!$B:$B,[1]Municipios!$D:$D)</f>
        <v>Litoral</v>
      </c>
      <c r="D1743">
        <v>2025</v>
      </c>
      <c r="E1743" t="s">
        <v>235</v>
      </c>
      <c r="F1743">
        <v>1</v>
      </c>
      <c r="G1743">
        <v>83.65</v>
      </c>
    </row>
    <row r="1744" spans="1:7" x14ac:dyDescent="0.25">
      <c r="A1744" t="s">
        <v>379</v>
      </c>
      <c r="B1744" t="str">
        <f>_xlfn.XLOOKUP(A1744,[1]Municipios!$B:$B,[1]Municipios!$C:$C)</f>
        <v>Leste</v>
      </c>
      <c r="C1744" t="str">
        <f>_xlfn.XLOOKUP(A1744,[1]Municipios!$B:$B,[1]Municipios!$D:$D)</f>
        <v>Litoral</v>
      </c>
      <c r="D1744">
        <v>2025</v>
      </c>
      <c r="E1744" t="s">
        <v>236</v>
      </c>
      <c r="F1744">
        <v>0.53849999999999987</v>
      </c>
      <c r="G1744">
        <v>83.65</v>
      </c>
    </row>
    <row r="1745" spans="1:7" x14ac:dyDescent="0.25">
      <c r="A1745" t="s">
        <v>379</v>
      </c>
      <c r="B1745" t="str">
        <f>_xlfn.XLOOKUP(A1745,[1]Municipios!$B:$B,[1]Municipios!$C:$C)</f>
        <v>Leste</v>
      </c>
      <c r="C1745" t="str">
        <f>_xlfn.XLOOKUP(A1745,[1]Municipios!$B:$B,[1]Municipios!$D:$D)</f>
        <v>Litoral</v>
      </c>
      <c r="D1745">
        <v>2025</v>
      </c>
      <c r="E1745" t="s">
        <v>237</v>
      </c>
      <c r="F1745">
        <v>1</v>
      </c>
      <c r="G1745">
        <v>83.65</v>
      </c>
    </row>
    <row r="1746" spans="1:7" x14ac:dyDescent="0.25">
      <c r="A1746" t="s">
        <v>587</v>
      </c>
      <c r="B1746" t="str">
        <f>_xlfn.XLOOKUP(A1746,[1]Municipios!$B:$B,[1]Municipios!$C:$C)</f>
        <v>Centro</v>
      </c>
      <c r="C1746" t="str">
        <f>_xlfn.XLOOKUP(A1746,[1]Municipios!$B:$B,[1]Municipios!$D:$D)</f>
        <v>Paraná Centro</v>
      </c>
      <c r="D1746">
        <v>2025</v>
      </c>
      <c r="E1746" t="s">
        <v>231</v>
      </c>
      <c r="F1746">
        <v>0.22229999999999991</v>
      </c>
      <c r="G1746">
        <v>47.46</v>
      </c>
    </row>
    <row r="1747" spans="1:7" x14ac:dyDescent="0.25">
      <c r="A1747" t="s">
        <v>587</v>
      </c>
      <c r="B1747" t="str">
        <f>_xlfn.XLOOKUP(A1747,[1]Municipios!$B:$B,[1]Municipios!$C:$C)</f>
        <v>Centro</v>
      </c>
      <c r="C1747" t="str">
        <f>_xlfn.XLOOKUP(A1747,[1]Municipios!$B:$B,[1]Municipios!$D:$D)</f>
        <v>Paraná Centro</v>
      </c>
      <c r="D1747">
        <v>2025</v>
      </c>
      <c r="E1747" t="s">
        <v>232</v>
      </c>
      <c r="F1747">
        <v>0.69230000000000003</v>
      </c>
      <c r="G1747">
        <v>47.46</v>
      </c>
    </row>
    <row r="1748" spans="1:7" x14ac:dyDescent="0.25">
      <c r="A1748" t="s">
        <v>587</v>
      </c>
      <c r="B1748" t="str">
        <f>_xlfn.XLOOKUP(A1748,[1]Municipios!$B:$B,[1]Municipios!$C:$C)</f>
        <v>Centro</v>
      </c>
      <c r="C1748" t="str">
        <f>_xlfn.XLOOKUP(A1748,[1]Municipios!$B:$B,[1]Municipios!$D:$D)</f>
        <v>Paraná Centro</v>
      </c>
      <c r="D1748">
        <v>2025</v>
      </c>
      <c r="E1748" t="s">
        <v>233</v>
      </c>
      <c r="F1748">
        <v>0.5</v>
      </c>
      <c r="G1748">
        <v>47.46</v>
      </c>
    </row>
    <row r="1749" spans="1:7" x14ac:dyDescent="0.25">
      <c r="A1749" t="s">
        <v>587</v>
      </c>
      <c r="B1749" t="str">
        <f>_xlfn.XLOOKUP(A1749,[1]Municipios!$B:$B,[1]Municipios!$C:$C)</f>
        <v>Centro</v>
      </c>
      <c r="C1749" t="str">
        <f>_xlfn.XLOOKUP(A1749,[1]Municipios!$B:$B,[1]Municipios!$D:$D)</f>
        <v>Paraná Centro</v>
      </c>
      <c r="D1749">
        <v>2025</v>
      </c>
      <c r="E1749" t="s">
        <v>215</v>
      </c>
      <c r="F1749">
        <v>0.6</v>
      </c>
      <c r="G1749">
        <v>47.46</v>
      </c>
    </row>
    <row r="1750" spans="1:7" x14ac:dyDescent="0.25">
      <c r="A1750" t="s">
        <v>587</v>
      </c>
      <c r="B1750" t="str">
        <f>_xlfn.XLOOKUP(A1750,[1]Municipios!$B:$B,[1]Municipios!$C:$C)</f>
        <v>Centro</v>
      </c>
      <c r="C1750" t="str">
        <f>_xlfn.XLOOKUP(A1750,[1]Municipios!$B:$B,[1]Municipios!$D:$D)</f>
        <v>Paraná Centro</v>
      </c>
      <c r="D1750">
        <v>2025</v>
      </c>
      <c r="E1750" t="s">
        <v>234</v>
      </c>
      <c r="F1750">
        <v>0.33329999999999999</v>
      </c>
      <c r="G1750">
        <v>47.46</v>
      </c>
    </row>
    <row r="1751" spans="1:7" x14ac:dyDescent="0.25">
      <c r="A1751" t="s">
        <v>587</v>
      </c>
      <c r="B1751" t="str">
        <f>_xlfn.XLOOKUP(A1751,[1]Municipios!$B:$B,[1]Municipios!$C:$C)</f>
        <v>Centro</v>
      </c>
      <c r="C1751" t="str">
        <f>_xlfn.XLOOKUP(A1751,[1]Municipios!$B:$B,[1]Municipios!$D:$D)</f>
        <v>Paraná Centro</v>
      </c>
      <c r="D1751">
        <v>2025</v>
      </c>
      <c r="E1751" t="s">
        <v>235</v>
      </c>
      <c r="F1751">
        <v>0.42869999999999997</v>
      </c>
      <c r="G1751">
        <v>47.46</v>
      </c>
    </row>
    <row r="1752" spans="1:7" x14ac:dyDescent="0.25">
      <c r="A1752" t="s">
        <v>587</v>
      </c>
      <c r="B1752" t="str">
        <f>_xlfn.XLOOKUP(A1752,[1]Municipios!$B:$B,[1]Municipios!$C:$C)</f>
        <v>Centro</v>
      </c>
      <c r="C1752" t="str">
        <f>_xlfn.XLOOKUP(A1752,[1]Municipios!$B:$B,[1]Municipios!$D:$D)</f>
        <v>Paraná Centro</v>
      </c>
      <c r="D1752">
        <v>2025</v>
      </c>
      <c r="E1752" t="s">
        <v>236</v>
      </c>
      <c r="F1752">
        <v>7.6999999999999999E-2</v>
      </c>
      <c r="G1752">
        <v>47.46</v>
      </c>
    </row>
    <row r="1753" spans="1:7" x14ac:dyDescent="0.25">
      <c r="A1753" t="s">
        <v>587</v>
      </c>
      <c r="B1753" t="str">
        <f>_xlfn.XLOOKUP(A1753,[1]Municipios!$B:$B,[1]Municipios!$C:$C)</f>
        <v>Centro</v>
      </c>
      <c r="C1753" t="str">
        <f>_xlfn.XLOOKUP(A1753,[1]Municipios!$B:$B,[1]Municipios!$D:$D)</f>
        <v>Paraná Centro</v>
      </c>
      <c r="D1753">
        <v>2025</v>
      </c>
      <c r="E1753" t="s">
        <v>237</v>
      </c>
      <c r="F1753">
        <v>1</v>
      </c>
      <c r="G1753">
        <v>47.46</v>
      </c>
    </row>
    <row r="1754" spans="1:7" x14ac:dyDescent="0.25">
      <c r="A1754" t="s">
        <v>516</v>
      </c>
      <c r="B1754" t="str">
        <f>_xlfn.XLOOKUP(A1754,[1]Municipios!$B:$B,[1]Municipios!$C:$C)</f>
        <v>Norte</v>
      </c>
      <c r="C1754" t="str">
        <f>_xlfn.XLOOKUP(A1754,[1]Municipios!$B:$B,[1]Municipios!$D:$D)</f>
        <v>Vale Do Ivaí</v>
      </c>
      <c r="D1754">
        <v>2025</v>
      </c>
      <c r="E1754" t="s">
        <v>231</v>
      </c>
      <c r="F1754">
        <v>0.66669999999999996</v>
      </c>
      <c r="G1754">
        <v>60.3</v>
      </c>
    </row>
    <row r="1755" spans="1:7" x14ac:dyDescent="0.25">
      <c r="A1755" t="s">
        <v>516</v>
      </c>
      <c r="B1755" t="str">
        <f>_xlfn.XLOOKUP(A1755,[1]Municipios!$B:$B,[1]Municipios!$C:$C)</f>
        <v>Norte</v>
      </c>
      <c r="C1755" t="str">
        <f>_xlfn.XLOOKUP(A1755,[1]Municipios!$B:$B,[1]Municipios!$D:$D)</f>
        <v>Vale Do Ivaí</v>
      </c>
      <c r="D1755">
        <v>2025</v>
      </c>
      <c r="E1755" t="s">
        <v>232</v>
      </c>
      <c r="F1755">
        <v>0.76929999999999998</v>
      </c>
      <c r="G1755">
        <v>60.3</v>
      </c>
    </row>
    <row r="1756" spans="1:7" x14ac:dyDescent="0.25">
      <c r="A1756" t="s">
        <v>516</v>
      </c>
      <c r="B1756" t="str">
        <f>_xlfn.XLOOKUP(A1756,[1]Municipios!$B:$B,[1]Municipios!$C:$C)</f>
        <v>Norte</v>
      </c>
      <c r="C1756" t="str">
        <f>_xlfn.XLOOKUP(A1756,[1]Municipios!$B:$B,[1]Municipios!$D:$D)</f>
        <v>Vale Do Ivaí</v>
      </c>
      <c r="D1756">
        <v>2025</v>
      </c>
      <c r="E1756" t="s">
        <v>233</v>
      </c>
      <c r="F1756">
        <v>0.625</v>
      </c>
      <c r="G1756">
        <v>60.3</v>
      </c>
    </row>
    <row r="1757" spans="1:7" x14ac:dyDescent="0.25">
      <c r="A1757" t="s">
        <v>516</v>
      </c>
      <c r="B1757" t="str">
        <f>_xlfn.XLOOKUP(A1757,[1]Municipios!$B:$B,[1]Municipios!$C:$C)</f>
        <v>Norte</v>
      </c>
      <c r="C1757" t="str">
        <f>_xlfn.XLOOKUP(A1757,[1]Municipios!$B:$B,[1]Municipios!$D:$D)</f>
        <v>Vale Do Ivaí</v>
      </c>
      <c r="D1757">
        <v>2025</v>
      </c>
      <c r="E1757" t="s">
        <v>215</v>
      </c>
      <c r="F1757">
        <v>0.70000000000000007</v>
      </c>
      <c r="G1757">
        <v>60.3</v>
      </c>
    </row>
    <row r="1758" spans="1:7" x14ac:dyDescent="0.25">
      <c r="A1758" t="s">
        <v>516</v>
      </c>
      <c r="B1758" t="str">
        <f>_xlfn.XLOOKUP(A1758,[1]Municipios!$B:$B,[1]Municipios!$C:$C)</f>
        <v>Norte</v>
      </c>
      <c r="C1758" t="str">
        <f>_xlfn.XLOOKUP(A1758,[1]Municipios!$B:$B,[1]Municipios!$D:$D)</f>
        <v>Vale Do Ivaí</v>
      </c>
      <c r="D1758">
        <v>2025</v>
      </c>
      <c r="E1758" t="s">
        <v>234</v>
      </c>
      <c r="F1758">
        <v>0.66659999999999997</v>
      </c>
      <c r="G1758">
        <v>60.3</v>
      </c>
    </row>
    <row r="1759" spans="1:7" x14ac:dyDescent="0.25">
      <c r="A1759" t="s">
        <v>516</v>
      </c>
      <c r="B1759" t="str">
        <f>_xlfn.XLOOKUP(A1759,[1]Municipios!$B:$B,[1]Municipios!$C:$C)</f>
        <v>Norte</v>
      </c>
      <c r="C1759" t="str">
        <f>_xlfn.XLOOKUP(A1759,[1]Municipios!$B:$B,[1]Municipios!$D:$D)</f>
        <v>Vale Do Ivaí</v>
      </c>
      <c r="D1759">
        <v>2025</v>
      </c>
      <c r="E1759" t="s">
        <v>235</v>
      </c>
      <c r="F1759">
        <v>0.71429999999999993</v>
      </c>
      <c r="G1759">
        <v>60.3</v>
      </c>
    </row>
    <row r="1760" spans="1:7" x14ac:dyDescent="0.25">
      <c r="A1760" t="s">
        <v>516</v>
      </c>
      <c r="B1760" t="str">
        <f>_xlfn.XLOOKUP(A1760,[1]Municipios!$B:$B,[1]Municipios!$C:$C)</f>
        <v>Norte</v>
      </c>
      <c r="C1760" t="str">
        <f>_xlfn.XLOOKUP(A1760,[1]Municipios!$B:$B,[1]Municipios!$D:$D)</f>
        <v>Vale Do Ivaí</v>
      </c>
      <c r="D1760">
        <v>2025</v>
      </c>
      <c r="E1760" t="s">
        <v>236</v>
      </c>
      <c r="F1760">
        <v>7.6999999999999999E-2</v>
      </c>
      <c r="G1760">
        <v>60.3</v>
      </c>
    </row>
    <row r="1761" spans="1:7" x14ac:dyDescent="0.25">
      <c r="A1761" t="s">
        <v>516</v>
      </c>
      <c r="B1761" t="str">
        <f>_xlfn.XLOOKUP(A1761,[1]Municipios!$B:$B,[1]Municipios!$C:$C)</f>
        <v>Norte</v>
      </c>
      <c r="C1761" t="str">
        <f>_xlfn.XLOOKUP(A1761,[1]Municipios!$B:$B,[1]Municipios!$D:$D)</f>
        <v>Vale Do Ivaí</v>
      </c>
      <c r="D1761">
        <v>2025</v>
      </c>
      <c r="E1761" t="s">
        <v>237</v>
      </c>
      <c r="F1761">
        <v>0.5</v>
      </c>
      <c r="G1761">
        <v>60.3</v>
      </c>
    </row>
    <row r="1762" spans="1:7" x14ac:dyDescent="0.25">
      <c r="A1762" t="s">
        <v>451</v>
      </c>
      <c r="B1762" t="str">
        <f>_xlfn.XLOOKUP(A1762,[1]Municipios!$B:$B,[1]Municipios!$C:$C)</f>
        <v>Oeste</v>
      </c>
      <c r="C1762" t="str">
        <f>_xlfn.XLOOKUP(A1762,[1]Municipios!$B:$B,[1]Municipios!$D:$D)</f>
        <v>Oeste Integrado</v>
      </c>
      <c r="D1762">
        <v>2025</v>
      </c>
      <c r="E1762" t="s">
        <v>231</v>
      </c>
      <c r="F1762">
        <v>0.66669999999999996</v>
      </c>
      <c r="G1762">
        <v>91.38</v>
      </c>
    </row>
    <row r="1763" spans="1:7" x14ac:dyDescent="0.25">
      <c r="A1763" t="s">
        <v>451</v>
      </c>
      <c r="B1763" t="str">
        <f>_xlfn.XLOOKUP(A1763,[1]Municipios!$B:$B,[1]Municipios!$C:$C)</f>
        <v>Oeste</v>
      </c>
      <c r="C1763" t="str">
        <f>_xlfn.XLOOKUP(A1763,[1]Municipios!$B:$B,[1]Municipios!$D:$D)</f>
        <v>Oeste Integrado</v>
      </c>
      <c r="D1763">
        <v>2025</v>
      </c>
      <c r="E1763" t="s">
        <v>232</v>
      </c>
      <c r="F1763">
        <v>1</v>
      </c>
      <c r="G1763">
        <v>91.38</v>
      </c>
    </row>
    <row r="1764" spans="1:7" x14ac:dyDescent="0.25">
      <c r="A1764" t="s">
        <v>451</v>
      </c>
      <c r="B1764" t="str">
        <f>_xlfn.XLOOKUP(A1764,[1]Municipios!$B:$B,[1]Municipios!$C:$C)</f>
        <v>Oeste</v>
      </c>
      <c r="C1764" t="str">
        <f>_xlfn.XLOOKUP(A1764,[1]Municipios!$B:$B,[1]Municipios!$D:$D)</f>
        <v>Oeste Integrado</v>
      </c>
      <c r="D1764">
        <v>2025</v>
      </c>
      <c r="E1764" t="s">
        <v>233</v>
      </c>
      <c r="F1764">
        <v>0.75</v>
      </c>
      <c r="G1764">
        <v>91.38</v>
      </c>
    </row>
    <row r="1765" spans="1:7" x14ac:dyDescent="0.25">
      <c r="A1765" t="s">
        <v>451</v>
      </c>
      <c r="B1765" t="str">
        <f>_xlfn.XLOOKUP(A1765,[1]Municipios!$B:$B,[1]Municipios!$C:$C)</f>
        <v>Oeste</v>
      </c>
      <c r="C1765" t="str">
        <f>_xlfn.XLOOKUP(A1765,[1]Municipios!$B:$B,[1]Municipios!$D:$D)</f>
        <v>Oeste Integrado</v>
      </c>
      <c r="D1765">
        <v>2025</v>
      </c>
      <c r="E1765" t="s">
        <v>215</v>
      </c>
      <c r="F1765">
        <v>0.95000000000000007</v>
      </c>
      <c r="G1765">
        <v>91.38</v>
      </c>
    </row>
    <row r="1766" spans="1:7" x14ac:dyDescent="0.25">
      <c r="A1766" t="s">
        <v>451</v>
      </c>
      <c r="B1766" t="str">
        <f>_xlfn.XLOOKUP(A1766,[1]Municipios!$B:$B,[1]Municipios!$C:$C)</f>
        <v>Oeste</v>
      </c>
      <c r="C1766" t="str">
        <f>_xlfn.XLOOKUP(A1766,[1]Municipios!$B:$B,[1]Municipios!$D:$D)</f>
        <v>Oeste Integrado</v>
      </c>
      <c r="D1766">
        <v>2025</v>
      </c>
      <c r="E1766" t="s">
        <v>234</v>
      </c>
      <c r="F1766">
        <v>1</v>
      </c>
      <c r="G1766">
        <v>91.38</v>
      </c>
    </row>
    <row r="1767" spans="1:7" x14ac:dyDescent="0.25">
      <c r="A1767" t="s">
        <v>451</v>
      </c>
      <c r="B1767" t="str">
        <f>_xlfn.XLOOKUP(A1767,[1]Municipios!$B:$B,[1]Municipios!$C:$C)</f>
        <v>Oeste</v>
      </c>
      <c r="C1767" t="str">
        <f>_xlfn.XLOOKUP(A1767,[1]Municipios!$B:$B,[1]Municipios!$D:$D)</f>
        <v>Oeste Integrado</v>
      </c>
      <c r="D1767">
        <v>2025</v>
      </c>
      <c r="E1767" t="s">
        <v>235</v>
      </c>
      <c r="F1767">
        <v>1</v>
      </c>
      <c r="G1767">
        <v>91.38</v>
      </c>
    </row>
    <row r="1768" spans="1:7" x14ac:dyDescent="0.25">
      <c r="A1768" t="s">
        <v>451</v>
      </c>
      <c r="B1768" t="str">
        <f>_xlfn.XLOOKUP(A1768,[1]Municipios!$B:$B,[1]Municipios!$C:$C)</f>
        <v>Oeste</v>
      </c>
      <c r="C1768" t="str">
        <f>_xlfn.XLOOKUP(A1768,[1]Municipios!$B:$B,[1]Municipios!$D:$D)</f>
        <v>Oeste Integrado</v>
      </c>
      <c r="D1768">
        <v>2025</v>
      </c>
      <c r="E1768" t="s">
        <v>236</v>
      </c>
      <c r="F1768">
        <v>0.76929999999999987</v>
      </c>
      <c r="G1768">
        <v>91.38</v>
      </c>
    </row>
    <row r="1769" spans="1:7" x14ac:dyDescent="0.25">
      <c r="A1769" t="s">
        <v>451</v>
      </c>
      <c r="B1769" t="str">
        <f>_xlfn.XLOOKUP(A1769,[1]Municipios!$B:$B,[1]Municipios!$C:$C)</f>
        <v>Oeste</v>
      </c>
      <c r="C1769" t="str">
        <f>_xlfn.XLOOKUP(A1769,[1]Municipios!$B:$B,[1]Municipios!$D:$D)</f>
        <v>Oeste Integrado</v>
      </c>
      <c r="D1769">
        <v>2025</v>
      </c>
      <c r="E1769" t="s">
        <v>237</v>
      </c>
      <c r="F1769">
        <v>1</v>
      </c>
      <c r="G1769">
        <v>91.38</v>
      </c>
    </row>
    <row r="1770" spans="1:7" x14ac:dyDescent="0.25">
      <c r="A1770" t="s">
        <v>452</v>
      </c>
      <c r="B1770" t="str">
        <f>_xlfn.XLOOKUP(A1770,[1]Municipios!$B:$B,[1]Municipios!$C:$C)</f>
        <v>Oeste</v>
      </c>
      <c r="C1770" t="str">
        <f>_xlfn.XLOOKUP(A1770,[1]Municipios!$B:$B,[1]Municipios!$D:$D)</f>
        <v>Oeste Integrado</v>
      </c>
      <c r="D1770">
        <v>2025</v>
      </c>
      <c r="E1770" t="s">
        <v>231</v>
      </c>
      <c r="F1770">
        <v>0.44439999999999996</v>
      </c>
      <c r="G1770">
        <v>73.48</v>
      </c>
    </row>
    <row r="1771" spans="1:7" x14ac:dyDescent="0.25">
      <c r="A1771" t="s">
        <v>452</v>
      </c>
      <c r="B1771" t="str">
        <f>_xlfn.XLOOKUP(A1771,[1]Municipios!$B:$B,[1]Municipios!$C:$C)</f>
        <v>Oeste</v>
      </c>
      <c r="C1771" t="str">
        <f>_xlfn.XLOOKUP(A1771,[1]Municipios!$B:$B,[1]Municipios!$D:$D)</f>
        <v>Oeste Integrado</v>
      </c>
      <c r="D1771">
        <v>2025</v>
      </c>
      <c r="E1771" t="s">
        <v>232</v>
      </c>
      <c r="F1771">
        <v>0.84619999999999995</v>
      </c>
      <c r="G1771">
        <v>73.48</v>
      </c>
    </row>
    <row r="1772" spans="1:7" x14ac:dyDescent="0.25">
      <c r="A1772" t="s">
        <v>452</v>
      </c>
      <c r="B1772" t="str">
        <f>_xlfn.XLOOKUP(A1772,[1]Municipios!$B:$B,[1]Municipios!$C:$C)</f>
        <v>Oeste</v>
      </c>
      <c r="C1772" t="str">
        <f>_xlfn.XLOOKUP(A1772,[1]Municipios!$B:$B,[1]Municipios!$D:$D)</f>
        <v>Oeste Integrado</v>
      </c>
      <c r="D1772">
        <v>2025</v>
      </c>
      <c r="E1772" t="s">
        <v>233</v>
      </c>
      <c r="F1772">
        <v>0.75</v>
      </c>
      <c r="G1772">
        <v>73.48</v>
      </c>
    </row>
    <row r="1773" spans="1:7" x14ac:dyDescent="0.25">
      <c r="A1773" t="s">
        <v>452</v>
      </c>
      <c r="B1773" t="str">
        <f>_xlfn.XLOOKUP(A1773,[1]Municipios!$B:$B,[1]Municipios!$C:$C)</f>
        <v>Oeste</v>
      </c>
      <c r="C1773" t="str">
        <f>_xlfn.XLOOKUP(A1773,[1]Municipios!$B:$B,[1]Municipios!$D:$D)</f>
        <v>Oeste Integrado</v>
      </c>
      <c r="D1773">
        <v>2025</v>
      </c>
      <c r="E1773" t="s">
        <v>215</v>
      </c>
      <c r="F1773">
        <v>0.9</v>
      </c>
      <c r="G1773">
        <v>73.48</v>
      </c>
    </row>
    <row r="1774" spans="1:7" x14ac:dyDescent="0.25">
      <c r="A1774" t="s">
        <v>452</v>
      </c>
      <c r="B1774" t="str">
        <f>_xlfn.XLOOKUP(A1774,[1]Municipios!$B:$B,[1]Municipios!$C:$C)</f>
        <v>Oeste</v>
      </c>
      <c r="C1774" t="str">
        <f>_xlfn.XLOOKUP(A1774,[1]Municipios!$B:$B,[1]Municipios!$D:$D)</f>
        <v>Oeste Integrado</v>
      </c>
      <c r="D1774">
        <v>2025</v>
      </c>
      <c r="E1774" t="s">
        <v>234</v>
      </c>
      <c r="F1774">
        <v>0.55549999999999999</v>
      </c>
      <c r="G1774">
        <v>73.48</v>
      </c>
    </row>
    <row r="1775" spans="1:7" x14ac:dyDescent="0.25">
      <c r="A1775" t="s">
        <v>452</v>
      </c>
      <c r="B1775" t="str">
        <f>_xlfn.XLOOKUP(A1775,[1]Municipios!$B:$B,[1]Municipios!$C:$C)</f>
        <v>Oeste</v>
      </c>
      <c r="C1775" t="str">
        <f>_xlfn.XLOOKUP(A1775,[1]Municipios!$B:$B,[1]Municipios!$D:$D)</f>
        <v>Oeste Integrado</v>
      </c>
      <c r="D1775">
        <v>2025</v>
      </c>
      <c r="E1775" t="s">
        <v>235</v>
      </c>
      <c r="F1775">
        <v>1</v>
      </c>
      <c r="G1775">
        <v>73.48</v>
      </c>
    </row>
    <row r="1776" spans="1:7" x14ac:dyDescent="0.25">
      <c r="A1776" t="s">
        <v>452</v>
      </c>
      <c r="B1776" t="str">
        <f>_xlfn.XLOOKUP(A1776,[1]Municipios!$B:$B,[1]Municipios!$C:$C)</f>
        <v>Oeste</v>
      </c>
      <c r="C1776" t="str">
        <f>_xlfn.XLOOKUP(A1776,[1]Municipios!$B:$B,[1]Municipios!$D:$D)</f>
        <v>Oeste Integrado</v>
      </c>
      <c r="D1776">
        <v>2025</v>
      </c>
      <c r="E1776" t="s">
        <v>236</v>
      </c>
      <c r="F1776">
        <v>0.38469999999999999</v>
      </c>
      <c r="G1776">
        <v>73.48</v>
      </c>
    </row>
    <row r="1777" spans="1:7" x14ac:dyDescent="0.25">
      <c r="A1777" t="s">
        <v>452</v>
      </c>
      <c r="B1777" t="str">
        <f>_xlfn.XLOOKUP(A1777,[1]Municipios!$B:$B,[1]Municipios!$C:$C)</f>
        <v>Oeste</v>
      </c>
      <c r="C1777" t="str">
        <f>_xlfn.XLOOKUP(A1777,[1]Municipios!$B:$B,[1]Municipios!$D:$D)</f>
        <v>Oeste Integrado</v>
      </c>
      <c r="D1777">
        <v>2025</v>
      </c>
      <c r="E1777" t="s">
        <v>237</v>
      </c>
      <c r="F1777">
        <v>1</v>
      </c>
      <c r="G1777">
        <v>73.48</v>
      </c>
    </row>
    <row r="1778" spans="1:7" x14ac:dyDescent="0.25">
      <c r="A1778" t="s">
        <v>588</v>
      </c>
      <c r="B1778" t="str">
        <f>_xlfn.XLOOKUP(A1778,[1]Municipios!$B:$B,[1]Municipios!$C:$C)</f>
        <v>Noroeste</v>
      </c>
      <c r="C1778" t="str">
        <f>_xlfn.XLOOKUP(A1778,[1]Municipios!$B:$B,[1]Municipios!$D:$D)</f>
        <v>Costa Noroeste</v>
      </c>
      <c r="D1778">
        <v>2025</v>
      </c>
      <c r="E1778" t="s">
        <v>231</v>
      </c>
      <c r="F1778">
        <v>0</v>
      </c>
      <c r="G1778">
        <v>0</v>
      </c>
    </row>
    <row r="1779" spans="1:7" x14ac:dyDescent="0.25">
      <c r="A1779" t="s">
        <v>588</v>
      </c>
      <c r="B1779" t="str">
        <f>_xlfn.XLOOKUP(A1779,[1]Municipios!$B:$B,[1]Municipios!$C:$C)</f>
        <v>Noroeste</v>
      </c>
      <c r="C1779" t="str">
        <f>_xlfn.XLOOKUP(A1779,[1]Municipios!$B:$B,[1]Municipios!$D:$D)</f>
        <v>Costa Noroeste</v>
      </c>
      <c r="D1779">
        <v>2025</v>
      </c>
      <c r="E1779" t="s">
        <v>232</v>
      </c>
      <c r="F1779">
        <v>0.15379999999999999</v>
      </c>
      <c r="G1779">
        <v>0</v>
      </c>
    </row>
    <row r="1780" spans="1:7" x14ac:dyDescent="0.25">
      <c r="A1780" t="s">
        <v>588</v>
      </c>
      <c r="B1780" t="str">
        <f>_xlfn.XLOOKUP(A1780,[1]Municipios!$B:$B,[1]Municipios!$C:$C)</f>
        <v>Noroeste</v>
      </c>
      <c r="C1780" t="str">
        <f>_xlfn.XLOOKUP(A1780,[1]Municipios!$B:$B,[1]Municipios!$D:$D)</f>
        <v>Costa Noroeste</v>
      </c>
      <c r="D1780">
        <v>2025</v>
      </c>
      <c r="E1780" t="s">
        <v>233</v>
      </c>
      <c r="F1780">
        <v>0.125</v>
      </c>
      <c r="G1780">
        <v>0</v>
      </c>
    </row>
    <row r="1781" spans="1:7" x14ac:dyDescent="0.25">
      <c r="A1781" t="s">
        <v>588</v>
      </c>
      <c r="B1781" t="str">
        <f>_xlfn.XLOOKUP(A1781,[1]Municipios!$B:$B,[1]Municipios!$C:$C)</f>
        <v>Noroeste</v>
      </c>
      <c r="C1781" t="str">
        <f>_xlfn.XLOOKUP(A1781,[1]Municipios!$B:$B,[1]Municipios!$D:$D)</f>
        <v>Costa Noroeste</v>
      </c>
      <c r="D1781">
        <v>2025</v>
      </c>
      <c r="E1781" t="s">
        <v>215</v>
      </c>
      <c r="F1781">
        <v>0</v>
      </c>
      <c r="G1781">
        <v>0</v>
      </c>
    </row>
    <row r="1782" spans="1:7" x14ac:dyDescent="0.25">
      <c r="A1782" t="s">
        <v>588</v>
      </c>
      <c r="B1782" t="str">
        <f>_xlfn.XLOOKUP(A1782,[1]Municipios!$B:$B,[1]Municipios!$C:$C)</f>
        <v>Noroeste</v>
      </c>
      <c r="C1782" t="str">
        <f>_xlfn.XLOOKUP(A1782,[1]Municipios!$B:$B,[1]Municipios!$D:$D)</f>
        <v>Costa Noroeste</v>
      </c>
      <c r="D1782">
        <v>2025</v>
      </c>
      <c r="E1782" t="s">
        <v>234</v>
      </c>
      <c r="F1782">
        <v>0</v>
      </c>
      <c r="G1782">
        <v>0</v>
      </c>
    </row>
    <row r="1783" spans="1:7" x14ac:dyDescent="0.25">
      <c r="A1783" t="s">
        <v>588</v>
      </c>
      <c r="B1783" t="str">
        <f>_xlfn.XLOOKUP(A1783,[1]Municipios!$B:$B,[1]Municipios!$C:$C)</f>
        <v>Noroeste</v>
      </c>
      <c r="C1783" t="str">
        <f>_xlfn.XLOOKUP(A1783,[1]Municipios!$B:$B,[1]Municipios!$D:$D)</f>
        <v>Costa Noroeste</v>
      </c>
      <c r="D1783">
        <v>2025</v>
      </c>
      <c r="E1783" t="s">
        <v>235</v>
      </c>
      <c r="F1783">
        <v>0.1429</v>
      </c>
      <c r="G1783">
        <v>0</v>
      </c>
    </row>
    <row r="1784" spans="1:7" x14ac:dyDescent="0.25">
      <c r="A1784" t="s">
        <v>588</v>
      </c>
      <c r="B1784" t="str">
        <f>_xlfn.XLOOKUP(A1784,[1]Municipios!$B:$B,[1]Municipios!$C:$C)</f>
        <v>Noroeste</v>
      </c>
      <c r="C1784" t="str">
        <f>_xlfn.XLOOKUP(A1784,[1]Municipios!$B:$B,[1]Municipios!$D:$D)</f>
        <v>Costa Noroeste</v>
      </c>
      <c r="D1784">
        <v>2025</v>
      </c>
      <c r="E1784" t="s">
        <v>236</v>
      </c>
      <c r="F1784">
        <v>0</v>
      </c>
      <c r="G1784">
        <v>0</v>
      </c>
    </row>
    <row r="1785" spans="1:7" x14ac:dyDescent="0.25">
      <c r="A1785" t="s">
        <v>588</v>
      </c>
      <c r="B1785" t="str">
        <f>_xlfn.XLOOKUP(A1785,[1]Municipios!$B:$B,[1]Municipios!$C:$C)</f>
        <v>Noroeste</v>
      </c>
      <c r="C1785" t="str">
        <f>_xlfn.XLOOKUP(A1785,[1]Municipios!$B:$B,[1]Municipios!$D:$D)</f>
        <v>Costa Noroeste</v>
      </c>
      <c r="D1785">
        <v>2025</v>
      </c>
      <c r="E1785" t="s">
        <v>237</v>
      </c>
      <c r="F1785">
        <v>0</v>
      </c>
      <c r="G1785">
        <v>0</v>
      </c>
    </row>
    <row r="1786" spans="1:7" x14ac:dyDescent="0.25">
      <c r="A1786" t="s">
        <v>475</v>
      </c>
      <c r="B1786" t="str">
        <f>_xlfn.XLOOKUP(A1786,[1]Municipios!$B:$B,[1]Municipios!$C:$C)</f>
        <v>Norte</v>
      </c>
      <c r="C1786" t="str">
        <f>_xlfn.XLOOKUP(A1786,[1]Municipios!$B:$B,[1]Municipios!$D:$D)</f>
        <v>Vale do Paranapanema</v>
      </c>
      <c r="D1786">
        <v>2025</v>
      </c>
      <c r="E1786" t="s">
        <v>231</v>
      </c>
      <c r="F1786">
        <v>0.11109999999999999</v>
      </c>
      <c r="G1786">
        <v>56.9</v>
      </c>
    </row>
    <row r="1787" spans="1:7" x14ac:dyDescent="0.25">
      <c r="A1787" t="s">
        <v>475</v>
      </c>
      <c r="B1787" t="str">
        <f>_xlfn.XLOOKUP(A1787,[1]Municipios!$B:$B,[1]Municipios!$C:$C)</f>
        <v>Norte</v>
      </c>
      <c r="C1787" t="str">
        <f>_xlfn.XLOOKUP(A1787,[1]Municipios!$B:$B,[1]Municipios!$D:$D)</f>
        <v>Vale do Paranapanema</v>
      </c>
      <c r="D1787">
        <v>2025</v>
      </c>
      <c r="E1787" t="s">
        <v>232</v>
      </c>
      <c r="F1787">
        <v>0.76919999999999999</v>
      </c>
      <c r="G1787">
        <v>56.9</v>
      </c>
    </row>
    <row r="1788" spans="1:7" x14ac:dyDescent="0.25">
      <c r="A1788" t="s">
        <v>475</v>
      </c>
      <c r="B1788" t="str">
        <f>_xlfn.XLOOKUP(A1788,[1]Municipios!$B:$B,[1]Municipios!$C:$C)</f>
        <v>Norte</v>
      </c>
      <c r="C1788" t="str">
        <f>_xlfn.XLOOKUP(A1788,[1]Municipios!$B:$B,[1]Municipios!$D:$D)</f>
        <v>Vale do Paranapanema</v>
      </c>
      <c r="D1788">
        <v>2025</v>
      </c>
      <c r="E1788" t="s">
        <v>233</v>
      </c>
      <c r="F1788">
        <v>0.5</v>
      </c>
      <c r="G1788">
        <v>56.9</v>
      </c>
    </row>
    <row r="1789" spans="1:7" x14ac:dyDescent="0.25">
      <c r="A1789" t="s">
        <v>475</v>
      </c>
      <c r="B1789" t="str">
        <f>_xlfn.XLOOKUP(A1789,[1]Municipios!$B:$B,[1]Municipios!$C:$C)</f>
        <v>Norte</v>
      </c>
      <c r="C1789" t="str">
        <f>_xlfn.XLOOKUP(A1789,[1]Municipios!$B:$B,[1]Municipios!$D:$D)</f>
        <v>Vale do Paranapanema</v>
      </c>
      <c r="D1789">
        <v>2025</v>
      </c>
      <c r="E1789" t="s">
        <v>215</v>
      </c>
      <c r="F1789">
        <v>0.79999999999999993</v>
      </c>
      <c r="G1789">
        <v>56.9</v>
      </c>
    </row>
    <row r="1790" spans="1:7" x14ac:dyDescent="0.25">
      <c r="A1790" t="s">
        <v>475</v>
      </c>
      <c r="B1790" t="str">
        <f>_xlfn.XLOOKUP(A1790,[1]Municipios!$B:$B,[1]Municipios!$C:$C)</f>
        <v>Norte</v>
      </c>
      <c r="C1790" t="str">
        <f>_xlfn.XLOOKUP(A1790,[1]Municipios!$B:$B,[1]Municipios!$D:$D)</f>
        <v>Vale do Paranapanema</v>
      </c>
      <c r="D1790">
        <v>2025</v>
      </c>
      <c r="E1790" t="s">
        <v>234</v>
      </c>
      <c r="F1790">
        <v>0.55549999999999999</v>
      </c>
      <c r="G1790">
        <v>56.9</v>
      </c>
    </row>
    <row r="1791" spans="1:7" x14ac:dyDescent="0.25">
      <c r="A1791" t="s">
        <v>475</v>
      </c>
      <c r="B1791" t="str">
        <f>_xlfn.XLOOKUP(A1791,[1]Municipios!$B:$B,[1]Municipios!$C:$C)</f>
        <v>Norte</v>
      </c>
      <c r="C1791" t="str">
        <f>_xlfn.XLOOKUP(A1791,[1]Municipios!$B:$B,[1]Municipios!$D:$D)</f>
        <v>Vale do Paranapanema</v>
      </c>
      <c r="D1791">
        <v>2025</v>
      </c>
      <c r="E1791" t="s">
        <v>235</v>
      </c>
      <c r="F1791">
        <v>0.71429999999999993</v>
      </c>
      <c r="G1791">
        <v>56.9</v>
      </c>
    </row>
    <row r="1792" spans="1:7" x14ac:dyDescent="0.25">
      <c r="A1792" t="s">
        <v>475</v>
      </c>
      <c r="B1792" t="str">
        <f>_xlfn.XLOOKUP(A1792,[1]Municipios!$B:$B,[1]Municipios!$C:$C)</f>
        <v>Norte</v>
      </c>
      <c r="C1792" t="str">
        <f>_xlfn.XLOOKUP(A1792,[1]Municipios!$B:$B,[1]Municipios!$D:$D)</f>
        <v>Vale do Paranapanema</v>
      </c>
      <c r="D1792">
        <v>2025</v>
      </c>
      <c r="E1792" t="s">
        <v>236</v>
      </c>
      <c r="F1792">
        <v>0</v>
      </c>
      <c r="G1792">
        <v>56.9</v>
      </c>
    </row>
    <row r="1793" spans="1:7" x14ac:dyDescent="0.25">
      <c r="A1793" t="s">
        <v>475</v>
      </c>
      <c r="B1793" t="str">
        <f>_xlfn.XLOOKUP(A1793,[1]Municipios!$B:$B,[1]Municipios!$C:$C)</f>
        <v>Norte</v>
      </c>
      <c r="C1793" t="str">
        <f>_xlfn.XLOOKUP(A1793,[1]Municipios!$B:$B,[1]Municipios!$D:$D)</f>
        <v>Vale do Paranapanema</v>
      </c>
      <c r="D1793">
        <v>2025</v>
      </c>
      <c r="E1793" t="s">
        <v>237</v>
      </c>
      <c r="F1793">
        <v>1</v>
      </c>
      <c r="G1793">
        <v>56.9</v>
      </c>
    </row>
    <row r="1794" spans="1:7" x14ac:dyDescent="0.25">
      <c r="A1794" t="s">
        <v>453</v>
      </c>
      <c r="B1794" t="str">
        <f>_xlfn.XLOOKUP(A1794,[1]Municipios!$B:$B,[1]Municipios!$C:$C)</f>
        <v>Oeste</v>
      </c>
      <c r="C1794" t="str">
        <f>_xlfn.XLOOKUP(A1794,[1]Municipios!$B:$B,[1]Municipios!$D:$D)</f>
        <v>Oeste Integrado</v>
      </c>
      <c r="D1794">
        <v>2025</v>
      </c>
      <c r="E1794" t="s">
        <v>231</v>
      </c>
      <c r="F1794">
        <v>0.88890000000000002</v>
      </c>
      <c r="G1794">
        <v>82.3</v>
      </c>
    </row>
    <row r="1795" spans="1:7" x14ac:dyDescent="0.25">
      <c r="A1795" t="s">
        <v>453</v>
      </c>
      <c r="B1795" t="str">
        <f>_xlfn.XLOOKUP(A1795,[1]Municipios!$B:$B,[1]Municipios!$C:$C)</f>
        <v>Oeste</v>
      </c>
      <c r="C1795" t="str">
        <f>_xlfn.XLOOKUP(A1795,[1]Municipios!$B:$B,[1]Municipios!$D:$D)</f>
        <v>Oeste Integrado</v>
      </c>
      <c r="D1795">
        <v>2025</v>
      </c>
      <c r="E1795" t="s">
        <v>232</v>
      </c>
      <c r="F1795">
        <v>0.84609999999999996</v>
      </c>
      <c r="G1795">
        <v>82.3</v>
      </c>
    </row>
    <row r="1796" spans="1:7" x14ac:dyDescent="0.25">
      <c r="A1796" t="s">
        <v>453</v>
      </c>
      <c r="B1796" t="str">
        <f>_xlfn.XLOOKUP(A1796,[1]Municipios!$B:$B,[1]Municipios!$C:$C)</f>
        <v>Oeste</v>
      </c>
      <c r="C1796" t="str">
        <f>_xlfn.XLOOKUP(A1796,[1]Municipios!$B:$B,[1]Municipios!$D:$D)</f>
        <v>Oeste Integrado</v>
      </c>
      <c r="D1796">
        <v>2025</v>
      </c>
      <c r="E1796" t="s">
        <v>233</v>
      </c>
      <c r="F1796">
        <v>0.875</v>
      </c>
      <c r="G1796">
        <v>82.3</v>
      </c>
    </row>
    <row r="1797" spans="1:7" x14ac:dyDescent="0.25">
      <c r="A1797" t="s">
        <v>453</v>
      </c>
      <c r="B1797" t="str">
        <f>_xlfn.XLOOKUP(A1797,[1]Municipios!$B:$B,[1]Municipios!$C:$C)</f>
        <v>Oeste</v>
      </c>
      <c r="C1797" t="str">
        <f>_xlfn.XLOOKUP(A1797,[1]Municipios!$B:$B,[1]Municipios!$D:$D)</f>
        <v>Oeste Integrado</v>
      </c>
      <c r="D1797">
        <v>2025</v>
      </c>
      <c r="E1797" t="s">
        <v>215</v>
      </c>
      <c r="F1797">
        <v>0.9</v>
      </c>
      <c r="G1797">
        <v>82.3</v>
      </c>
    </row>
    <row r="1798" spans="1:7" x14ac:dyDescent="0.25">
      <c r="A1798" t="s">
        <v>453</v>
      </c>
      <c r="B1798" t="str">
        <f>_xlfn.XLOOKUP(A1798,[1]Municipios!$B:$B,[1]Municipios!$C:$C)</f>
        <v>Oeste</v>
      </c>
      <c r="C1798" t="str">
        <f>_xlfn.XLOOKUP(A1798,[1]Municipios!$B:$B,[1]Municipios!$D:$D)</f>
        <v>Oeste Integrado</v>
      </c>
      <c r="D1798">
        <v>2025</v>
      </c>
      <c r="E1798" t="s">
        <v>234</v>
      </c>
      <c r="F1798">
        <v>0.77780000000000005</v>
      </c>
      <c r="G1798">
        <v>82.3</v>
      </c>
    </row>
    <row r="1799" spans="1:7" x14ac:dyDescent="0.25">
      <c r="A1799" t="s">
        <v>453</v>
      </c>
      <c r="B1799" t="str">
        <f>_xlfn.XLOOKUP(A1799,[1]Municipios!$B:$B,[1]Municipios!$C:$C)</f>
        <v>Oeste</v>
      </c>
      <c r="C1799" t="str">
        <f>_xlfn.XLOOKUP(A1799,[1]Municipios!$B:$B,[1]Municipios!$D:$D)</f>
        <v>Oeste Integrado</v>
      </c>
      <c r="D1799">
        <v>2025</v>
      </c>
      <c r="E1799" t="s">
        <v>235</v>
      </c>
      <c r="F1799">
        <v>1</v>
      </c>
      <c r="G1799">
        <v>82.3</v>
      </c>
    </row>
    <row r="1800" spans="1:7" x14ac:dyDescent="0.25">
      <c r="A1800" t="s">
        <v>453</v>
      </c>
      <c r="B1800" t="str">
        <f>_xlfn.XLOOKUP(A1800,[1]Municipios!$B:$B,[1]Municipios!$C:$C)</f>
        <v>Oeste</v>
      </c>
      <c r="C1800" t="str">
        <f>_xlfn.XLOOKUP(A1800,[1]Municipios!$B:$B,[1]Municipios!$D:$D)</f>
        <v>Oeste Integrado</v>
      </c>
      <c r="D1800">
        <v>2025</v>
      </c>
      <c r="E1800" t="s">
        <v>236</v>
      </c>
      <c r="F1800">
        <v>0.30790000000000001</v>
      </c>
      <c r="G1800">
        <v>82.3</v>
      </c>
    </row>
    <row r="1801" spans="1:7" x14ac:dyDescent="0.25">
      <c r="A1801" t="s">
        <v>453</v>
      </c>
      <c r="B1801" t="str">
        <f>_xlfn.XLOOKUP(A1801,[1]Municipios!$B:$B,[1]Municipios!$C:$C)</f>
        <v>Oeste</v>
      </c>
      <c r="C1801" t="str">
        <f>_xlfn.XLOOKUP(A1801,[1]Municipios!$B:$B,[1]Municipios!$D:$D)</f>
        <v>Oeste Integrado</v>
      </c>
      <c r="D1801">
        <v>2025</v>
      </c>
      <c r="E1801" t="s">
        <v>237</v>
      </c>
      <c r="F1801">
        <v>1</v>
      </c>
      <c r="G1801">
        <v>82.3</v>
      </c>
    </row>
    <row r="1802" spans="1:7" x14ac:dyDescent="0.25">
      <c r="A1802" t="s">
        <v>589</v>
      </c>
      <c r="B1802" t="str">
        <f>_xlfn.XLOOKUP(A1802,[1]Municipios!$B:$B,[1]Municipios!$C:$C)</f>
        <v>Noroeste</v>
      </c>
      <c r="C1802" t="str">
        <f>_xlfn.XLOOKUP(A1802,[1]Municipios!$B:$B,[1]Municipios!$D:$D)</f>
        <v>Centro Ocidental</v>
      </c>
      <c r="D1802">
        <v>2025</v>
      </c>
      <c r="E1802" t="s">
        <v>231</v>
      </c>
      <c r="F1802">
        <v>0.22219999999999998</v>
      </c>
      <c r="G1802">
        <v>30.63</v>
      </c>
    </row>
    <row r="1803" spans="1:7" x14ac:dyDescent="0.25">
      <c r="A1803" t="s">
        <v>589</v>
      </c>
      <c r="B1803" t="str">
        <f>_xlfn.XLOOKUP(A1803,[1]Municipios!$B:$B,[1]Municipios!$C:$C)</f>
        <v>Noroeste</v>
      </c>
      <c r="C1803" t="str">
        <f>_xlfn.XLOOKUP(A1803,[1]Municipios!$B:$B,[1]Municipios!$D:$D)</f>
        <v>Centro Ocidental</v>
      </c>
      <c r="D1803">
        <v>2025</v>
      </c>
      <c r="E1803" t="s">
        <v>232</v>
      </c>
      <c r="F1803">
        <v>0.3846</v>
      </c>
      <c r="G1803">
        <v>30.63</v>
      </c>
    </row>
    <row r="1804" spans="1:7" x14ac:dyDescent="0.25">
      <c r="A1804" t="s">
        <v>589</v>
      </c>
      <c r="B1804" t="str">
        <f>_xlfn.XLOOKUP(A1804,[1]Municipios!$B:$B,[1]Municipios!$C:$C)</f>
        <v>Noroeste</v>
      </c>
      <c r="C1804" t="str">
        <f>_xlfn.XLOOKUP(A1804,[1]Municipios!$B:$B,[1]Municipios!$D:$D)</f>
        <v>Centro Ocidental</v>
      </c>
      <c r="D1804">
        <v>2025</v>
      </c>
      <c r="E1804" t="s">
        <v>233</v>
      </c>
      <c r="F1804">
        <v>0.625</v>
      </c>
      <c r="G1804">
        <v>30.63</v>
      </c>
    </row>
    <row r="1805" spans="1:7" x14ac:dyDescent="0.25">
      <c r="A1805" t="s">
        <v>589</v>
      </c>
      <c r="B1805" t="str">
        <f>_xlfn.XLOOKUP(A1805,[1]Municipios!$B:$B,[1]Municipios!$C:$C)</f>
        <v>Noroeste</v>
      </c>
      <c r="C1805" t="str">
        <f>_xlfn.XLOOKUP(A1805,[1]Municipios!$B:$B,[1]Municipios!$D:$D)</f>
        <v>Centro Ocidental</v>
      </c>
      <c r="D1805">
        <v>2025</v>
      </c>
      <c r="E1805" t="s">
        <v>215</v>
      </c>
      <c r="F1805">
        <v>0</v>
      </c>
      <c r="G1805">
        <v>30.63</v>
      </c>
    </row>
    <row r="1806" spans="1:7" x14ac:dyDescent="0.25">
      <c r="A1806" t="s">
        <v>589</v>
      </c>
      <c r="B1806" t="str">
        <f>_xlfn.XLOOKUP(A1806,[1]Municipios!$B:$B,[1]Municipios!$C:$C)</f>
        <v>Noroeste</v>
      </c>
      <c r="C1806" t="str">
        <f>_xlfn.XLOOKUP(A1806,[1]Municipios!$B:$B,[1]Municipios!$D:$D)</f>
        <v>Centro Ocidental</v>
      </c>
      <c r="D1806">
        <v>2025</v>
      </c>
      <c r="E1806" t="s">
        <v>234</v>
      </c>
      <c r="F1806">
        <v>0.66659999999999997</v>
      </c>
      <c r="G1806">
        <v>30.63</v>
      </c>
    </row>
    <row r="1807" spans="1:7" x14ac:dyDescent="0.25">
      <c r="A1807" t="s">
        <v>589</v>
      </c>
      <c r="B1807" t="str">
        <f>_xlfn.XLOOKUP(A1807,[1]Municipios!$B:$B,[1]Municipios!$C:$C)</f>
        <v>Noroeste</v>
      </c>
      <c r="C1807" t="str">
        <f>_xlfn.XLOOKUP(A1807,[1]Municipios!$B:$B,[1]Municipios!$D:$D)</f>
        <v>Centro Ocidental</v>
      </c>
      <c r="D1807">
        <v>2025</v>
      </c>
      <c r="E1807" t="s">
        <v>235</v>
      </c>
      <c r="F1807">
        <v>0.42869999999999997</v>
      </c>
      <c r="G1807">
        <v>30.63</v>
      </c>
    </row>
    <row r="1808" spans="1:7" x14ac:dyDescent="0.25">
      <c r="A1808" t="s">
        <v>589</v>
      </c>
      <c r="B1808" t="str">
        <f>_xlfn.XLOOKUP(A1808,[1]Municipios!$B:$B,[1]Municipios!$C:$C)</f>
        <v>Noroeste</v>
      </c>
      <c r="C1808" t="str">
        <f>_xlfn.XLOOKUP(A1808,[1]Municipios!$B:$B,[1]Municipios!$D:$D)</f>
        <v>Centro Ocidental</v>
      </c>
      <c r="D1808">
        <v>2025</v>
      </c>
      <c r="E1808" t="s">
        <v>236</v>
      </c>
      <c r="F1808">
        <v>7.690000000000001E-2</v>
      </c>
      <c r="G1808">
        <v>30.63</v>
      </c>
    </row>
    <row r="1809" spans="1:7" x14ac:dyDescent="0.25">
      <c r="A1809" t="s">
        <v>589</v>
      </c>
      <c r="B1809" t="str">
        <f>_xlfn.XLOOKUP(A1809,[1]Municipios!$B:$B,[1]Municipios!$C:$C)</f>
        <v>Noroeste</v>
      </c>
      <c r="C1809" t="str">
        <f>_xlfn.XLOOKUP(A1809,[1]Municipios!$B:$B,[1]Municipios!$D:$D)</f>
        <v>Centro Ocidental</v>
      </c>
      <c r="D1809">
        <v>2025</v>
      </c>
      <c r="E1809" t="s">
        <v>237</v>
      </c>
      <c r="F1809">
        <v>0</v>
      </c>
      <c r="G1809">
        <v>30.63</v>
      </c>
    </row>
    <row r="1810" spans="1:7" x14ac:dyDescent="0.25">
      <c r="A1810" t="s">
        <v>380</v>
      </c>
      <c r="B1810" t="str">
        <f>_xlfn.XLOOKUP(A1810,[1]Municipios!$B:$B,[1]Municipios!$C:$C)</f>
        <v>Leste</v>
      </c>
      <c r="C1810" t="str">
        <f>_xlfn.XLOOKUP(A1810,[1]Municipios!$B:$B,[1]Municipios!$D:$D)</f>
        <v>Litoral</v>
      </c>
      <c r="D1810">
        <v>2025</v>
      </c>
      <c r="E1810" t="s">
        <v>231</v>
      </c>
      <c r="F1810">
        <v>0.55549999999999988</v>
      </c>
      <c r="G1810">
        <v>60.49</v>
      </c>
    </row>
    <row r="1811" spans="1:7" x14ac:dyDescent="0.25">
      <c r="A1811" t="s">
        <v>380</v>
      </c>
      <c r="B1811" t="str">
        <f>_xlfn.XLOOKUP(A1811,[1]Municipios!$B:$B,[1]Municipios!$C:$C)</f>
        <v>Leste</v>
      </c>
      <c r="C1811" t="str">
        <f>_xlfn.XLOOKUP(A1811,[1]Municipios!$B:$B,[1]Municipios!$D:$D)</f>
        <v>Litoral</v>
      </c>
      <c r="D1811">
        <v>2025</v>
      </c>
      <c r="E1811" t="s">
        <v>232</v>
      </c>
      <c r="F1811">
        <v>0.76919999999999999</v>
      </c>
      <c r="G1811">
        <v>60.49</v>
      </c>
    </row>
    <row r="1812" spans="1:7" x14ac:dyDescent="0.25">
      <c r="A1812" t="s">
        <v>380</v>
      </c>
      <c r="B1812" t="str">
        <f>_xlfn.XLOOKUP(A1812,[1]Municipios!$B:$B,[1]Municipios!$C:$C)</f>
        <v>Leste</v>
      </c>
      <c r="C1812" t="str">
        <f>_xlfn.XLOOKUP(A1812,[1]Municipios!$B:$B,[1]Municipios!$D:$D)</f>
        <v>Litoral</v>
      </c>
      <c r="D1812">
        <v>2025</v>
      </c>
      <c r="E1812" t="s">
        <v>233</v>
      </c>
      <c r="F1812">
        <v>0.75</v>
      </c>
      <c r="G1812">
        <v>60.49</v>
      </c>
    </row>
    <row r="1813" spans="1:7" x14ac:dyDescent="0.25">
      <c r="A1813" t="s">
        <v>380</v>
      </c>
      <c r="B1813" t="str">
        <f>_xlfn.XLOOKUP(A1813,[1]Municipios!$B:$B,[1]Municipios!$C:$C)</f>
        <v>Leste</v>
      </c>
      <c r="C1813" t="str">
        <f>_xlfn.XLOOKUP(A1813,[1]Municipios!$B:$B,[1]Municipios!$D:$D)</f>
        <v>Litoral</v>
      </c>
      <c r="D1813">
        <v>2025</v>
      </c>
      <c r="E1813" t="s">
        <v>215</v>
      </c>
      <c r="F1813">
        <v>0.79999999999999993</v>
      </c>
      <c r="G1813">
        <v>60.49</v>
      </c>
    </row>
    <row r="1814" spans="1:7" x14ac:dyDescent="0.25">
      <c r="A1814" t="s">
        <v>380</v>
      </c>
      <c r="B1814" t="str">
        <f>_xlfn.XLOOKUP(A1814,[1]Municipios!$B:$B,[1]Municipios!$C:$C)</f>
        <v>Leste</v>
      </c>
      <c r="C1814" t="str">
        <f>_xlfn.XLOOKUP(A1814,[1]Municipios!$B:$B,[1]Municipios!$D:$D)</f>
        <v>Litoral</v>
      </c>
      <c r="D1814">
        <v>2025</v>
      </c>
      <c r="E1814" t="s">
        <v>234</v>
      </c>
      <c r="F1814">
        <v>0.66669999999999996</v>
      </c>
      <c r="G1814">
        <v>60.49</v>
      </c>
    </row>
    <row r="1815" spans="1:7" x14ac:dyDescent="0.25">
      <c r="A1815" t="s">
        <v>380</v>
      </c>
      <c r="B1815" t="str">
        <f>_xlfn.XLOOKUP(A1815,[1]Municipios!$B:$B,[1]Municipios!$C:$C)</f>
        <v>Leste</v>
      </c>
      <c r="C1815" t="str">
        <f>_xlfn.XLOOKUP(A1815,[1]Municipios!$B:$B,[1]Municipios!$D:$D)</f>
        <v>Litoral</v>
      </c>
      <c r="D1815">
        <v>2025</v>
      </c>
      <c r="E1815" t="s">
        <v>235</v>
      </c>
      <c r="F1815">
        <v>0.1429</v>
      </c>
      <c r="G1815">
        <v>60.49</v>
      </c>
    </row>
    <row r="1816" spans="1:7" x14ac:dyDescent="0.25">
      <c r="A1816" t="s">
        <v>380</v>
      </c>
      <c r="B1816" t="str">
        <f>_xlfn.XLOOKUP(A1816,[1]Municipios!$B:$B,[1]Municipios!$C:$C)</f>
        <v>Leste</v>
      </c>
      <c r="C1816" t="str">
        <f>_xlfn.XLOOKUP(A1816,[1]Municipios!$B:$B,[1]Municipios!$D:$D)</f>
        <v>Litoral</v>
      </c>
      <c r="D1816">
        <v>2025</v>
      </c>
      <c r="E1816" t="s">
        <v>236</v>
      </c>
      <c r="F1816">
        <v>0.30780000000000002</v>
      </c>
      <c r="G1816">
        <v>60.49</v>
      </c>
    </row>
    <row r="1817" spans="1:7" x14ac:dyDescent="0.25">
      <c r="A1817" t="s">
        <v>380</v>
      </c>
      <c r="B1817" t="str">
        <f>_xlfn.XLOOKUP(A1817,[1]Municipios!$B:$B,[1]Municipios!$C:$C)</f>
        <v>Leste</v>
      </c>
      <c r="C1817" t="str">
        <f>_xlfn.XLOOKUP(A1817,[1]Municipios!$B:$B,[1]Municipios!$D:$D)</f>
        <v>Litoral</v>
      </c>
      <c r="D1817">
        <v>2025</v>
      </c>
      <c r="E1817" t="s">
        <v>237</v>
      </c>
      <c r="F1817">
        <v>1</v>
      </c>
      <c r="G1817">
        <v>60.49</v>
      </c>
    </row>
    <row r="1818" spans="1:7" x14ac:dyDescent="0.25">
      <c r="A1818" t="s">
        <v>428</v>
      </c>
      <c r="B1818" t="str">
        <f>_xlfn.XLOOKUP(A1818,[1]Municipios!$B:$B,[1]Municipios!$C:$C)</f>
        <v>Noroeste</v>
      </c>
      <c r="C1818" t="str">
        <f>_xlfn.XLOOKUP(A1818,[1]Municipios!$B:$B,[1]Municipios!$D:$D)</f>
        <v>Terra Roxa</v>
      </c>
      <c r="D1818">
        <v>2025</v>
      </c>
      <c r="E1818" t="s">
        <v>231</v>
      </c>
      <c r="F1818">
        <v>0.66669999999999996</v>
      </c>
      <c r="G1818">
        <v>75.25</v>
      </c>
    </row>
    <row r="1819" spans="1:7" x14ac:dyDescent="0.25">
      <c r="A1819" t="s">
        <v>428</v>
      </c>
      <c r="B1819" t="str">
        <f>_xlfn.XLOOKUP(A1819,[1]Municipios!$B:$B,[1]Municipios!$C:$C)</f>
        <v>Noroeste</v>
      </c>
      <c r="C1819" t="str">
        <f>_xlfn.XLOOKUP(A1819,[1]Municipios!$B:$B,[1]Municipios!$D:$D)</f>
        <v>Terra Roxa</v>
      </c>
      <c r="D1819">
        <v>2025</v>
      </c>
      <c r="E1819" t="s">
        <v>232</v>
      </c>
      <c r="F1819">
        <v>0.84619999999999995</v>
      </c>
      <c r="G1819">
        <v>75.25</v>
      </c>
    </row>
    <row r="1820" spans="1:7" x14ac:dyDescent="0.25">
      <c r="A1820" t="s">
        <v>428</v>
      </c>
      <c r="B1820" t="str">
        <f>_xlfn.XLOOKUP(A1820,[1]Municipios!$B:$B,[1]Municipios!$C:$C)</f>
        <v>Noroeste</v>
      </c>
      <c r="C1820" t="str">
        <f>_xlfn.XLOOKUP(A1820,[1]Municipios!$B:$B,[1]Municipios!$D:$D)</f>
        <v>Terra Roxa</v>
      </c>
      <c r="D1820">
        <v>2025</v>
      </c>
      <c r="E1820" t="s">
        <v>233</v>
      </c>
      <c r="F1820">
        <v>0.875</v>
      </c>
      <c r="G1820">
        <v>75.25</v>
      </c>
    </row>
    <row r="1821" spans="1:7" x14ac:dyDescent="0.25">
      <c r="A1821" t="s">
        <v>428</v>
      </c>
      <c r="B1821" t="str">
        <f>_xlfn.XLOOKUP(A1821,[1]Municipios!$B:$B,[1]Municipios!$C:$C)</f>
        <v>Noroeste</v>
      </c>
      <c r="C1821" t="str">
        <f>_xlfn.XLOOKUP(A1821,[1]Municipios!$B:$B,[1]Municipios!$D:$D)</f>
        <v>Terra Roxa</v>
      </c>
      <c r="D1821">
        <v>2025</v>
      </c>
      <c r="E1821" t="s">
        <v>215</v>
      </c>
      <c r="F1821">
        <v>1</v>
      </c>
      <c r="G1821">
        <v>75.25</v>
      </c>
    </row>
    <row r="1822" spans="1:7" x14ac:dyDescent="0.25">
      <c r="A1822" t="s">
        <v>428</v>
      </c>
      <c r="B1822" t="str">
        <f>_xlfn.XLOOKUP(A1822,[1]Municipios!$B:$B,[1]Municipios!$C:$C)</f>
        <v>Noroeste</v>
      </c>
      <c r="C1822" t="str">
        <f>_xlfn.XLOOKUP(A1822,[1]Municipios!$B:$B,[1]Municipios!$D:$D)</f>
        <v>Terra Roxa</v>
      </c>
      <c r="D1822">
        <v>2025</v>
      </c>
      <c r="E1822" t="s">
        <v>234</v>
      </c>
      <c r="F1822">
        <v>0.66669999999999996</v>
      </c>
      <c r="G1822">
        <v>75.25</v>
      </c>
    </row>
    <row r="1823" spans="1:7" x14ac:dyDescent="0.25">
      <c r="A1823" t="s">
        <v>428</v>
      </c>
      <c r="B1823" t="str">
        <f>_xlfn.XLOOKUP(A1823,[1]Municipios!$B:$B,[1]Municipios!$C:$C)</f>
        <v>Noroeste</v>
      </c>
      <c r="C1823" t="str">
        <f>_xlfn.XLOOKUP(A1823,[1]Municipios!$B:$B,[1]Municipios!$D:$D)</f>
        <v>Terra Roxa</v>
      </c>
      <c r="D1823">
        <v>2025</v>
      </c>
      <c r="E1823" t="s">
        <v>235</v>
      </c>
      <c r="F1823">
        <v>1</v>
      </c>
      <c r="G1823">
        <v>75.25</v>
      </c>
    </row>
    <row r="1824" spans="1:7" x14ac:dyDescent="0.25">
      <c r="A1824" t="s">
        <v>428</v>
      </c>
      <c r="B1824" t="str">
        <f>_xlfn.XLOOKUP(A1824,[1]Municipios!$B:$B,[1]Municipios!$C:$C)</f>
        <v>Noroeste</v>
      </c>
      <c r="C1824" t="str">
        <f>_xlfn.XLOOKUP(A1824,[1]Municipios!$B:$B,[1]Municipios!$D:$D)</f>
        <v>Terra Roxa</v>
      </c>
      <c r="D1824">
        <v>2025</v>
      </c>
      <c r="E1824" t="s">
        <v>236</v>
      </c>
      <c r="F1824">
        <v>0</v>
      </c>
      <c r="G1824">
        <v>75.25</v>
      </c>
    </row>
    <row r="1825" spans="1:7" x14ac:dyDescent="0.25">
      <c r="A1825" t="s">
        <v>428</v>
      </c>
      <c r="B1825" t="str">
        <f>_xlfn.XLOOKUP(A1825,[1]Municipios!$B:$B,[1]Municipios!$C:$C)</f>
        <v>Noroeste</v>
      </c>
      <c r="C1825" t="str">
        <f>_xlfn.XLOOKUP(A1825,[1]Municipios!$B:$B,[1]Municipios!$D:$D)</f>
        <v>Terra Roxa</v>
      </c>
      <c r="D1825">
        <v>2025</v>
      </c>
      <c r="E1825" t="s">
        <v>237</v>
      </c>
      <c r="F1825">
        <v>1</v>
      </c>
      <c r="G1825">
        <v>75.25</v>
      </c>
    </row>
    <row r="1826" spans="1:7" x14ac:dyDescent="0.25">
      <c r="A1826" t="s">
        <v>429</v>
      </c>
      <c r="B1826" t="str">
        <f>_xlfn.XLOOKUP(A1826,[1]Municipios!$B:$B,[1]Municipios!$C:$C)</f>
        <v>Noroeste</v>
      </c>
      <c r="C1826" t="str">
        <f>_xlfn.XLOOKUP(A1826,[1]Municipios!$B:$B,[1]Municipios!$D:$D)</f>
        <v>Terra Roxa</v>
      </c>
      <c r="D1826">
        <v>2025</v>
      </c>
      <c r="E1826" t="s">
        <v>231</v>
      </c>
      <c r="F1826">
        <v>0.44439999999999996</v>
      </c>
      <c r="G1826">
        <v>65.17</v>
      </c>
    </row>
    <row r="1827" spans="1:7" x14ac:dyDescent="0.25">
      <c r="A1827" t="s">
        <v>429</v>
      </c>
      <c r="B1827" t="str">
        <f>_xlfn.XLOOKUP(A1827,[1]Municipios!$B:$B,[1]Municipios!$C:$C)</f>
        <v>Noroeste</v>
      </c>
      <c r="C1827" t="str">
        <f>_xlfn.XLOOKUP(A1827,[1]Municipios!$B:$B,[1]Municipios!$D:$D)</f>
        <v>Terra Roxa</v>
      </c>
      <c r="D1827">
        <v>2025</v>
      </c>
      <c r="E1827" t="s">
        <v>232</v>
      </c>
      <c r="F1827">
        <v>0.76929999999999998</v>
      </c>
      <c r="G1827">
        <v>65.17</v>
      </c>
    </row>
    <row r="1828" spans="1:7" x14ac:dyDescent="0.25">
      <c r="A1828" t="s">
        <v>429</v>
      </c>
      <c r="B1828" t="str">
        <f>_xlfn.XLOOKUP(A1828,[1]Municipios!$B:$B,[1]Municipios!$C:$C)</f>
        <v>Noroeste</v>
      </c>
      <c r="C1828" t="str">
        <f>_xlfn.XLOOKUP(A1828,[1]Municipios!$B:$B,[1]Municipios!$D:$D)</f>
        <v>Terra Roxa</v>
      </c>
      <c r="D1828">
        <v>2025</v>
      </c>
      <c r="E1828" t="s">
        <v>233</v>
      </c>
      <c r="F1828">
        <v>0.875</v>
      </c>
      <c r="G1828">
        <v>65.17</v>
      </c>
    </row>
    <row r="1829" spans="1:7" x14ac:dyDescent="0.25">
      <c r="A1829" t="s">
        <v>429</v>
      </c>
      <c r="B1829" t="str">
        <f>_xlfn.XLOOKUP(A1829,[1]Municipios!$B:$B,[1]Municipios!$C:$C)</f>
        <v>Noroeste</v>
      </c>
      <c r="C1829" t="str">
        <f>_xlfn.XLOOKUP(A1829,[1]Municipios!$B:$B,[1]Municipios!$D:$D)</f>
        <v>Terra Roxa</v>
      </c>
      <c r="D1829">
        <v>2025</v>
      </c>
      <c r="E1829" t="s">
        <v>215</v>
      </c>
      <c r="F1829">
        <v>1</v>
      </c>
      <c r="G1829">
        <v>65.17</v>
      </c>
    </row>
    <row r="1830" spans="1:7" x14ac:dyDescent="0.25">
      <c r="A1830" t="s">
        <v>429</v>
      </c>
      <c r="B1830" t="str">
        <f>_xlfn.XLOOKUP(A1830,[1]Municipios!$B:$B,[1]Municipios!$C:$C)</f>
        <v>Noroeste</v>
      </c>
      <c r="C1830" t="str">
        <f>_xlfn.XLOOKUP(A1830,[1]Municipios!$B:$B,[1]Municipios!$D:$D)</f>
        <v>Terra Roxa</v>
      </c>
      <c r="D1830">
        <v>2025</v>
      </c>
      <c r="E1830" t="s">
        <v>234</v>
      </c>
      <c r="F1830">
        <v>0.55549999999999999</v>
      </c>
      <c r="G1830">
        <v>65.17</v>
      </c>
    </row>
    <row r="1831" spans="1:7" x14ac:dyDescent="0.25">
      <c r="A1831" t="s">
        <v>429</v>
      </c>
      <c r="B1831" t="str">
        <f>_xlfn.XLOOKUP(A1831,[1]Municipios!$B:$B,[1]Municipios!$C:$C)</f>
        <v>Noroeste</v>
      </c>
      <c r="C1831" t="str">
        <f>_xlfn.XLOOKUP(A1831,[1]Municipios!$B:$B,[1]Municipios!$D:$D)</f>
        <v>Terra Roxa</v>
      </c>
      <c r="D1831">
        <v>2025</v>
      </c>
      <c r="E1831" t="s">
        <v>235</v>
      </c>
      <c r="F1831">
        <v>0.71429999999999993</v>
      </c>
      <c r="G1831">
        <v>65.17</v>
      </c>
    </row>
    <row r="1832" spans="1:7" x14ac:dyDescent="0.25">
      <c r="A1832" t="s">
        <v>429</v>
      </c>
      <c r="B1832" t="str">
        <f>_xlfn.XLOOKUP(A1832,[1]Municipios!$B:$B,[1]Municipios!$C:$C)</f>
        <v>Noroeste</v>
      </c>
      <c r="C1832" t="str">
        <f>_xlfn.XLOOKUP(A1832,[1]Municipios!$B:$B,[1]Municipios!$D:$D)</f>
        <v>Terra Roxa</v>
      </c>
      <c r="D1832">
        <v>2025</v>
      </c>
      <c r="E1832" t="s">
        <v>236</v>
      </c>
      <c r="F1832">
        <v>0</v>
      </c>
      <c r="G1832">
        <v>65.17</v>
      </c>
    </row>
    <row r="1833" spans="1:7" x14ac:dyDescent="0.25">
      <c r="A1833" t="s">
        <v>429</v>
      </c>
      <c r="B1833" t="str">
        <f>_xlfn.XLOOKUP(A1833,[1]Municipios!$B:$B,[1]Municipios!$C:$C)</f>
        <v>Noroeste</v>
      </c>
      <c r="C1833" t="str">
        <f>_xlfn.XLOOKUP(A1833,[1]Municipios!$B:$B,[1]Municipios!$D:$D)</f>
        <v>Terra Roxa</v>
      </c>
      <c r="D1833">
        <v>2025</v>
      </c>
      <c r="E1833" t="s">
        <v>237</v>
      </c>
      <c r="F1833">
        <v>1</v>
      </c>
      <c r="G1833">
        <v>65.17</v>
      </c>
    </row>
    <row r="1834" spans="1:7" x14ac:dyDescent="0.25">
      <c r="A1834" t="s">
        <v>590</v>
      </c>
      <c r="B1834" t="str">
        <f>_xlfn.XLOOKUP(A1834,[1]Municipios!$B:$B,[1]Municipios!$C:$C)</f>
        <v>Noroeste</v>
      </c>
      <c r="C1834" t="str">
        <f>_xlfn.XLOOKUP(A1834,[1]Municipios!$B:$B,[1]Municipios!$D:$D)</f>
        <v>Costa Noroeste</v>
      </c>
      <c r="D1834">
        <v>2025</v>
      </c>
      <c r="E1834" t="s">
        <v>231</v>
      </c>
      <c r="F1834">
        <v>0</v>
      </c>
      <c r="G1834">
        <v>0</v>
      </c>
    </row>
    <row r="1835" spans="1:7" x14ac:dyDescent="0.25">
      <c r="A1835" t="s">
        <v>590</v>
      </c>
      <c r="B1835" t="str">
        <f>_xlfn.XLOOKUP(A1835,[1]Municipios!$B:$B,[1]Municipios!$C:$C)</f>
        <v>Noroeste</v>
      </c>
      <c r="C1835" t="str">
        <f>_xlfn.XLOOKUP(A1835,[1]Municipios!$B:$B,[1]Municipios!$D:$D)</f>
        <v>Costa Noroeste</v>
      </c>
      <c r="D1835">
        <v>2025</v>
      </c>
      <c r="E1835" t="s">
        <v>232</v>
      </c>
      <c r="F1835">
        <v>0.30760000000000004</v>
      </c>
      <c r="G1835">
        <v>0</v>
      </c>
    </row>
    <row r="1836" spans="1:7" x14ac:dyDescent="0.25">
      <c r="A1836" t="s">
        <v>590</v>
      </c>
      <c r="B1836" t="str">
        <f>_xlfn.XLOOKUP(A1836,[1]Municipios!$B:$B,[1]Municipios!$C:$C)</f>
        <v>Noroeste</v>
      </c>
      <c r="C1836" t="str">
        <f>_xlfn.XLOOKUP(A1836,[1]Municipios!$B:$B,[1]Municipios!$D:$D)</f>
        <v>Costa Noroeste</v>
      </c>
      <c r="D1836">
        <v>2025</v>
      </c>
      <c r="E1836" t="s">
        <v>233</v>
      </c>
      <c r="F1836">
        <v>0.125</v>
      </c>
      <c r="G1836">
        <v>0</v>
      </c>
    </row>
    <row r="1837" spans="1:7" x14ac:dyDescent="0.25">
      <c r="A1837" t="s">
        <v>590</v>
      </c>
      <c r="B1837" t="str">
        <f>_xlfn.XLOOKUP(A1837,[1]Municipios!$B:$B,[1]Municipios!$C:$C)</f>
        <v>Noroeste</v>
      </c>
      <c r="C1837" t="str">
        <f>_xlfn.XLOOKUP(A1837,[1]Municipios!$B:$B,[1]Municipios!$D:$D)</f>
        <v>Costa Noroeste</v>
      </c>
      <c r="D1837">
        <v>2025</v>
      </c>
      <c r="E1837" t="s">
        <v>215</v>
      </c>
      <c r="F1837">
        <v>0</v>
      </c>
      <c r="G1837">
        <v>0</v>
      </c>
    </row>
    <row r="1838" spans="1:7" x14ac:dyDescent="0.25">
      <c r="A1838" t="s">
        <v>590</v>
      </c>
      <c r="B1838" t="str">
        <f>_xlfn.XLOOKUP(A1838,[1]Municipios!$B:$B,[1]Municipios!$C:$C)</f>
        <v>Noroeste</v>
      </c>
      <c r="C1838" t="str">
        <f>_xlfn.XLOOKUP(A1838,[1]Municipios!$B:$B,[1]Municipios!$D:$D)</f>
        <v>Costa Noroeste</v>
      </c>
      <c r="D1838">
        <v>2025</v>
      </c>
      <c r="E1838" t="s">
        <v>234</v>
      </c>
      <c r="F1838">
        <v>0</v>
      </c>
      <c r="G1838">
        <v>0</v>
      </c>
    </row>
    <row r="1839" spans="1:7" x14ac:dyDescent="0.25">
      <c r="A1839" t="s">
        <v>590</v>
      </c>
      <c r="B1839" t="str">
        <f>_xlfn.XLOOKUP(A1839,[1]Municipios!$B:$B,[1]Municipios!$C:$C)</f>
        <v>Noroeste</v>
      </c>
      <c r="C1839" t="str">
        <f>_xlfn.XLOOKUP(A1839,[1]Municipios!$B:$B,[1]Municipios!$D:$D)</f>
        <v>Costa Noroeste</v>
      </c>
      <c r="D1839">
        <v>2025</v>
      </c>
      <c r="E1839" t="s">
        <v>235</v>
      </c>
      <c r="F1839">
        <v>0.1429</v>
      </c>
      <c r="G1839">
        <v>0</v>
      </c>
    </row>
    <row r="1840" spans="1:7" x14ac:dyDescent="0.25">
      <c r="A1840" t="s">
        <v>590</v>
      </c>
      <c r="B1840" t="str">
        <f>_xlfn.XLOOKUP(A1840,[1]Municipios!$B:$B,[1]Municipios!$C:$C)</f>
        <v>Noroeste</v>
      </c>
      <c r="C1840" t="str">
        <f>_xlfn.XLOOKUP(A1840,[1]Municipios!$B:$B,[1]Municipios!$D:$D)</f>
        <v>Costa Noroeste</v>
      </c>
      <c r="D1840">
        <v>2025</v>
      </c>
      <c r="E1840" t="s">
        <v>236</v>
      </c>
      <c r="F1840">
        <v>0</v>
      </c>
      <c r="G1840">
        <v>0</v>
      </c>
    </row>
    <row r="1841" spans="1:7" x14ac:dyDescent="0.25">
      <c r="A1841" t="s">
        <v>590</v>
      </c>
      <c r="B1841" t="str">
        <f>_xlfn.XLOOKUP(A1841,[1]Municipios!$B:$B,[1]Municipios!$C:$C)</f>
        <v>Noroeste</v>
      </c>
      <c r="C1841" t="str">
        <f>_xlfn.XLOOKUP(A1841,[1]Municipios!$B:$B,[1]Municipios!$D:$D)</f>
        <v>Costa Noroeste</v>
      </c>
      <c r="D1841">
        <v>2025</v>
      </c>
      <c r="E1841" t="s">
        <v>237</v>
      </c>
      <c r="F1841">
        <v>0</v>
      </c>
      <c r="G1841">
        <v>0</v>
      </c>
    </row>
    <row r="1842" spans="1:7" x14ac:dyDescent="0.25">
      <c r="A1842" t="s">
        <v>591</v>
      </c>
      <c r="B1842" t="str">
        <f>_xlfn.XLOOKUP(A1842,[1]Municipios!$B:$B,[1]Municipios!$C:$C)</f>
        <v>Norte</v>
      </c>
      <c r="C1842" t="str">
        <f>_xlfn.XLOOKUP(A1842,[1]Municipios!$B:$B,[1]Municipios!$D:$D)</f>
        <v>Norte Central</v>
      </c>
      <c r="D1842">
        <v>2025</v>
      </c>
      <c r="E1842" t="s">
        <v>231</v>
      </c>
      <c r="F1842">
        <v>0</v>
      </c>
      <c r="G1842">
        <v>33.909999999999997</v>
      </c>
    </row>
    <row r="1843" spans="1:7" x14ac:dyDescent="0.25">
      <c r="A1843" t="s">
        <v>591</v>
      </c>
      <c r="B1843" t="str">
        <f>_xlfn.XLOOKUP(A1843,[1]Municipios!$B:$B,[1]Municipios!$C:$C)</f>
        <v>Norte</v>
      </c>
      <c r="C1843" t="str">
        <f>_xlfn.XLOOKUP(A1843,[1]Municipios!$B:$B,[1]Municipios!$D:$D)</f>
        <v>Norte Central</v>
      </c>
      <c r="D1843">
        <v>2025</v>
      </c>
      <c r="E1843" t="s">
        <v>232</v>
      </c>
      <c r="F1843">
        <v>0.76919999999999999</v>
      </c>
      <c r="G1843">
        <v>33.909999999999997</v>
      </c>
    </row>
    <row r="1844" spans="1:7" x14ac:dyDescent="0.25">
      <c r="A1844" t="s">
        <v>591</v>
      </c>
      <c r="B1844" t="str">
        <f>_xlfn.XLOOKUP(A1844,[1]Municipios!$B:$B,[1]Municipios!$C:$C)</f>
        <v>Norte</v>
      </c>
      <c r="C1844" t="str">
        <f>_xlfn.XLOOKUP(A1844,[1]Municipios!$B:$B,[1]Municipios!$D:$D)</f>
        <v>Norte Central</v>
      </c>
      <c r="D1844">
        <v>2025</v>
      </c>
      <c r="E1844" t="s">
        <v>233</v>
      </c>
      <c r="F1844">
        <v>0.75</v>
      </c>
      <c r="G1844">
        <v>33.909999999999997</v>
      </c>
    </row>
    <row r="1845" spans="1:7" x14ac:dyDescent="0.25">
      <c r="A1845" t="s">
        <v>591</v>
      </c>
      <c r="B1845" t="str">
        <f>_xlfn.XLOOKUP(A1845,[1]Municipios!$B:$B,[1]Municipios!$C:$C)</f>
        <v>Norte</v>
      </c>
      <c r="C1845" t="str">
        <f>_xlfn.XLOOKUP(A1845,[1]Municipios!$B:$B,[1]Municipios!$D:$D)</f>
        <v>Norte Central</v>
      </c>
      <c r="D1845">
        <v>2025</v>
      </c>
      <c r="E1845" t="s">
        <v>215</v>
      </c>
      <c r="F1845">
        <v>0.19999999999999998</v>
      </c>
      <c r="G1845">
        <v>33.909999999999997</v>
      </c>
    </row>
    <row r="1846" spans="1:7" x14ac:dyDescent="0.25">
      <c r="A1846" t="s">
        <v>591</v>
      </c>
      <c r="B1846" t="str">
        <f>_xlfn.XLOOKUP(A1846,[1]Municipios!$B:$B,[1]Municipios!$C:$C)</f>
        <v>Norte</v>
      </c>
      <c r="C1846" t="str">
        <f>_xlfn.XLOOKUP(A1846,[1]Municipios!$B:$B,[1]Municipios!$D:$D)</f>
        <v>Norte Central</v>
      </c>
      <c r="D1846">
        <v>2025</v>
      </c>
      <c r="E1846" t="s">
        <v>234</v>
      </c>
      <c r="F1846">
        <v>0.33329999999999999</v>
      </c>
      <c r="G1846">
        <v>33.909999999999997</v>
      </c>
    </row>
    <row r="1847" spans="1:7" x14ac:dyDescent="0.25">
      <c r="A1847" t="s">
        <v>591</v>
      </c>
      <c r="B1847" t="str">
        <f>_xlfn.XLOOKUP(A1847,[1]Municipios!$B:$B,[1]Municipios!$C:$C)</f>
        <v>Norte</v>
      </c>
      <c r="C1847" t="str">
        <f>_xlfn.XLOOKUP(A1847,[1]Municipios!$B:$B,[1]Municipios!$D:$D)</f>
        <v>Norte Central</v>
      </c>
      <c r="D1847">
        <v>2025</v>
      </c>
      <c r="E1847" t="s">
        <v>235</v>
      </c>
      <c r="F1847">
        <v>0.28570000000000001</v>
      </c>
      <c r="G1847">
        <v>33.909999999999997</v>
      </c>
    </row>
    <row r="1848" spans="1:7" x14ac:dyDescent="0.25">
      <c r="A1848" t="s">
        <v>591</v>
      </c>
      <c r="B1848" t="str">
        <f>_xlfn.XLOOKUP(A1848,[1]Municipios!$B:$B,[1]Municipios!$C:$C)</f>
        <v>Norte</v>
      </c>
      <c r="C1848" t="str">
        <f>_xlfn.XLOOKUP(A1848,[1]Municipios!$B:$B,[1]Municipios!$D:$D)</f>
        <v>Norte Central</v>
      </c>
      <c r="D1848">
        <v>2025</v>
      </c>
      <c r="E1848" t="s">
        <v>236</v>
      </c>
      <c r="F1848">
        <v>0</v>
      </c>
      <c r="G1848">
        <v>33.909999999999997</v>
      </c>
    </row>
    <row r="1849" spans="1:7" x14ac:dyDescent="0.25">
      <c r="A1849" t="s">
        <v>591</v>
      </c>
      <c r="B1849" t="str">
        <f>_xlfn.XLOOKUP(A1849,[1]Municipios!$B:$B,[1]Municipios!$C:$C)</f>
        <v>Norte</v>
      </c>
      <c r="C1849" t="str">
        <f>_xlfn.XLOOKUP(A1849,[1]Municipios!$B:$B,[1]Municipios!$D:$D)</f>
        <v>Norte Central</v>
      </c>
      <c r="D1849">
        <v>2025</v>
      </c>
      <c r="E1849" t="s">
        <v>237</v>
      </c>
      <c r="F1849">
        <v>0.5</v>
      </c>
      <c r="G1849">
        <v>33.909999999999997</v>
      </c>
    </row>
    <row r="1850" spans="1:7" x14ac:dyDescent="0.25">
      <c r="A1850" t="s">
        <v>454</v>
      </c>
      <c r="B1850" t="str">
        <f>_xlfn.XLOOKUP(A1850,[1]Municipios!$B:$B,[1]Municipios!$C:$C)</f>
        <v>Oeste</v>
      </c>
      <c r="C1850" t="str">
        <f>_xlfn.XLOOKUP(A1850,[1]Municipios!$B:$B,[1]Municipios!$D:$D)</f>
        <v>Oeste Integrado</v>
      </c>
      <c r="D1850">
        <v>2025</v>
      </c>
      <c r="E1850" t="s">
        <v>231</v>
      </c>
      <c r="F1850">
        <v>0.77779999999999994</v>
      </c>
      <c r="G1850">
        <v>64.53</v>
      </c>
    </row>
    <row r="1851" spans="1:7" x14ac:dyDescent="0.25">
      <c r="A1851" t="s">
        <v>454</v>
      </c>
      <c r="B1851" t="str">
        <f>_xlfn.XLOOKUP(A1851,[1]Municipios!$B:$B,[1]Municipios!$C:$C)</f>
        <v>Oeste</v>
      </c>
      <c r="C1851" t="str">
        <f>_xlfn.XLOOKUP(A1851,[1]Municipios!$B:$B,[1]Municipios!$D:$D)</f>
        <v>Oeste Integrado</v>
      </c>
      <c r="D1851">
        <v>2025</v>
      </c>
      <c r="E1851" t="s">
        <v>232</v>
      </c>
      <c r="F1851">
        <v>0.61549999999999994</v>
      </c>
      <c r="G1851">
        <v>64.53</v>
      </c>
    </row>
    <row r="1852" spans="1:7" x14ac:dyDescent="0.25">
      <c r="A1852" t="s">
        <v>454</v>
      </c>
      <c r="B1852" t="str">
        <f>_xlfn.XLOOKUP(A1852,[1]Municipios!$B:$B,[1]Municipios!$C:$C)</f>
        <v>Oeste</v>
      </c>
      <c r="C1852" t="str">
        <f>_xlfn.XLOOKUP(A1852,[1]Municipios!$B:$B,[1]Municipios!$D:$D)</f>
        <v>Oeste Integrado</v>
      </c>
      <c r="D1852">
        <v>2025</v>
      </c>
      <c r="E1852" t="s">
        <v>233</v>
      </c>
      <c r="F1852">
        <v>0.75</v>
      </c>
      <c r="G1852">
        <v>64.53</v>
      </c>
    </row>
    <row r="1853" spans="1:7" x14ac:dyDescent="0.25">
      <c r="A1853" t="s">
        <v>454</v>
      </c>
      <c r="B1853" t="str">
        <f>_xlfn.XLOOKUP(A1853,[1]Municipios!$B:$B,[1]Municipios!$C:$C)</f>
        <v>Oeste</v>
      </c>
      <c r="C1853" t="str">
        <f>_xlfn.XLOOKUP(A1853,[1]Municipios!$B:$B,[1]Municipios!$D:$D)</f>
        <v>Oeste Integrado</v>
      </c>
      <c r="D1853">
        <v>2025</v>
      </c>
      <c r="E1853" t="s">
        <v>215</v>
      </c>
      <c r="F1853">
        <v>0.3</v>
      </c>
      <c r="G1853">
        <v>64.53</v>
      </c>
    </row>
    <row r="1854" spans="1:7" x14ac:dyDescent="0.25">
      <c r="A1854" t="s">
        <v>454</v>
      </c>
      <c r="B1854" t="str">
        <f>_xlfn.XLOOKUP(A1854,[1]Municipios!$B:$B,[1]Municipios!$C:$C)</f>
        <v>Oeste</v>
      </c>
      <c r="C1854" t="str">
        <f>_xlfn.XLOOKUP(A1854,[1]Municipios!$B:$B,[1]Municipios!$D:$D)</f>
        <v>Oeste Integrado</v>
      </c>
      <c r="D1854">
        <v>2025</v>
      </c>
      <c r="E1854" t="s">
        <v>234</v>
      </c>
      <c r="F1854">
        <v>0.77770000000000006</v>
      </c>
      <c r="G1854">
        <v>64.53</v>
      </c>
    </row>
    <row r="1855" spans="1:7" x14ac:dyDescent="0.25">
      <c r="A1855" t="s">
        <v>454</v>
      </c>
      <c r="B1855" t="str">
        <f>_xlfn.XLOOKUP(A1855,[1]Municipios!$B:$B,[1]Municipios!$C:$C)</f>
        <v>Oeste</v>
      </c>
      <c r="C1855" t="str">
        <f>_xlfn.XLOOKUP(A1855,[1]Municipios!$B:$B,[1]Municipios!$D:$D)</f>
        <v>Oeste Integrado</v>
      </c>
      <c r="D1855">
        <v>2025</v>
      </c>
      <c r="E1855" t="s">
        <v>235</v>
      </c>
      <c r="F1855">
        <v>0.85720000000000007</v>
      </c>
      <c r="G1855">
        <v>64.53</v>
      </c>
    </row>
    <row r="1856" spans="1:7" x14ac:dyDescent="0.25">
      <c r="A1856" t="s">
        <v>454</v>
      </c>
      <c r="B1856" t="str">
        <f>_xlfn.XLOOKUP(A1856,[1]Municipios!$B:$B,[1]Municipios!$C:$C)</f>
        <v>Oeste</v>
      </c>
      <c r="C1856" t="str">
        <f>_xlfn.XLOOKUP(A1856,[1]Municipios!$B:$B,[1]Municipios!$D:$D)</f>
        <v>Oeste Integrado</v>
      </c>
      <c r="D1856">
        <v>2025</v>
      </c>
      <c r="E1856" t="s">
        <v>236</v>
      </c>
      <c r="F1856">
        <v>7.6999999999999999E-2</v>
      </c>
      <c r="G1856">
        <v>64.53</v>
      </c>
    </row>
    <row r="1857" spans="1:7" x14ac:dyDescent="0.25">
      <c r="A1857" t="s">
        <v>454</v>
      </c>
      <c r="B1857" t="str">
        <f>_xlfn.XLOOKUP(A1857,[1]Municipios!$B:$B,[1]Municipios!$C:$C)</f>
        <v>Oeste</v>
      </c>
      <c r="C1857" t="str">
        <f>_xlfn.XLOOKUP(A1857,[1]Municipios!$B:$B,[1]Municipios!$D:$D)</f>
        <v>Oeste Integrado</v>
      </c>
      <c r="D1857">
        <v>2025</v>
      </c>
      <c r="E1857" t="s">
        <v>237</v>
      </c>
      <c r="F1857">
        <v>1</v>
      </c>
      <c r="G1857">
        <v>64.53</v>
      </c>
    </row>
    <row r="1858" spans="1:7" x14ac:dyDescent="0.25">
      <c r="A1858" t="s">
        <v>480</v>
      </c>
      <c r="B1858" t="str">
        <f>_xlfn.XLOOKUP(A1858,[1]Municipios!$B:$B,[1]Municipios!$C:$C)</f>
        <v>Noroeste</v>
      </c>
      <c r="C1858" t="str">
        <f>_xlfn.XLOOKUP(A1858,[1]Municipios!$B:$B,[1]Municipios!$D:$D)</f>
        <v>Centro Ocidental</v>
      </c>
      <c r="D1858">
        <v>2025</v>
      </c>
      <c r="E1858" t="s">
        <v>231</v>
      </c>
      <c r="F1858">
        <v>0.22229999999999991</v>
      </c>
      <c r="G1858">
        <v>34.69</v>
      </c>
    </row>
    <row r="1859" spans="1:7" x14ac:dyDescent="0.25">
      <c r="A1859" t="s">
        <v>480</v>
      </c>
      <c r="B1859" t="str">
        <f>_xlfn.XLOOKUP(A1859,[1]Municipios!$B:$B,[1]Municipios!$C:$C)</f>
        <v>Noroeste</v>
      </c>
      <c r="C1859" t="str">
        <f>_xlfn.XLOOKUP(A1859,[1]Municipios!$B:$B,[1]Municipios!$D:$D)</f>
        <v>Centro Ocidental</v>
      </c>
      <c r="D1859">
        <v>2025</v>
      </c>
      <c r="E1859" t="s">
        <v>232</v>
      </c>
      <c r="F1859">
        <v>0.76929999999999998</v>
      </c>
      <c r="G1859">
        <v>34.69</v>
      </c>
    </row>
    <row r="1860" spans="1:7" x14ac:dyDescent="0.25">
      <c r="A1860" t="s">
        <v>480</v>
      </c>
      <c r="B1860" t="str">
        <f>_xlfn.XLOOKUP(A1860,[1]Municipios!$B:$B,[1]Municipios!$C:$C)</f>
        <v>Noroeste</v>
      </c>
      <c r="C1860" t="str">
        <f>_xlfn.XLOOKUP(A1860,[1]Municipios!$B:$B,[1]Municipios!$D:$D)</f>
        <v>Centro Ocidental</v>
      </c>
      <c r="D1860">
        <v>2025</v>
      </c>
      <c r="E1860" t="s">
        <v>233</v>
      </c>
      <c r="F1860">
        <v>0.5</v>
      </c>
      <c r="G1860">
        <v>34.69</v>
      </c>
    </row>
    <row r="1861" spans="1:7" x14ac:dyDescent="0.25">
      <c r="A1861" t="s">
        <v>480</v>
      </c>
      <c r="B1861" t="str">
        <f>_xlfn.XLOOKUP(A1861,[1]Municipios!$B:$B,[1]Municipios!$C:$C)</f>
        <v>Noroeste</v>
      </c>
      <c r="C1861" t="str">
        <f>_xlfn.XLOOKUP(A1861,[1]Municipios!$B:$B,[1]Municipios!$D:$D)</f>
        <v>Centro Ocidental</v>
      </c>
      <c r="D1861">
        <v>2025</v>
      </c>
      <c r="E1861" t="s">
        <v>215</v>
      </c>
      <c r="F1861">
        <v>0</v>
      </c>
      <c r="G1861">
        <v>34.69</v>
      </c>
    </row>
    <row r="1862" spans="1:7" x14ac:dyDescent="0.25">
      <c r="A1862" t="s">
        <v>480</v>
      </c>
      <c r="B1862" t="str">
        <f>_xlfn.XLOOKUP(A1862,[1]Municipios!$B:$B,[1]Municipios!$C:$C)</f>
        <v>Noroeste</v>
      </c>
      <c r="C1862" t="str">
        <f>_xlfn.XLOOKUP(A1862,[1]Municipios!$B:$B,[1]Municipios!$D:$D)</f>
        <v>Centro Ocidental</v>
      </c>
      <c r="D1862">
        <v>2025</v>
      </c>
      <c r="E1862" t="s">
        <v>234</v>
      </c>
      <c r="F1862">
        <v>0.77780000000000005</v>
      </c>
      <c r="G1862">
        <v>34.69</v>
      </c>
    </row>
    <row r="1863" spans="1:7" x14ac:dyDescent="0.25">
      <c r="A1863" t="s">
        <v>480</v>
      </c>
      <c r="B1863" t="str">
        <f>_xlfn.XLOOKUP(A1863,[1]Municipios!$B:$B,[1]Municipios!$C:$C)</f>
        <v>Noroeste</v>
      </c>
      <c r="C1863" t="str">
        <f>_xlfn.XLOOKUP(A1863,[1]Municipios!$B:$B,[1]Municipios!$D:$D)</f>
        <v>Centro Ocidental</v>
      </c>
      <c r="D1863">
        <v>2025</v>
      </c>
      <c r="E1863" t="s">
        <v>235</v>
      </c>
      <c r="F1863">
        <v>0.1429</v>
      </c>
      <c r="G1863">
        <v>34.69</v>
      </c>
    </row>
    <row r="1864" spans="1:7" x14ac:dyDescent="0.25">
      <c r="A1864" t="s">
        <v>480</v>
      </c>
      <c r="B1864" t="str">
        <f>_xlfn.XLOOKUP(A1864,[1]Municipios!$B:$B,[1]Municipios!$C:$C)</f>
        <v>Noroeste</v>
      </c>
      <c r="C1864" t="str">
        <f>_xlfn.XLOOKUP(A1864,[1]Municipios!$B:$B,[1]Municipios!$D:$D)</f>
        <v>Centro Ocidental</v>
      </c>
      <c r="D1864">
        <v>2025</v>
      </c>
      <c r="E1864" t="s">
        <v>236</v>
      </c>
      <c r="F1864">
        <v>0.154</v>
      </c>
      <c r="G1864">
        <v>34.69</v>
      </c>
    </row>
    <row r="1865" spans="1:7" x14ac:dyDescent="0.25">
      <c r="A1865" t="s">
        <v>480</v>
      </c>
      <c r="B1865" t="str">
        <f>_xlfn.XLOOKUP(A1865,[1]Municipios!$B:$B,[1]Municipios!$C:$C)</f>
        <v>Noroeste</v>
      </c>
      <c r="C1865" t="str">
        <f>_xlfn.XLOOKUP(A1865,[1]Municipios!$B:$B,[1]Municipios!$D:$D)</f>
        <v>Centro Ocidental</v>
      </c>
      <c r="D1865">
        <v>2025</v>
      </c>
      <c r="E1865" t="s">
        <v>237</v>
      </c>
      <c r="F1865">
        <v>0</v>
      </c>
      <c r="G1865">
        <v>34.69</v>
      </c>
    </row>
    <row r="1866" spans="1:7" x14ac:dyDescent="0.25">
      <c r="A1866" t="s">
        <v>430</v>
      </c>
      <c r="B1866" t="str">
        <f>_xlfn.XLOOKUP(A1866,[1]Municipios!$B:$B,[1]Municipios!$C:$C)</f>
        <v>Noroeste</v>
      </c>
      <c r="C1866" t="str">
        <f>_xlfn.XLOOKUP(A1866,[1]Municipios!$B:$B,[1]Municipios!$D:$D)</f>
        <v>Terra Roxa</v>
      </c>
      <c r="D1866">
        <v>2025</v>
      </c>
      <c r="E1866" t="s">
        <v>231</v>
      </c>
      <c r="F1866">
        <v>0.66669999999999996</v>
      </c>
      <c r="G1866">
        <v>78.92</v>
      </c>
    </row>
    <row r="1867" spans="1:7" x14ac:dyDescent="0.25">
      <c r="A1867" t="s">
        <v>430</v>
      </c>
      <c r="B1867" t="str">
        <f>_xlfn.XLOOKUP(A1867,[1]Municipios!$B:$B,[1]Municipios!$C:$C)</f>
        <v>Noroeste</v>
      </c>
      <c r="C1867" t="str">
        <f>_xlfn.XLOOKUP(A1867,[1]Municipios!$B:$B,[1]Municipios!$D:$D)</f>
        <v>Terra Roxa</v>
      </c>
      <c r="D1867">
        <v>2025</v>
      </c>
      <c r="E1867" t="s">
        <v>232</v>
      </c>
      <c r="F1867">
        <v>1</v>
      </c>
      <c r="G1867">
        <v>78.92</v>
      </c>
    </row>
    <row r="1868" spans="1:7" x14ac:dyDescent="0.25">
      <c r="A1868" t="s">
        <v>430</v>
      </c>
      <c r="B1868" t="str">
        <f>_xlfn.XLOOKUP(A1868,[1]Municipios!$B:$B,[1]Municipios!$C:$C)</f>
        <v>Noroeste</v>
      </c>
      <c r="C1868" t="str">
        <f>_xlfn.XLOOKUP(A1868,[1]Municipios!$B:$B,[1]Municipios!$D:$D)</f>
        <v>Terra Roxa</v>
      </c>
      <c r="D1868">
        <v>2025</v>
      </c>
      <c r="E1868" t="s">
        <v>233</v>
      </c>
      <c r="F1868">
        <v>1</v>
      </c>
      <c r="G1868">
        <v>78.92</v>
      </c>
    </row>
    <row r="1869" spans="1:7" x14ac:dyDescent="0.25">
      <c r="A1869" t="s">
        <v>430</v>
      </c>
      <c r="B1869" t="str">
        <f>_xlfn.XLOOKUP(A1869,[1]Municipios!$B:$B,[1]Municipios!$C:$C)</f>
        <v>Noroeste</v>
      </c>
      <c r="C1869" t="str">
        <f>_xlfn.XLOOKUP(A1869,[1]Municipios!$B:$B,[1]Municipios!$D:$D)</f>
        <v>Terra Roxa</v>
      </c>
      <c r="D1869">
        <v>2025</v>
      </c>
      <c r="E1869" t="s">
        <v>215</v>
      </c>
      <c r="F1869">
        <v>0.5</v>
      </c>
      <c r="G1869">
        <v>78.92</v>
      </c>
    </row>
    <row r="1870" spans="1:7" x14ac:dyDescent="0.25">
      <c r="A1870" t="s">
        <v>430</v>
      </c>
      <c r="B1870" t="str">
        <f>_xlfn.XLOOKUP(A1870,[1]Municipios!$B:$B,[1]Municipios!$C:$C)</f>
        <v>Noroeste</v>
      </c>
      <c r="C1870" t="str">
        <f>_xlfn.XLOOKUP(A1870,[1]Municipios!$B:$B,[1]Municipios!$D:$D)</f>
        <v>Terra Roxa</v>
      </c>
      <c r="D1870">
        <v>2025</v>
      </c>
      <c r="E1870" t="s">
        <v>234</v>
      </c>
      <c r="F1870">
        <v>1</v>
      </c>
      <c r="G1870">
        <v>78.92</v>
      </c>
    </row>
    <row r="1871" spans="1:7" x14ac:dyDescent="0.25">
      <c r="A1871" t="s">
        <v>430</v>
      </c>
      <c r="B1871" t="str">
        <f>_xlfn.XLOOKUP(A1871,[1]Municipios!$B:$B,[1]Municipios!$C:$C)</f>
        <v>Noroeste</v>
      </c>
      <c r="C1871" t="str">
        <f>_xlfn.XLOOKUP(A1871,[1]Municipios!$B:$B,[1]Municipios!$D:$D)</f>
        <v>Terra Roxa</v>
      </c>
      <c r="D1871">
        <v>2025</v>
      </c>
      <c r="E1871" t="s">
        <v>235</v>
      </c>
      <c r="F1871">
        <v>1</v>
      </c>
      <c r="G1871">
        <v>78.92</v>
      </c>
    </row>
    <row r="1872" spans="1:7" x14ac:dyDescent="0.25">
      <c r="A1872" t="s">
        <v>430</v>
      </c>
      <c r="B1872" t="str">
        <f>_xlfn.XLOOKUP(A1872,[1]Municipios!$B:$B,[1]Municipios!$C:$C)</f>
        <v>Noroeste</v>
      </c>
      <c r="C1872" t="str">
        <f>_xlfn.XLOOKUP(A1872,[1]Municipios!$B:$B,[1]Municipios!$D:$D)</f>
        <v>Terra Roxa</v>
      </c>
      <c r="D1872">
        <v>2025</v>
      </c>
      <c r="E1872" t="s">
        <v>236</v>
      </c>
      <c r="F1872">
        <v>7.6999999999999999E-2</v>
      </c>
      <c r="G1872">
        <v>78.92</v>
      </c>
    </row>
    <row r="1873" spans="1:7" x14ac:dyDescent="0.25">
      <c r="A1873" t="s">
        <v>430</v>
      </c>
      <c r="B1873" t="str">
        <f>_xlfn.XLOOKUP(A1873,[1]Municipios!$B:$B,[1]Municipios!$C:$C)</f>
        <v>Noroeste</v>
      </c>
      <c r="C1873" t="str">
        <f>_xlfn.XLOOKUP(A1873,[1]Municipios!$B:$B,[1]Municipios!$D:$D)</f>
        <v>Terra Roxa</v>
      </c>
      <c r="D1873">
        <v>2025</v>
      </c>
      <c r="E1873" t="s">
        <v>237</v>
      </c>
      <c r="F1873">
        <v>1</v>
      </c>
      <c r="G1873">
        <v>78.92</v>
      </c>
    </row>
    <row r="1874" spans="1:7" x14ac:dyDescent="0.25">
      <c r="A1874" t="s">
        <v>258</v>
      </c>
      <c r="B1874" t="str">
        <f>_xlfn.XLOOKUP(A1874,[1]Municipios!$B:$B,[1]Municipios!$C:$C)</f>
        <v>Sul</v>
      </c>
      <c r="C1874" t="str">
        <f>_xlfn.XLOOKUP(A1874,[1]Municipios!$B:$B,[1]Municipios!$D:$D)</f>
        <v>Sudoeste Pioneiro</v>
      </c>
      <c r="D1874">
        <v>2025</v>
      </c>
      <c r="E1874" t="s">
        <v>231</v>
      </c>
      <c r="F1874">
        <v>0.44449999999999995</v>
      </c>
      <c r="G1874">
        <v>38.46</v>
      </c>
    </row>
    <row r="1875" spans="1:7" x14ac:dyDescent="0.25">
      <c r="A1875" t="s">
        <v>258</v>
      </c>
      <c r="B1875" t="str">
        <f>_xlfn.XLOOKUP(A1875,[1]Municipios!$B:$B,[1]Municipios!$C:$C)</f>
        <v>Sul</v>
      </c>
      <c r="C1875" t="str">
        <f>_xlfn.XLOOKUP(A1875,[1]Municipios!$B:$B,[1]Municipios!$D:$D)</f>
        <v>Sudoeste Pioneiro</v>
      </c>
      <c r="D1875">
        <v>2025</v>
      </c>
      <c r="E1875" t="s">
        <v>232</v>
      </c>
      <c r="F1875">
        <v>0.46150000000000002</v>
      </c>
      <c r="G1875">
        <v>38.46</v>
      </c>
    </row>
    <row r="1876" spans="1:7" x14ac:dyDescent="0.25">
      <c r="A1876" t="s">
        <v>258</v>
      </c>
      <c r="B1876" t="str">
        <f>_xlfn.XLOOKUP(A1876,[1]Municipios!$B:$B,[1]Municipios!$C:$C)</f>
        <v>Sul</v>
      </c>
      <c r="C1876" t="str">
        <f>_xlfn.XLOOKUP(A1876,[1]Municipios!$B:$B,[1]Municipios!$D:$D)</f>
        <v>Sudoeste Pioneiro</v>
      </c>
      <c r="D1876">
        <v>2025</v>
      </c>
      <c r="E1876" t="s">
        <v>233</v>
      </c>
      <c r="F1876">
        <v>0.625</v>
      </c>
      <c r="G1876">
        <v>38.46</v>
      </c>
    </row>
    <row r="1877" spans="1:7" x14ac:dyDescent="0.25">
      <c r="A1877" t="s">
        <v>258</v>
      </c>
      <c r="B1877" t="str">
        <f>_xlfn.XLOOKUP(A1877,[1]Municipios!$B:$B,[1]Municipios!$C:$C)</f>
        <v>Sul</v>
      </c>
      <c r="C1877" t="str">
        <f>_xlfn.XLOOKUP(A1877,[1]Municipios!$B:$B,[1]Municipios!$D:$D)</f>
        <v>Sudoeste Pioneiro</v>
      </c>
      <c r="D1877">
        <v>2025</v>
      </c>
      <c r="E1877" t="s">
        <v>215</v>
      </c>
      <c r="F1877">
        <v>0.79999999999999993</v>
      </c>
      <c r="G1877">
        <v>38.46</v>
      </c>
    </row>
    <row r="1878" spans="1:7" x14ac:dyDescent="0.25">
      <c r="A1878" t="s">
        <v>258</v>
      </c>
      <c r="B1878" t="str">
        <f>_xlfn.XLOOKUP(A1878,[1]Municipios!$B:$B,[1]Municipios!$C:$C)</f>
        <v>Sul</v>
      </c>
      <c r="C1878" t="str">
        <f>_xlfn.XLOOKUP(A1878,[1]Municipios!$B:$B,[1]Municipios!$D:$D)</f>
        <v>Sudoeste Pioneiro</v>
      </c>
      <c r="D1878">
        <v>2025</v>
      </c>
      <c r="E1878" t="s">
        <v>234</v>
      </c>
      <c r="F1878">
        <v>0.33329999999999999</v>
      </c>
      <c r="G1878">
        <v>38.46</v>
      </c>
    </row>
    <row r="1879" spans="1:7" x14ac:dyDescent="0.25">
      <c r="A1879" t="s">
        <v>258</v>
      </c>
      <c r="B1879" t="str">
        <f>_xlfn.XLOOKUP(A1879,[1]Municipios!$B:$B,[1]Municipios!$C:$C)</f>
        <v>Sul</v>
      </c>
      <c r="C1879" t="str">
        <f>_xlfn.XLOOKUP(A1879,[1]Municipios!$B:$B,[1]Municipios!$D:$D)</f>
        <v>Sudoeste Pioneiro</v>
      </c>
      <c r="D1879">
        <v>2025</v>
      </c>
      <c r="E1879" t="s">
        <v>235</v>
      </c>
      <c r="F1879">
        <v>0.42869999999999997</v>
      </c>
      <c r="G1879">
        <v>38.46</v>
      </c>
    </row>
    <row r="1880" spans="1:7" x14ac:dyDescent="0.25">
      <c r="A1880" t="s">
        <v>258</v>
      </c>
      <c r="B1880" t="str">
        <f>_xlfn.XLOOKUP(A1880,[1]Municipios!$B:$B,[1]Municipios!$C:$C)</f>
        <v>Sul</v>
      </c>
      <c r="C1880" t="str">
        <f>_xlfn.XLOOKUP(A1880,[1]Municipios!$B:$B,[1]Municipios!$D:$D)</f>
        <v>Sudoeste Pioneiro</v>
      </c>
      <c r="D1880">
        <v>2025</v>
      </c>
      <c r="E1880" t="s">
        <v>236</v>
      </c>
      <c r="F1880">
        <v>7.6999999999999999E-2</v>
      </c>
      <c r="G1880">
        <v>38.46</v>
      </c>
    </row>
    <row r="1881" spans="1:7" x14ac:dyDescent="0.25">
      <c r="A1881" t="s">
        <v>258</v>
      </c>
      <c r="B1881" t="str">
        <f>_xlfn.XLOOKUP(A1881,[1]Municipios!$B:$B,[1]Municipios!$C:$C)</f>
        <v>Sul</v>
      </c>
      <c r="C1881" t="str">
        <f>_xlfn.XLOOKUP(A1881,[1]Municipios!$B:$B,[1]Municipios!$D:$D)</f>
        <v>Sudoeste Pioneiro</v>
      </c>
      <c r="D1881">
        <v>2025</v>
      </c>
      <c r="E1881" t="s">
        <v>237</v>
      </c>
      <c r="F1881">
        <v>0</v>
      </c>
      <c r="G1881">
        <v>38.46</v>
      </c>
    </row>
    <row r="1882" spans="1:7" x14ac:dyDescent="0.25">
      <c r="A1882" t="s">
        <v>397</v>
      </c>
      <c r="B1882" t="str">
        <f>_xlfn.XLOOKUP(A1882,[1]Municipios!$B:$B,[1]Municipios!$C:$C)</f>
        <v>Norte</v>
      </c>
      <c r="C1882" t="str">
        <f>_xlfn.XLOOKUP(A1882,[1]Municipios!$B:$B,[1]Municipios!$D:$D)</f>
        <v>Norte Central</v>
      </c>
      <c r="D1882">
        <v>2025</v>
      </c>
      <c r="E1882" t="s">
        <v>231</v>
      </c>
      <c r="F1882">
        <v>0.11109999999999999</v>
      </c>
      <c r="G1882">
        <v>19.600000000000001</v>
      </c>
    </row>
    <row r="1883" spans="1:7" x14ac:dyDescent="0.25">
      <c r="A1883" t="s">
        <v>397</v>
      </c>
      <c r="B1883" t="str">
        <f>_xlfn.XLOOKUP(A1883,[1]Municipios!$B:$B,[1]Municipios!$C:$C)</f>
        <v>Norte</v>
      </c>
      <c r="C1883" t="str">
        <f>_xlfn.XLOOKUP(A1883,[1]Municipios!$B:$B,[1]Municipios!$D:$D)</f>
        <v>Norte Central</v>
      </c>
      <c r="D1883">
        <v>2025</v>
      </c>
      <c r="E1883" t="s">
        <v>232</v>
      </c>
      <c r="F1883">
        <v>0.61539999999999995</v>
      </c>
      <c r="G1883">
        <v>19.600000000000001</v>
      </c>
    </row>
    <row r="1884" spans="1:7" x14ac:dyDescent="0.25">
      <c r="A1884" t="s">
        <v>397</v>
      </c>
      <c r="B1884" t="str">
        <f>_xlfn.XLOOKUP(A1884,[1]Municipios!$B:$B,[1]Municipios!$C:$C)</f>
        <v>Norte</v>
      </c>
      <c r="C1884" t="str">
        <f>_xlfn.XLOOKUP(A1884,[1]Municipios!$B:$B,[1]Municipios!$D:$D)</f>
        <v>Norte Central</v>
      </c>
      <c r="D1884">
        <v>2025</v>
      </c>
      <c r="E1884" t="s">
        <v>233</v>
      </c>
      <c r="F1884">
        <v>0.5</v>
      </c>
      <c r="G1884">
        <v>19.600000000000001</v>
      </c>
    </row>
    <row r="1885" spans="1:7" x14ac:dyDescent="0.25">
      <c r="A1885" t="s">
        <v>397</v>
      </c>
      <c r="B1885" t="str">
        <f>_xlfn.XLOOKUP(A1885,[1]Municipios!$B:$B,[1]Municipios!$C:$C)</f>
        <v>Norte</v>
      </c>
      <c r="C1885" t="str">
        <f>_xlfn.XLOOKUP(A1885,[1]Municipios!$B:$B,[1]Municipios!$D:$D)</f>
        <v>Norte Central</v>
      </c>
      <c r="D1885">
        <v>2025</v>
      </c>
      <c r="E1885" t="s">
        <v>215</v>
      </c>
      <c r="F1885">
        <v>0</v>
      </c>
      <c r="G1885">
        <v>19.600000000000001</v>
      </c>
    </row>
    <row r="1886" spans="1:7" x14ac:dyDescent="0.25">
      <c r="A1886" t="s">
        <v>397</v>
      </c>
      <c r="B1886" t="str">
        <f>_xlfn.XLOOKUP(A1886,[1]Municipios!$B:$B,[1]Municipios!$C:$C)</f>
        <v>Norte</v>
      </c>
      <c r="C1886" t="str">
        <f>_xlfn.XLOOKUP(A1886,[1]Municipios!$B:$B,[1]Municipios!$D:$D)</f>
        <v>Norte Central</v>
      </c>
      <c r="D1886">
        <v>2025</v>
      </c>
      <c r="E1886" t="s">
        <v>234</v>
      </c>
      <c r="F1886">
        <v>0.22220000000000001</v>
      </c>
      <c r="G1886">
        <v>19.600000000000001</v>
      </c>
    </row>
    <row r="1887" spans="1:7" x14ac:dyDescent="0.25">
      <c r="A1887" t="s">
        <v>397</v>
      </c>
      <c r="B1887" t="str">
        <f>_xlfn.XLOOKUP(A1887,[1]Municipios!$B:$B,[1]Municipios!$C:$C)</f>
        <v>Norte</v>
      </c>
      <c r="C1887" t="str">
        <f>_xlfn.XLOOKUP(A1887,[1]Municipios!$B:$B,[1]Municipios!$D:$D)</f>
        <v>Norte Central</v>
      </c>
      <c r="D1887">
        <v>2025</v>
      </c>
      <c r="E1887" t="s">
        <v>235</v>
      </c>
      <c r="F1887">
        <v>0.14279999999999998</v>
      </c>
      <c r="G1887">
        <v>19.600000000000001</v>
      </c>
    </row>
    <row r="1888" spans="1:7" x14ac:dyDescent="0.25">
      <c r="A1888" t="s">
        <v>397</v>
      </c>
      <c r="B1888" t="str">
        <f>_xlfn.XLOOKUP(A1888,[1]Municipios!$B:$B,[1]Municipios!$C:$C)</f>
        <v>Norte</v>
      </c>
      <c r="C1888" t="str">
        <f>_xlfn.XLOOKUP(A1888,[1]Municipios!$B:$B,[1]Municipios!$D:$D)</f>
        <v>Norte Central</v>
      </c>
      <c r="D1888">
        <v>2025</v>
      </c>
      <c r="E1888" t="s">
        <v>236</v>
      </c>
      <c r="F1888">
        <v>0</v>
      </c>
      <c r="G1888">
        <v>19.600000000000001</v>
      </c>
    </row>
    <row r="1889" spans="1:7" x14ac:dyDescent="0.25">
      <c r="A1889" t="s">
        <v>397</v>
      </c>
      <c r="B1889" t="str">
        <f>_xlfn.XLOOKUP(A1889,[1]Municipios!$B:$B,[1]Municipios!$C:$C)</f>
        <v>Norte</v>
      </c>
      <c r="C1889" t="str">
        <f>_xlfn.XLOOKUP(A1889,[1]Municipios!$B:$B,[1]Municipios!$D:$D)</f>
        <v>Norte Central</v>
      </c>
      <c r="D1889">
        <v>2025</v>
      </c>
      <c r="E1889" t="s">
        <v>237</v>
      </c>
      <c r="F1889">
        <v>0</v>
      </c>
      <c r="G1889">
        <v>19.600000000000001</v>
      </c>
    </row>
    <row r="1890" spans="1:7" x14ac:dyDescent="0.25">
      <c r="A1890" t="s">
        <v>527</v>
      </c>
      <c r="B1890" t="str">
        <f>_xlfn.XLOOKUP(A1890,[1]Municipios!$B:$B,[1]Municipios!$C:$C)</f>
        <v>Oeste</v>
      </c>
      <c r="C1890" t="str">
        <f>_xlfn.XLOOKUP(A1890,[1]Municipios!$B:$B,[1]Municipios!$D:$D)</f>
        <v>Cantuquiriguaçu</v>
      </c>
      <c r="D1890">
        <v>2025</v>
      </c>
      <c r="E1890" t="s">
        <v>231</v>
      </c>
      <c r="F1890">
        <v>0.22219999999999998</v>
      </c>
      <c r="G1890">
        <v>32.92</v>
      </c>
    </row>
    <row r="1891" spans="1:7" x14ac:dyDescent="0.25">
      <c r="A1891" t="s">
        <v>527</v>
      </c>
      <c r="B1891" t="str">
        <f>_xlfn.XLOOKUP(A1891,[1]Municipios!$B:$B,[1]Municipios!$C:$C)</f>
        <v>Oeste</v>
      </c>
      <c r="C1891" t="str">
        <f>_xlfn.XLOOKUP(A1891,[1]Municipios!$B:$B,[1]Municipios!$D:$D)</f>
        <v>Cantuquiriguaçu</v>
      </c>
      <c r="D1891">
        <v>2025</v>
      </c>
      <c r="E1891" t="s">
        <v>232</v>
      </c>
      <c r="F1891">
        <v>0.53839999999999999</v>
      </c>
      <c r="G1891">
        <v>32.92</v>
      </c>
    </row>
    <row r="1892" spans="1:7" x14ac:dyDescent="0.25">
      <c r="A1892" t="s">
        <v>527</v>
      </c>
      <c r="B1892" t="str">
        <f>_xlfn.XLOOKUP(A1892,[1]Municipios!$B:$B,[1]Municipios!$C:$C)</f>
        <v>Oeste</v>
      </c>
      <c r="C1892" t="str">
        <f>_xlfn.XLOOKUP(A1892,[1]Municipios!$B:$B,[1]Municipios!$D:$D)</f>
        <v>Cantuquiriguaçu</v>
      </c>
      <c r="D1892">
        <v>2025</v>
      </c>
      <c r="E1892" t="s">
        <v>233</v>
      </c>
      <c r="F1892">
        <v>0.125</v>
      </c>
      <c r="G1892">
        <v>32.92</v>
      </c>
    </row>
    <row r="1893" spans="1:7" x14ac:dyDescent="0.25">
      <c r="A1893" t="s">
        <v>527</v>
      </c>
      <c r="B1893" t="str">
        <f>_xlfn.XLOOKUP(A1893,[1]Municipios!$B:$B,[1]Municipios!$C:$C)</f>
        <v>Oeste</v>
      </c>
      <c r="C1893" t="str">
        <f>_xlfn.XLOOKUP(A1893,[1]Municipios!$B:$B,[1]Municipios!$D:$D)</f>
        <v>Cantuquiriguaçu</v>
      </c>
      <c r="D1893">
        <v>2025</v>
      </c>
      <c r="E1893" t="s">
        <v>215</v>
      </c>
      <c r="F1893">
        <v>0.4499999999999999</v>
      </c>
      <c r="G1893">
        <v>32.92</v>
      </c>
    </row>
    <row r="1894" spans="1:7" x14ac:dyDescent="0.25">
      <c r="A1894" t="s">
        <v>527</v>
      </c>
      <c r="B1894" t="str">
        <f>_xlfn.XLOOKUP(A1894,[1]Municipios!$B:$B,[1]Municipios!$C:$C)</f>
        <v>Oeste</v>
      </c>
      <c r="C1894" t="str">
        <f>_xlfn.XLOOKUP(A1894,[1]Municipios!$B:$B,[1]Municipios!$D:$D)</f>
        <v>Cantuquiriguaçu</v>
      </c>
      <c r="D1894">
        <v>2025</v>
      </c>
      <c r="E1894" t="s">
        <v>234</v>
      </c>
      <c r="F1894">
        <v>0.66659999999999997</v>
      </c>
      <c r="G1894">
        <v>32.92</v>
      </c>
    </row>
    <row r="1895" spans="1:7" x14ac:dyDescent="0.25">
      <c r="A1895" t="s">
        <v>527</v>
      </c>
      <c r="B1895" t="str">
        <f>_xlfn.XLOOKUP(A1895,[1]Municipios!$B:$B,[1]Municipios!$C:$C)</f>
        <v>Oeste</v>
      </c>
      <c r="C1895" t="str">
        <f>_xlfn.XLOOKUP(A1895,[1]Municipios!$B:$B,[1]Municipios!$D:$D)</f>
        <v>Cantuquiriguaçu</v>
      </c>
      <c r="D1895">
        <v>2025</v>
      </c>
      <c r="E1895" t="s">
        <v>235</v>
      </c>
      <c r="F1895">
        <v>0.2858</v>
      </c>
      <c r="G1895">
        <v>32.92</v>
      </c>
    </row>
    <row r="1896" spans="1:7" x14ac:dyDescent="0.25">
      <c r="A1896" t="s">
        <v>527</v>
      </c>
      <c r="B1896" t="str">
        <f>_xlfn.XLOOKUP(A1896,[1]Municipios!$B:$B,[1]Municipios!$C:$C)</f>
        <v>Oeste</v>
      </c>
      <c r="C1896" t="str">
        <f>_xlfn.XLOOKUP(A1896,[1]Municipios!$B:$B,[1]Municipios!$D:$D)</f>
        <v>Cantuquiriguaçu</v>
      </c>
      <c r="D1896">
        <v>2025</v>
      </c>
      <c r="E1896" t="s">
        <v>236</v>
      </c>
      <c r="F1896">
        <v>0</v>
      </c>
      <c r="G1896">
        <v>32.92</v>
      </c>
    </row>
    <row r="1897" spans="1:7" x14ac:dyDescent="0.25">
      <c r="A1897" t="s">
        <v>527</v>
      </c>
      <c r="B1897" t="str">
        <f>_xlfn.XLOOKUP(A1897,[1]Municipios!$B:$B,[1]Municipios!$C:$C)</f>
        <v>Oeste</v>
      </c>
      <c r="C1897" t="str">
        <f>_xlfn.XLOOKUP(A1897,[1]Municipios!$B:$B,[1]Municipios!$D:$D)</f>
        <v>Cantuquiriguaçu</v>
      </c>
      <c r="D1897">
        <v>2025</v>
      </c>
      <c r="E1897" t="s">
        <v>237</v>
      </c>
      <c r="F1897">
        <v>0</v>
      </c>
      <c r="G1897">
        <v>32.92</v>
      </c>
    </row>
    <row r="1898" spans="1:7" x14ac:dyDescent="0.25">
      <c r="A1898" t="s">
        <v>411</v>
      </c>
      <c r="B1898" t="str">
        <f>_xlfn.XLOOKUP(A1898,[1]Municipios!$B:$B,[1]Municipios!$C:$C)</f>
        <v>Noroeste</v>
      </c>
      <c r="C1898" t="str">
        <f>_xlfn.XLOOKUP(A1898,[1]Municipios!$B:$B,[1]Municipios!$D:$D)</f>
        <v>Costa Noroeste</v>
      </c>
      <c r="D1898">
        <v>2025</v>
      </c>
      <c r="E1898" t="s">
        <v>231</v>
      </c>
      <c r="F1898">
        <v>0.88890000000000002</v>
      </c>
      <c r="G1898">
        <v>79.16</v>
      </c>
    </row>
    <row r="1899" spans="1:7" x14ac:dyDescent="0.25">
      <c r="A1899" t="s">
        <v>411</v>
      </c>
      <c r="B1899" t="str">
        <f>_xlfn.XLOOKUP(A1899,[1]Municipios!$B:$B,[1]Municipios!$C:$C)</f>
        <v>Noroeste</v>
      </c>
      <c r="C1899" t="str">
        <f>_xlfn.XLOOKUP(A1899,[1]Municipios!$B:$B,[1]Municipios!$D:$D)</f>
        <v>Costa Noroeste</v>
      </c>
      <c r="D1899">
        <v>2025</v>
      </c>
      <c r="E1899" t="s">
        <v>232</v>
      </c>
      <c r="F1899">
        <v>0.76929999999999998</v>
      </c>
      <c r="G1899">
        <v>79.16</v>
      </c>
    </row>
    <row r="1900" spans="1:7" x14ac:dyDescent="0.25">
      <c r="A1900" t="s">
        <v>411</v>
      </c>
      <c r="B1900" t="str">
        <f>_xlfn.XLOOKUP(A1900,[1]Municipios!$B:$B,[1]Municipios!$C:$C)</f>
        <v>Noroeste</v>
      </c>
      <c r="C1900" t="str">
        <f>_xlfn.XLOOKUP(A1900,[1]Municipios!$B:$B,[1]Municipios!$D:$D)</f>
        <v>Costa Noroeste</v>
      </c>
      <c r="D1900">
        <v>2025</v>
      </c>
      <c r="E1900" t="s">
        <v>233</v>
      </c>
      <c r="F1900">
        <v>0.875</v>
      </c>
      <c r="G1900">
        <v>79.16</v>
      </c>
    </row>
    <row r="1901" spans="1:7" x14ac:dyDescent="0.25">
      <c r="A1901" t="s">
        <v>411</v>
      </c>
      <c r="B1901" t="str">
        <f>_xlfn.XLOOKUP(A1901,[1]Municipios!$B:$B,[1]Municipios!$C:$C)</f>
        <v>Noroeste</v>
      </c>
      <c r="C1901" t="str">
        <f>_xlfn.XLOOKUP(A1901,[1]Municipios!$B:$B,[1]Municipios!$D:$D)</f>
        <v>Costa Noroeste</v>
      </c>
      <c r="D1901">
        <v>2025</v>
      </c>
      <c r="E1901" t="s">
        <v>215</v>
      </c>
      <c r="F1901">
        <v>1</v>
      </c>
      <c r="G1901">
        <v>79.16</v>
      </c>
    </row>
    <row r="1902" spans="1:7" x14ac:dyDescent="0.25">
      <c r="A1902" t="s">
        <v>411</v>
      </c>
      <c r="B1902" t="str">
        <f>_xlfn.XLOOKUP(A1902,[1]Municipios!$B:$B,[1]Municipios!$C:$C)</f>
        <v>Noroeste</v>
      </c>
      <c r="C1902" t="str">
        <f>_xlfn.XLOOKUP(A1902,[1]Municipios!$B:$B,[1]Municipios!$D:$D)</f>
        <v>Costa Noroeste</v>
      </c>
      <c r="D1902">
        <v>2025</v>
      </c>
      <c r="E1902" t="s">
        <v>234</v>
      </c>
      <c r="F1902">
        <v>0.66669999999999996</v>
      </c>
      <c r="G1902">
        <v>79.16</v>
      </c>
    </row>
    <row r="1903" spans="1:7" x14ac:dyDescent="0.25">
      <c r="A1903" t="s">
        <v>411</v>
      </c>
      <c r="B1903" t="str">
        <f>_xlfn.XLOOKUP(A1903,[1]Municipios!$B:$B,[1]Municipios!$C:$C)</f>
        <v>Noroeste</v>
      </c>
      <c r="C1903" t="str">
        <f>_xlfn.XLOOKUP(A1903,[1]Municipios!$B:$B,[1]Municipios!$D:$D)</f>
        <v>Costa Noroeste</v>
      </c>
      <c r="D1903">
        <v>2025</v>
      </c>
      <c r="E1903" t="s">
        <v>235</v>
      </c>
      <c r="F1903">
        <v>0.85720000000000007</v>
      </c>
      <c r="G1903">
        <v>79.16</v>
      </c>
    </row>
    <row r="1904" spans="1:7" x14ac:dyDescent="0.25">
      <c r="A1904" t="s">
        <v>411</v>
      </c>
      <c r="B1904" t="str">
        <f>_xlfn.XLOOKUP(A1904,[1]Municipios!$B:$B,[1]Municipios!$C:$C)</f>
        <v>Noroeste</v>
      </c>
      <c r="C1904" t="str">
        <f>_xlfn.XLOOKUP(A1904,[1]Municipios!$B:$B,[1]Municipios!$D:$D)</f>
        <v>Costa Noroeste</v>
      </c>
      <c r="D1904">
        <v>2025</v>
      </c>
      <c r="E1904" t="s">
        <v>236</v>
      </c>
      <c r="F1904">
        <v>0.38469999999999999</v>
      </c>
      <c r="G1904">
        <v>79.16</v>
      </c>
    </row>
    <row r="1905" spans="1:7" x14ac:dyDescent="0.25">
      <c r="A1905" t="s">
        <v>411</v>
      </c>
      <c r="B1905" t="str">
        <f>_xlfn.XLOOKUP(A1905,[1]Municipios!$B:$B,[1]Municipios!$C:$C)</f>
        <v>Noroeste</v>
      </c>
      <c r="C1905" t="str">
        <f>_xlfn.XLOOKUP(A1905,[1]Municipios!$B:$B,[1]Municipios!$D:$D)</f>
        <v>Costa Noroeste</v>
      </c>
      <c r="D1905">
        <v>2025</v>
      </c>
      <c r="E1905" t="s">
        <v>237</v>
      </c>
      <c r="F1905">
        <v>1</v>
      </c>
      <c r="G1905">
        <v>79.16</v>
      </c>
    </row>
    <row r="1906" spans="1:7" x14ac:dyDescent="0.25">
      <c r="A1906" t="s">
        <v>592</v>
      </c>
      <c r="B1906" t="str">
        <f>_xlfn.XLOOKUP(A1906,[1]Municipios!$B:$B,[1]Municipios!$C:$C)</f>
        <v>Noroeste</v>
      </c>
      <c r="C1906" t="str">
        <f>_xlfn.XLOOKUP(A1906,[1]Municipios!$B:$B,[1]Municipios!$D:$D)</f>
        <v>Arenito-Caiuá</v>
      </c>
      <c r="D1906">
        <v>2025</v>
      </c>
      <c r="E1906" t="s">
        <v>231</v>
      </c>
      <c r="F1906">
        <v>0.55559999999999998</v>
      </c>
      <c r="G1906">
        <v>78.05</v>
      </c>
    </row>
    <row r="1907" spans="1:7" x14ac:dyDescent="0.25">
      <c r="A1907" t="s">
        <v>592</v>
      </c>
      <c r="B1907" t="str">
        <f>_xlfn.XLOOKUP(A1907,[1]Municipios!$B:$B,[1]Municipios!$C:$C)</f>
        <v>Noroeste</v>
      </c>
      <c r="C1907" t="str">
        <f>_xlfn.XLOOKUP(A1907,[1]Municipios!$B:$B,[1]Municipios!$D:$D)</f>
        <v>Arenito-Caiuá</v>
      </c>
      <c r="D1907">
        <v>2025</v>
      </c>
      <c r="E1907" t="s">
        <v>232</v>
      </c>
      <c r="F1907">
        <v>0.84619999999999995</v>
      </c>
      <c r="G1907">
        <v>78.05</v>
      </c>
    </row>
    <row r="1908" spans="1:7" x14ac:dyDescent="0.25">
      <c r="A1908" t="s">
        <v>592</v>
      </c>
      <c r="B1908" t="str">
        <f>_xlfn.XLOOKUP(A1908,[1]Municipios!$B:$B,[1]Municipios!$C:$C)</f>
        <v>Noroeste</v>
      </c>
      <c r="C1908" t="str">
        <f>_xlfn.XLOOKUP(A1908,[1]Municipios!$B:$B,[1]Municipios!$D:$D)</f>
        <v>Arenito-Caiuá</v>
      </c>
      <c r="D1908">
        <v>2025</v>
      </c>
      <c r="E1908" t="s">
        <v>233</v>
      </c>
      <c r="F1908">
        <v>1</v>
      </c>
      <c r="G1908">
        <v>78.05</v>
      </c>
    </row>
    <row r="1909" spans="1:7" x14ac:dyDescent="0.25">
      <c r="A1909" t="s">
        <v>592</v>
      </c>
      <c r="B1909" t="str">
        <f>_xlfn.XLOOKUP(A1909,[1]Municipios!$B:$B,[1]Municipios!$C:$C)</f>
        <v>Noroeste</v>
      </c>
      <c r="C1909" t="str">
        <f>_xlfn.XLOOKUP(A1909,[1]Municipios!$B:$B,[1]Municipios!$D:$D)</f>
        <v>Arenito-Caiuá</v>
      </c>
      <c r="D1909">
        <v>2025</v>
      </c>
      <c r="E1909" t="s">
        <v>215</v>
      </c>
      <c r="F1909">
        <v>0.75</v>
      </c>
      <c r="G1909">
        <v>78.05</v>
      </c>
    </row>
    <row r="1910" spans="1:7" x14ac:dyDescent="0.25">
      <c r="A1910" t="s">
        <v>592</v>
      </c>
      <c r="B1910" t="str">
        <f>_xlfn.XLOOKUP(A1910,[1]Municipios!$B:$B,[1]Municipios!$C:$C)</f>
        <v>Noroeste</v>
      </c>
      <c r="C1910" t="str">
        <f>_xlfn.XLOOKUP(A1910,[1]Municipios!$B:$B,[1]Municipios!$D:$D)</f>
        <v>Arenito-Caiuá</v>
      </c>
      <c r="D1910">
        <v>2025</v>
      </c>
      <c r="E1910" t="s">
        <v>234</v>
      </c>
      <c r="F1910">
        <v>0.77780000000000005</v>
      </c>
      <c r="G1910">
        <v>78.05</v>
      </c>
    </row>
    <row r="1911" spans="1:7" x14ac:dyDescent="0.25">
      <c r="A1911" t="s">
        <v>592</v>
      </c>
      <c r="B1911" t="str">
        <f>_xlfn.XLOOKUP(A1911,[1]Municipios!$B:$B,[1]Municipios!$C:$C)</f>
        <v>Noroeste</v>
      </c>
      <c r="C1911" t="str">
        <f>_xlfn.XLOOKUP(A1911,[1]Municipios!$B:$B,[1]Municipios!$D:$D)</f>
        <v>Arenito-Caiuá</v>
      </c>
      <c r="D1911">
        <v>2025</v>
      </c>
      <c r="E1911" t="s">
        <v>235</v>
      </c>
      <c r="F1911">
        <v>1</v>
      </c>
      <c r="G1911">
        <v>78.05</v>
      </c>
    </row>
    <row r="1912" spans="1:7" x14ac:dyDescent="0.25">
      <c r="A1912" t="s">
        <v>592</v>
      </c>
      <c r="B1912" t="str">
        <f>_xlfn.XLOOKUP(A1912,[1]Municipios!$B:$B,[1]Municipios!$C:$C)</f>
        <v>Noroeste</v>
      </c>
      <c r="C1912" t="str">
        <f>_xlfn.XLOOKUP(A1912,[1]Municipios!$B:$B,[1]Municipios!$D:$D)</f>
        <v>Arenito-Caiuá</v>
      </c>
      <c r="D1912">
        <v>2025</v>
      </c>
      <c r="E1912" t="s">
        <v>236</v>
      </c>
      <c r="F1912">
        <v>0.38480000000000003</v>
      </c>
      <c r="G1912">
        <v>78.05</v>
      </c>
    </row>
    <row r="1913" spans="1:7" x14ac:dyDescent="0.25">
      <c r="A1913" t="s">
        <v>592</v>
      </c>
      <c r="B1913" t="str">
        <f>_xlfn.XLOOKUP(A1913,[1]Municipios!$B:$B,[1]Municipios!$C:$C)</f>
        <v>Noroeste</v>
      </c>
      <c r="C1913" t="str">
        <f>_xlfn.XLOOKUP(A1913,[1]Municipios!$B:$B,[1]Municipios!$D:$D)</f>
        <v>Arenito-Caiuá</v>
      </c>
      <c r="D1913">
        <v>2025</v>
      </c>
      <c r="E1913" t="s">
        <v>237</v>
      </c>
      <c r="F1913">
        <v>1</v>
      </c>
      <c r="G1913">
        <v>78.05</v>
      </c>
    </row>
    <row r="1914" spans="1:7" x14ac:dyDescent="0.25">
      <c r="A1914" t="s">
        <v>259</v>
      </c>
      <c r="B1914" t="str">
        <f>_xlfn.XLOOKUP(A1914,[1]Municipios!$B:$B,[1]Municipios!$C:$C)</f>
        <v>Sul</v>
      </c>
      <c r="C1914" t="str">
        <f>_xlfn.XLOOKUP(A1914,[1]Municipios!$B:$B,[1]Municipios!$D:$D)</f>
        <v>Sudoeste Pioneiro</v>
      </c>
      <c r="D1914">
        <v>2025</v>
      </c>
      <c r="E1914" t="s">
        <v>231</v>
      </c>
      <c r="F1914">
        <v>0.66669999999999996</v>
      </c>
      <c r="G1914">
        <v>79.040000000000006</v>
      </c>
    </row>
    <row r="1915" spans="1:7" x14ac:dyDescent="0.25">
      <c r="A1915" t="s">
        <v>259</v>
      </c>
      <c r="B1915" t="str">
        <f>_xlfn.XLOOKUP(A1915,[1]Municipios!$B:$B,[1]Municipios!$C:$C)</f>
        <v>Sul</v>
      </c>
      <c r="C1915" t="str">
        <f>_xlfn.XLOOKUP(A1915,[1]Municipios!$B:$B,[1]Municipios!$D:$D)</f>
        <v>Sudoeste Pioneiro</v>
      </c>
      <c r="D1915">
        <v>2025</v>
      </c>
      <c r="E1915" t="s">
        <v>232</v>
      </c>
      <c r="F1915">
        <v>0.92310000000000003</v>
      </c>
      <c r="G1915">
        <v>79.040000000000006</v>
      </c>
    </row>
    <row r="1916" spans="1:7" x14ac:dyDescent="0.25">
      <c r="A1916" t="s">
        <v>259</v>
      </c>
      <c r="B1916" t="str">
        <f>_xlfn.XLOOKUP(A1916,[1]Municipios!$B:$B,[1]Municipios!$C:$C)</f>
        <v>Sul</v>
      </c>
      <c r="C1916" t="str">
        <f>_xlfn.XLOOKUP(A1916,[1]Municipios!$B:$B,[1]Municipios!$D:$D)</f>
        <v>Sudoeste Pioneiro</v>
      </c>
      <c r="D1916">
        <v>2025</v>
      </c>
      <c r="E1916" t="s">
        <v>233</v>
      </c>
      <c r="F1916">
        <v>0.75</v>
      </c>
      <c r="G1916">
        <v>79.040000000000006</v>
      </c>
    </row>
    <row r="1917" spans="1:7" x14ac:dyDescent="0.25">
      <c r="A1917" t="s">
        <v>259</v>
      </c>
      <c r="B1917" t="str">
        <f>_xlfn.XLOOKUP(A1917,[1]Municipios!$B:$B,[1]Municipios!$C:$C)</f>
        <v>Sul</v>
      </c>
      <c r="C1917" t="str">
        <f>_xlfn.XLOOKUP(A1917,[1]Municipios!$B:$B,[1]Municipios!$D:$D)</f>
        <v>Sudoeste Pioneiro</v>
      </c>
      <c r="D1917">
        <v>2025</v>
      </c>
      <c r="E1917" t="s">
        <v>215</v>
      </c>
      <c r="F1917">
        <v>0.79999999999999993</v>
      </c>
      <c r="G1917">
        <v>79.040000000000006</v>
      </c>
    </row>
    <row r="1918" spans="1:7" x14ac:dyDescent="0.25">
      <c r="A1918" t="s">
        <v>259</v>
      </c>
      <c r="B1918" t="str">
        <f>_xlfn.XLOOKUP(A1918,[1]Municipios!$B:$B,[1]Municipios!$C:$C)</f>
        <v>Sul</v>
      </c>
      <c r="C1918" t="str">
        <f>_xlfn.XLOOKUP(A1918,[1]Municipios!$B:$B,[1]Municipios!$D:$D)</f>
        <v>Sudoeste Pioneiro</v>
      </c>
      <c r="D1918">
        <v>2025</v>
      </c>
      <c r="E1918" t="s">
        <v>234</v>
      </c>
      <c r="F1918">
        <v>0.77780000000000005</v>
      </c>
      <c r="G1918">
        <v>79.040000000000006</v>
      </c>
    </row>
    <row r="1919" spans="1:7" x14ac:dyDescent="0.25">
      <c r="A1919" t="s">
        <v>259</v>
      </c>
      <c r="B1919" t="str">
        <f>_xlfn.XLOOKUP(A1919,[1]Municipios!$B:$B,[1]Municipios!$C:$C)</f>
        <v>Sul</v>
      </c>
      <c r="C1919" t="str">
        <f>_xlfn.XLOOKUP(A1919,[1]Municipios!$B:$B,[1]Municipios!$D:$D)</f>
        <v>Sudoeste Pioneiro</v>
      </c>
      <c r="D1919">
        <v>2025</v>
      </c>
      <c r="E1919" t="s">
        <v>235</v>
      </c>
      <c r="F1919">
        <v>1</v>
      </c>
      <c r="G1919">
        <v>79.040000000000006</v>
      </c>
    </row>
    <row r="1920" spans="1:7" x14ac:dyDescent="0.25">
      <c r="A1920" t="s">
        <v>259</v>
      </c>
      <c r="B1920" t="str">
        <f>_xlfn.XLOOKUP(A1920,[1]Municipios!$B:$B,[1]Municipios!$C:$C)</f>
        <v>Sul</v>
      </c>
      <c r="C1920" t="str">
        <f>_xlfn.XLOOKUP(A1920,[1]Municipios!$B:$B,[1]Municipios!$D:$D)</f>
        <v>Sudoeste Pioneiro</v>
      </c>
      <c r="D1920">
        <v>2025</v>
      </c>
      <c r="E1920" t="s">
        <v>236</v>
      </c>
      <c r="F1920">
        <v>0.30770000000000003</v>
      </c>
      <c r="G1920">
        <v>79.040000000000006</v>
      </c>
    </row>
    <row r="1921" spans="1:7" x14ac:dyDescent="0.25">
      <c r="A1921" t="s">
        <v>259</v>
      </c>
      <c r="B1921" t="str">
        <f>_xlfn.XLOOKUP(A1921,[1]Municipios!$B:$B,[1]Municipios!$C:$C)</f>
        <v>Sul</v>
      </c>
      <c r="C1921" t="str">
        <f>_xlfn.XLOOKUP(A1921,[1]Municipios!$B:$B,[1]Municipios!$D:$D)</f>
        <v>Sudoeste Pioneiro</v>
      </c>
      <c r="D1921">
        <v>2025</v>
      </c>
      <c r="E1921" t="s">
        <v>237</v>
      </c>
      <c r="F1921">
        <v>1</v>
      </c>
      <c r="G1921">
        <v>79.040000000000006</v>
      </c>
    </row>
    <row r="1922" spans="1:7" x14ac:dyDescent="0.25">
      <c r="A1922" t="s">
        <v>398</v>
      </c>
      <c r="B1922" t="str">
        <f>_xlfn.XLOOKUP(A1922,[1]Municipios!$B:$B,[1]Municipios!$C:$C)</f>
        <v>Norte</v>
      </c>
      <c r="C1922" t="str">
        <f>_xlfn.XLOOKUP(A1922,[1]Municipios!$B:$B,[1]Municipios!$D:$D)</f>
        <v>Norte Central</v>
      </c>
      <c r="D1922">
        <v>2025</v>
      </c>
      <c r="E1922" t="s">
        <v>231</v>
      </c>
      <c r="F1922">
        <v>0.77779999999999994</v>
      </c>
      <c r="G1922">
        <v>67.03</v>
      </c>
    </row>
    <row r="1923" spans="1:7" x14ac:dyDescent="0.25">
      <c r="A1923" t="s">
        <v>398</v>
      </c>
      <c r="B1923" t="str">
        <f>_xlfn.XLOOKUP(A1923,[1]Municipios!$B:$B,[1]Municipios!$C:$C)</f>
        <v>Norte</v>
      </c>
      <c r="C1923" t="str">
        <f>_xlfn.XLOOKUP(A1923,[1]Municipios!$B:$B,[1]Municipios!$D:$D)</f>
        <v>Norte Central</v>
      </c>
      <c r="D1923">
        <v>2025</v>
      </c>
      <c r="E1923" t="s">
        <v>232</v>
      </c>
      <c r="F1923">
        <v>0.76929999999999998</v>
      </c>
      <c r="G1923">
        <v>67.03</v>
      </c>
    </row>
    <row r="1924" spans="1:7" x14ac:dyDescent="0.25">
      <c r="A1924" t="s">
        <v>398</v>
      </c>
      <c r="B1924" t="str">
        <f>_xlfn.XLOOKUP(A1924,[1]Municipios!$B:$B,[1]Municipios!$C:$C)</f>
        <v>Norte</v>
      </c>
      <c r="C1924" t="str">
        <f>_xlfn.XLOOKUP(A1924,[1]Municipios!$B:$B,[1]Municipios!$D:$D)</f>
        <v>Norte Central</v>
      </c>
      <c r="D1924">
        <v>2025</v>
      </c>
      <c r="E1924" t="s">
        <v>233</v>
      </c>
      <c r="F1924">
        <v>0.875</v>
      </c>
      <c r="G1924">
        <v>67.03</v>
      </c>
    </row>
    <row r="1925" spans="1:7" x14ac:dyDescent="0.25">
      <c r="A1925" t="s">
        <v>398</v>
      </c>
      <c r="B1925" t="str">
        <f>_xlfn.XLOOKUP(A1925,[1]Municipios!$B:$B,[1]Municipios!$C:$C)</f>
        <v>Norte</v>
      </c>
      <c r="C1925" t="str">
        <f>_xlfn.XLOOKUP(A1925,[1]Municipios!$B:$B,[1]Municipios!$D:$D)</f>
        <v>Norte Central</v>
      </c>
      <c r="D1925">
        <v>2025</v>
      </c>
      <c r="E1925" t="s">
        <v>215</v>
      </c>
      <c r="F1925">
        <v>0.79999999999999993</v>
      </c>
      <c r="G1925">
        <v>67.03</v>
      </c>
    </row>
    <row r="1926" spans="1:7" x14ac:dyDescent="0.25">
      <c r="A1926" t="s">
        <v>398</v>
      </c>
      <c r="B1926" t="str">
        <f>_xlfn.XLOOKUP(A1926,[1]Municipios!$B:$B,[1]Municipios!$C:$C)</f>
        <v>Norte</v>
      </c>
      <c r="C1926" t="str">
        <f>_xlfn.XLOOKUP(A1926,[1]Municipios!$B:$B,[1]Municipios!$D:$D)</f>
        <v>Norte Central</v>
      </c>
      <c r="D1926">
        <v>2025</v>
      </c>
      <c r="E1926" t="s">
        <v>234</v>
      </c>
      <c r="F1926">
        <v>0.44450000000000001</v>
      </c>
      <c r="G1926">
        <v>67.03</v>
      </c>
    </row>
    <row r="1927" spans="1:7" x14ac:dyDescent="0.25">
      <c r="A1927" t="s">
        <v>398</v>
      </c>
      <c r="B1927" t="str">
        <f>_xlfn.XLOOKUP(A1927,[1]Municipios!$B:$B,[1]Municipios!$C:$C)</f>
        <v>Norte</v>
      </c>
      <c r="C1927" t="str">
        <f>_xlfn.XLOOKUP(A1927,[1]Municipios!$B:$B,[1]Municipios!$D:$D)</f>
        <v>Norte Central</v>
      </c>
      <c r="D1927">
        <v>2025</v>
      </c>
      <c r="E1927" t="s">
        <v>235</v>
      </c>
      <c r="F1927">
        <v>0.85710000000000008</v>
      </c>
      <c r="G1927">
        <v>67.03</v>
      </c>
    </row>
    <row r="1928" spans="1:7" x14ac:dyDescent="0.25">
      <c r="A1928" t="s">
        <v>398</v>
      </c>
      <c r="B1928" t="str">
        <f>_xlfn.XLOOKUP(A1928,[1]Municipios!$B:$B,[1]Municipios!$C:$C)</f>
        <v>Norte</v>
      </c>
      <c r="C1928" t="str">
        <f>_xlfn.XLOOKUP(A1928,[1]Municipios!$B:$B,[1]Municipios!$D:$D)</f>
        <v>Norte Central</v>
      </c>
      <c r="D1928">
        <v>2025</v>
      </c>
      <c r="E1928" t="s">
        <v>236</v>
      </c>
      <c r="F1928">
        <v>0</v>
      </c>
      <c r="G1928">
        <v>67.03</v>
      </c>
    </row>
    <row r="1929" spans="1:7" x14ac:dyDescent="0.25">
      <c r="A1929" t="s">
        <v>398</v>
      </c>
      <c r="B1929" t="str">
        <f>_xlfn.XLOOKUP(A1929,[1]Municipios!$B:$B,[1]Municipios!$C:$C)</f>
        <v>Norte</v>
      </c>
      <c r="C1929" t="str">
        <f>_xlfn.XLOOKUP(A1929,[1]Municipios!$B:$B,[1]Municipios!$D:$D)</f>
        <v>Norte Central</v>
      </c>
      <c r="D1929">
        <v>2025</v>
      </c>
      <c r="E1929" t="s">
        <v>237</v>
      </c>
      <c r="F1929">
        <v>1</v>
      </c>
      <c r="G1929">
        <v>67.03</v>
      </c>
    </row>
    <row r="1930" spans="1:7" x14ac:dyDescent="0.25">
      <c r="A1930" t="s">
        <v>455</v>
      </c>
      <c r="B1930" t="str">
        <f>_xlfn.XLOOKUP(A1930,[1]Municipios!$B:$B,[1]Municipios!$C:$C)</f>
        <v>Oeste</v>
      </c>
      <c r="C1930" t="str">
        <f>_xlfn.XLOOKUP(A1930,[1]Municipios!$B:$B,[1]Municipios!$D:$D)</f>
        <v>Oeste Integrado</v>
      </c>
      <c r="D1930">
        <v>2025</v>
      </c>
      <c r="E1930" t="s">
        <v>231</v>
      </c>
      <c r="F1930">
        <v>0.44449999999999995</v>
      </c>
      <c r="G1930">
        <v>68.62</v>
      </c>
    </row>
    <row r="1931" spans="1:7" x14ac:dyDescent="0.25">
      <c r="A1931" t="s">
        <v>455</v>
      </c>
      <c r="B1931" t="str">
        <f>_xlfn.XLOOKUP(A1931,[1]Municipios!$B:$B,[1]Municipios!$C:$C)</f>
        <v>Oeste</v>
      </c>
      <c r="C1931" t="str">
        <f>_xlfn.XLOOKUP(A1931,[1]Municipios!$B:$B,[1]Municipios!$D:$D)</f>
        <v>Oeste Integrado</v>
      </c>
      <c r="D1931">
        <v>2025</v>
      </c>
      <c r="E1931" t="s">
        <v>232</v>
      </c>
      <c r="F1931">
        <v>0.92310000000000003</v>
      </c>
      <c r="G1931">
        <v>68.62</v>
      </c>
    </row>
    <row r="1932" spans="1:7" x14ac:dyDescent="0.25">
      <c r="A1932" t="s">
        <v>455</v>
      </c>
      <c r="B1932" t="str">
        <f>_xlfn.XLOOKUP(A1932,[1]Municipios!$B:$B,[1]Municipios!$C:$C)</f>
        <v>Oeste</v>
      </c>
      <c r="C1932" t="str">
        <f>_xlfn.XLOOKUP(A1932,[1]Municipios!$B:$B,[1]Municipios!$D:$D)</f>
        <v>Oeste Integrado</v>
      </c>
      <c r="D1932">
        <v>2025</v>
      </c>
      <c r="E1932" t="s">
        <v>233</v>
      </c>
      <c r="F1932">
        <v>0.75</v>
      </c>
      <c r="G1932">
        <v>68.62</v>
      </c>
    </row>
    <row r="1933" spans="1:7" x14ac:dyDescent="0.25">
      <c r="A1933" t="s">
        <v>455</v>
      </c>
      <c r="B1933" t="str">
        <f>_xlfn.XLOOKUP(A1933,[1]Municipios!$B:$B,[1]Municipios!$C:$C)</f>
        <v>Oeste</v>
      </c>
      <c r="C1933" t="str">
        <f>_xlfn.XLOOKUP(A1933,[1]Municipios!$B:$B,[1]Municipios!$D:$D)</f>
        <v>Oeste Integrado</v>
      </c>
      <c r="D1933">
        <v>2025</v>
      </c>
      <c r="E1933" t="s">
        <v>215</v>
      </c>
      <c r="F1933">
        <v>0.70000000000000007</v>
      </c>
      <c r="G1933">
        <v>68.62</v>
      </c>
    </row>
    <row r="1934" spans="1:7" x14ac:dyDescent="0.25">
      <c r="A1934" t="s">
        <v>455</v>
      </c>
      <c r="B1934" t="str">
        <f>_xlfn.XLOOKUP(A1934,[1]Municipios!$B:$B,[1]Municipios!$C:$C)</f>
        <v>Oeste</v>
      </c>
      <c r="C1934" t="str">
        <f>_xlfn.XLOOKUP(A1934,[1]Municipios!$B:$B,[1]Municipios!$D:$D)</f>
        <v>Oeste Integrado</v>
      </c>
      <c r="D1934">
        <v>2025</v>
      </c>
      <c r="E1934" t="s">
        <v>234</v>
      </c>
      <c r="F1934">
        <v>0.55549999999999999</v>
      </c>
      <c r="G1934">
        <v>68.62</v>
      </c>
    </row>
    <row r="1935" spans="1:7" x14ac:dyDescent="0.25">
      <c r="A1935" t="s">
        <v>455</v>
      </c>
      <c r="B1935" t="str">
        <f>_xlfn.XLOOKUP(A1935,[1]Municipios!$B:$B,[1]Municipios!$C:$C)</f>
        <v>Oeste</v>
      </c>
      <c r="C1935" t="str">
        <f>_xlfn.XLOOKUP(A1935,[1]Municipios!$B:$B,[1]Municipios!$D:$D)</f>
        <v>Oeste Integrado</v>
      </c>
      <c r="D1935">
        <v>2025</v>
      </c>
      <c r="E1935" t="s">
        <v>235</v>
      </c>
      <c r="F1935">
        <v>1</v>
      </c>
      <c r="G1935">
        <v>68.62</v>
      </c>
    </row>
    <row r="1936" spans="1:7" x14ac:dyDescent="0.25">
      <c r="A1936" t="s">
        <v>455</v>
      </c>
      <c r="B1936" t="str">
        <f>_xlfn.XLOOKUP(A1936,[1]Municipios!$B:$B,[1]Municipios!$C:$C)</f>
        <v>Oeste</v>
      </c>
      <c r="C1936" t="str">
        <f>_xlfn.XLOOKUP(A1936,[1]Municipios!$B:$B,[1]Municipios!$D:$D)</f>
        <v>Oeste Integrado</v>
      </c>
      <c r="D1936">
        <v>2025</v>
      </c>
      <c r="E1936" t="s">
        <v>236</v>
      </c>
      <c r="F1936">
        <v>7.6999999999999999E-2</v>
      </c>
      <c r="G1936">
        <v>68.62</v>
      </c>
    </row>
    <row r="1937" spans="1:7" x14ac:dyDescent="0.25">
      <c r="A1937" t="s">
        <v>455</v>
      </c>
      <c r="B1937" t="str">
        <f>_xlfn.XLOOKUP(A1937,[1]Municipios!$B:$B,[1]Municipios!$C:$C)</f>
        <v>Oeste</v>
      </c>
      <c r="C1937" t="str">
        <f>_xlfn.XLOOKUP(A1937,[1]Municipios!$B:$B,[1]Municipios!$D:$D)</f>
        <v>Oeste Integrado</v>
      </c>
      <c r="D1937">
        <v>2025</v>
      </c>
      <c r="E1937" t="s">
        <v>237</v>
      </c>
      <c r="F1937">
        <v>1</v>
      </c>
      <c r="G1937">
        <v>68.62</v>
      </c>
    </row>
    <row r="1938" spans="1:7" x14ac:dyDescent="0.25">
      <c r="A1938" t="s">
        <v>239</v>
      </c>
      <c r="B1938" t="str">
        <f>_xlfn.XLOOKUP(A1938,[1]Municipios!$B:$B,[1]Municipios!$C:$C)</f>
        <v>Centro</v>
      </c>
      <c r="C1938" t="str">
        <f>_xlfn.XLOOKUP(A1938,[1]Municipios!$B:$B,[1]Municipios!$D:$D)</f>
        <v>Paraná Centro</v>
      </c>
      <c r="D1938">
        <v>2025</v>
      </c>
      <c r="E1938" t="s">
        <v>231</v>
      </c>
      <c r="F1938">
        <v>0.77779999999999994</v>
      </c>
      <c r="G1938">
        <v>68.28</v>
      </c>
    </row>
    <row r="1939" spans="1:7" x14ac:dyDescent="0.25">
      <c r="A1939" t="s">
        <v>239</v>
      </c>
      <c r="B1939" t="str">
        <f>_xlfn.XLOOKUP(A1939,[1]Municipios!$B:$B,[1]Municipios!$C:$C)</f>
        <v>Centro</v>
      </c>
      <c r="C1939" t="str">
        <f>_xlfn.XLOOKUP(A1939,[1]Municipios!$B:$B,[1]Municipios!$D:$D)</f>
        <v>Paraná Centro</v>
      </c>
      <c r="D1939">
        <v>2025</v>
      </c>
      <c r="E1939" t="s">
        <v>232</v>
      </c>
      <c r="F1939">
        <v>0.69230000000000003</v>
      </c>
      <c r="G1939">
        <v>68.28</v>
      </c>
    </row>
    <row r="1940" spans="1:7" x14ac:dyDescent="0.25">
      <c r="A1940" t="s">
        <v>239</v>
      </c>
      <c r="B1940" t="str">
        <f>_xlfn.XLOOKUP(A1940,[1]Municipios!$B:$B,[1]Municipios!$C:$C)</f>
        <v>Centro</v>
      </c>
      <c r="C1940" t="str">
        <f>_xlfn.XLOOKUP(A1940,[1]Municipios!$B:$B,[1]Municipios!$D:$D)</f>
        <v>Paraná Centro</v>
      </c>
      <c r="D1940">
        <v>2025</v>
      </c>
      <c r="E1940" t="s">
        <v>233</v>
      </c>
      <c r="F1940">
        <v>0.625</v>
      </c>
      <c r="G1940">
        <v>68.28</v>
      </c>
    </row>
    <row r="1941" spans="1:7" x14ac:dyDescent="0.25">
      <c r="A1941" t="s">
        <v>239</v>
      </c>
      <c r="B1941" t="str">
        <f>_xlfn.XLOOKUP(A1941,[1]Municipios!$B:$B,[1]Municipios!$C:$C)</f>
        <v>Centro</v>
      </c>
      <c r="C1941" t="str">
        <f>_xlfn.XLOOKUP(A1941,[1]Municipios!$B:$B,[1]Municipios!$D:$D)</f>
        <v>Paraná Centro</v>
      </c>
      <c r="D1941">
        <v>2025</v>
      </c>
      <c r="E1941" t="s">
        <v>215</v>
      </c>
      <c r="F1941">
        <v>0.79999999999999993</v>
      </c>
      <c r="G1941">
        <v>68.28</v>
      </c>
    </row>
    <row r="1942" spans="1:7" x14ac:dyDescent="0.25">
      <c r="A1942" t="s">
        <v>239</v>
      </c>
      <c r="B1942" t="str">
        <f>_xlfn.XLOOKUP(A1942,[1]Municipios!$B:$B,[1]Municipios!$C:$C)</f>
        <v>Centro</v>
      </c>
      <c r="C1942" t="str">
        <f>_xlfn.XLOOKUP(A1942,[1]Municipios!$B:$B,[1]Municipios!$D:$D)</f>
        <v>Paraná Centro</v>
      </c>
      <c r="D1942">
        <v>2025</v>
      </c>
      <c r="E1942" t="s">
        <v>234</v>
      </c>
      <c r="F1942">
        <v>0.55549999999999999</v>
      </c>
      <c r="G1942">
        <v>68.28</v>
      </c>
    </row>
    <row r="1943" spans="1:7" x14ac:dyDescent="0.25">
      <c r="A1943" t="s">
        <v>239</v>
      </c>
      <c r="B1943" t="str">
        <f>_xlfn.XLOOKUP(A1943,[1]Municipios!$B:$B,[1]Municipios!$C:$C)</f>
        <v>Centro</v>
      </c>
      <c r="C1943" t="str">
        <f>_xlfn.XLOOKUP(A1943,[1]Municipios!$B:$B,[1]Municipios!$D:$D)</f>
        <v>Paraná Centro</v>
      </c>
      <c r="D1943">
        <v>2025</v>
      </c>
      <c r="E1943" t="s">
        <v>235</v>
      </c>
      <c r="F1943">
        <v>0.85720000000000007</v>
      </c>
      <c r="G1943">
        <v>68.28</v>
      </c>
    </row>
    <row r="1944" spans="1:7" x14ac:dyDescent="0.25">
      <c r="A1944" t="s">
        <v>239</v>
      </c>
      <c r="B1944" t="str">
        <f>_xlfn.XLOOKUP(A1944,[1]Municipios!$B:$B,[1]Municipios!$C:$C)</f>
        <v>Centro</v>
      </c>
      <c r="C1944" t="str">
        <f>_xlfn.XLOOKUP(A1944,[1]Municipios!$B:$B,[1]Municipios!$D:$D)</f>
        <v>Paraná Centro</v>
      </c>
      <c r="D1944">
        <v>2025</v>
      </c>
      <c r="E1944" t="s">
        <v>236</v>
      </c>
      <c r="F1944">
        <v>0.15390000000000001</v>
      </c>
      <c r="G1944">
        <v>68.28</v>
      </c>
    </row>
    <row r="1945" spans="1:7" x14ac:dyDescent="0.25">
      <c r="A1945" t="s">
        <v>239</v>
      </c>
      <c r="B1945" t="str">
        <f>_xlfn.XLOOKUP(A1945,[1]Municipios!$B:$B,[1]Municipios!$C:$C)</f>
        <v>Centro</v>
      </c>
      <c r="C1945" t="str">
        <f>_xlfn.XLOOKUP(A1945,[1]Municipios!$B:$B,[1]Municipios!$D:$D)</f>
        <v>Paraná Centro</v>
      </c>
      <c r="D1945">
        <v>2025</v>
      </c>
      <c r="E1945" t="s">
        <v>237</v>
      </c>
      <c r="F1945">
        <v>1</v>
      </c>
      <c r="G1945">
        <v>68.28</v>
      </c>
    </row>
    <row r="1946" spans="1:7" x14ac:dyDescent="0.25">
      <c r="A1946" t="s">
        <v>593</v>
      </c>
      <c r="B1946" t="str">
        <f>_xlfn.XLOOKUP(A1946,[1]Municipios!$B:$B,[1]Municipios!$C:$C)</f>
        <v>Norte</v>
      </c>
      <c r="C1946" t="str">
        <f>_xlfn.XLOOKUP(A1946,[1]Municipios!$B:$B,[1]Municipios!$D:$D)</f>
        <v>Vale Do Ivaí</v>
      </c>
      <c r="D1946">
        <v>2025</v>
      </c>
      <c r="E1946" t="s">
        <v>231</v>
      </c>
      <c r="F1946">
        <v>0.22219999999999998</v>
      </c>
      <c r="G1946">
        <v>0</v>
      </c>
    </row>
    <row r="1947" spans="1:7" x14ac:dyDescent="0.25">
      <c r="A1947" t="s">
        <v>593</v>
      </c>
      <c r="B1947" t="str">
        <f>_xlfn.XLOOKUP(A1947,[1]Municipios!$B:$B,[1]Municipios!$C:$C)</f>
        <v>Norte</v>
      </c>
      <c r="C1947" t="str">
        <f>_xlfn.XLOOKUP(A1947,[1]Municipios!$B:$B,[1]Municipios!$D:$D)</f>
        <v>Vale Do Ivaí</v>
      </c>
      <c r="D1947">
        <v>2025</v>
      </c>
      <c r="E1947" t="s">
        <v>232</v>
      </c>
      <c r="F1947">
        <v>0.23069999999999999</v>
      </c>
      <c r="G1947">
        <v>0</v>
      </c>
    </row>
    <row r="1948" spans="1:7" x14ac:dyDescent="0.25">
      <c r="A1948" t="s">
        <v>593</v>
      </c>
      <c r="B1948" t="str">
        <f>_xlfn.XLOOKUP(A1948,[1]Municipios!$B:$B,[1]Municipios!$C:$C)</f>
        <v>Norte</v>
      </c>
      <c r="C1948" t="str">
        <f>_xlfn.XLOOKUP(A1948,[1]Municipios!$B:$B,[1]Municipios!$D:$D)</f>
        <v>Vale Do Ivaí</v>
      </c>
      <c r="D1948">
        <v>2025</v>
      </c>
      <c r="E1948" t="s">
        <v>233</v>
      </c>
      <c r="F1948">
        <v>0</v>
      </c>
      <c r="G1948">
        <v>0</v>
      </c>
    </row>
    <row r="1949" spans="1:7" x14ac:dyDescent="0.25">
      <c r="A1949" t="s">
        <v>593</v>
      </c>
      <c r="B1949" t="str">
        <f>_xlfn.XLOOKUP(A1949,[1]Municipios!$B:$B,[1]Municipios!$C:$C)</f>
        <v>Norte</v>
      </c>
      <c r="C1949" t="str">
        <f>_xlfn.XLOOKUP(A1949,[1]Municipios!$B:$B,[1]Municipios!$D:$D)</f>
        <v>Vale Do Ivaí</v>
      </c>
      <c r="D1949">
        <v>2025</v>
      </c>
      <c r="E1949" t="s">
        <v>215</v>
      </c>
      <c r="F1949">
        <v>0</v>
      </c>
      <c r="G1949">
        <v>0</v>
      </c>
    </row>
    <row r="1950" spans="1:7" x14ac:dyDescent="0.25">
      <c r="A1950" t="s">
        <v>593</v>
      </c>
      <c r="B1950" t="str">
        <f>_xlfn.XLOOKUP(A1950,[1]Municipios!$B:$B,[1]Municipios!$C:$C)</f>
        <v>Norte</v>
      </c>
      <c r="C1950" t="str">
        <f>_xlfn.XLOOKUP(A1950,[1]Municipios!$B:$B,[1]Municipios!$D:$D)</f>
        <v>Vale Do Ivaí</v>
      </c>
      <c r="D1950">
        <v>2025</v>
      </c>
      <c r="E1950" t="s">
        <v>234</v>
      </c>
      <c r="F1950">
        <v>0</v>
      </c>
      <c r="G1950">
        <v>0</v>
      </c>
    </row>
    <row r="1951" spans="1:7" x14ac:dyDescent="0.25">
      <c r="A1951" t="s">
        <v>593</v>
      </c>
      <c r="B1951" t="str">
        <f>_xlfn.XLOOKUP(A1951,[1]Municipios!$B:$B,[1]Municipios!$C:$C)</f>
        <v>Norte</v>
      </c>
      <c r="C1951" t="str">
        <f>_xlfn.XLOOKUP(A1951,[1]Municipios!$B:$B,[1]Municipios!$D:$D)</f>
        <v>Vale Do Ivaí</v>
      </c>
      <c r="D1951">
        <v>2025</v>
      </c>
      <c r="E1951" t="s">
        <v>235</v>
      </c>
      <c r="F1951">
        <v>0</v>
      </c>
      <c r="G1951">
        <v>0</v>
      </c>
    </row>
    <row r="1952" spans="1:7" x14ac:dyDescent="0.25">
      <c r="A1952" t="s">
        <v>593</v>
      </c>
      <c r="B1952" t="str">
        <f>_xlfn.XLOOKUP(A1952,[1]Municipios!$B:$B,[1]Municipios!$C:$C)</f>
        <v>Norte</v>
      </c>
      <c r="C1952" t="str">
        <f>_xlfn.XLOOKUP(A1952,[1]Municipios!$B:$B,[1]Municipios!$D:$D)</f>
        <v>Vale Do Ivaí</v>
      </c>
      <c r="D1952">
        <v>2025</v>
      </c>
      <c r="E1952" t="s">
        <v>236</v>
      </c>
      <c r="F1952">
        <v>0</v>
      </c>
      <c r="G1952">
        <v>0</v>
      </c>
    </row>
    <row r="1953" spans="1:7" x14ac:dyDescent="0.25">
      <c r="A1953" t="s">
        <v>593</v>
      </c>
      <c r="B1953" t="str">
        <f>_xlfn.XLOOKUP(A1953,[1]Municipios!$B:$B,[1]Municipios!$C:$C)</f>
        <v>Norte</v>
      </c>
      <c r="C1953" t="str">
        <f>_xlfn.XLOOKUP(A1953,[1]Municipios!$B:$B,[1]Municipios!$D:$D)</f>
        <v>Vale Do Ivaí</v>
      </c>
      <c r="D1953">
        <v>2025</v>
      </c>
      <c r="E1953" t="s">
        <v>237</v>
      </c>
      <c r="F1953">
        <v>0</v>
      </c>
      <c r="G1953">
        <v>0</v>
      </c>
    </row>
    <row r="1954" spans="1:7" x14ac:dyDescent="0.25">
      <c r="A1954" t="s">
        <v>487</v>
      </c>
      <c r="B1954" t="str">
        <f>_xlfn.XLOOKUP(A1954,[1]Municipios!$B:$B,[1]Municipios!$C:$C)</f>
        <v>Centro</v>
      </c>
      <c r="C1954" t="str">
        <f>_xlfn.XLOOKUP(A1954,[1]Municipios!$B:$B,[1]Municipios!$D:$D)</f>
        <v>Vale Do Tibagi</v>
      </c>
      <c r="D1954">
        <v>2025</v>
      </c>
      <c r="E1954" t="s">
        <v>231</v>
      </c>
      <c r="F1954">
        <v>0.88890000000000002</v>
      </c>
      <c r="G1954">
        <v>71.010000000000005</v>
      </c>
    </row>
    <row r="1955" spans="1:7" x14ac:dyDescent="0.25">
      <c r="A1955" t="s">
        <v>487</v>
      </c>
      <c r="B1955" t="str">
        <f>_xlfn.XLOOKUP(A1955,[1]Municipios!$B:$B,[1]Municipios!$C:$C)</f>
        <v>Centro</v>
      </c>
      <c r="C1955" t="str">
        <f>_xlfn.XLOOKUP(A1955,[1]Municipios!$B:$B,[1]Municipios!$D:$D)</f>
        <v>Vale Do Tibagi</v>
      </c>
      <c r="D1955">
        <v>2025</v>
      </c>
      <c r="E1955" t="s">
        <v>232</v>
      </c>
      <c r="F1955">
        <v>0.76919999999999999</v>
      </c>
      <c r="G1955">
        <v>71.010000000000005</v>
      </c>
    </row>
    <row r="1956" spans="1:7" x14ac:dyDescent="0.25">
      <c r="A1956" t="s">
        <v>487</v>
      </c>
      <c r="B1956" t="str">
        <f>_xlfn.XLOOKUP(A1956,[1]Municipios!$B:$B,[1]Municipios!$C:$C)</f>
        <v>Centro</v>
      </c>
      <c r="C1956" t="str">
        <f>_xlfn.XLOOKUP(A1956,[1]Municipios!$B:$B,[1]Municipios!$D:$D)</f>
        <v>Vale Do Tibagi</v>
      </c>
      <c r="D1956">
        <v>2025</v>
      </c>
      <c r="E1956" t="s">
        <v>233</v>
      </c>
      <c r="F1956">
        <v>0.875</v>
      </c>
      <c r="G1956">
        <v>71.010000000000005</v>
      </c>
    </row>
    <row r="1957" spans="1:7" x14ac:dyDescent="0.25">
      <c r="A1957" t="s">
        <v>487</v>
      </c>
      <c r="B1957" t="str">
        <f>_xlfn.XLOOKUP(A1957,[1]Municipios!$B:$B,[1]Municipios!$C:$C)</f>
        <v>Centro</v>
      </c>
      <c r="C1957" t="str">
        <f>_xlfn.XLOOKUP(A1957,[1]Municipios!$B:$B,[1]Municipios!$D:$D)</f>
        <v>Vale Do Tibagi</v>
      </c>
      <c r="D1957">
        <v>2025</v>
      </c>
      <c r="E1957" t="s">
        <v>215</v>
      </c>
      <c r="F1957">
        <v>0.3</v>
      </c>
      <c r="G1957">
        <v>71.010000000000005</v>
      </c>
    </row>
    <row r="1958" spans="1:7" x14ac:dyDescent="0.25">
      <c r="A1958" t="s">
        <v>487</v>
      </c>
      <c r="B1958" t="str">
        <f>_xlfn.XLOOKUP(A1958,[1]Municipios!$B:$B,[1]Municipios!$C:$C)</f>
        <v>Centro</v>
      </c>
      <c r="C1958" t="str">
        <f>_xlfn.XLOOKUP(A1958,[1]Municipios!$B:$B,[1]Municipios!$D:$D)</f>
        <v>Vale Do Tibagi</v>
      </c>
      <c r="D1958">
        <v>2025</v>
      </c>
      <c r="E1958" t="s">
        <v>234</v>
      </c>
      <c r="F1958">
        <v>0.55549999999999999</v>
      </c>
      <c r="G1958">
        <v>71.010000000000005</v>
      </c>
    </row>
    <row r="1959" spans="1:7" x14ac:dyDescent="0.25">
      <c r="A1959" t="s">
        <v>487</v>
      </c>
      <c r="B1959" t="str">
        <f>_xlfn.XLOOKUP(A1959,[1]Municipios!$B:$B,[1]Municipios!$C:$C)</f>
        <v>Centro</v>
      </c>
      <c r="C1959" t="str">
        <f>_xlfn.XLOOKUP(A1959,[1]Municipios!$B:$B,[1]Municipios!$D:$D)</f>
        <v>Vale Do Tibagi</v>
      </c>
      <c r="D1959">
        <v>2025</v>
      </c>
      <c r="E1959" t="s">
        <v>235</v>
      </c>
      <c r="F1959">
        <v>1</v>
      </c>
      <c r="G1959">
        <v>71.010000000000005</v>
      </c>
    </row>
    <row r="1960" spans="1:7" x14ac:dyDescent="0.25">
      <c r="A1960" t="s">
        <v>487</v>
      </c>
      <c r="B1960" t="str">
        <f>_xlfn.XLOOKUP(A1960,[1]Municipios!$B:$B,[1]Municipios!$C:$C)</f>
        <v>Centro</v>
      </c>
      <c r="C1960" t="str">
        <f>_xlfn.XLOOKUP(A1960,[1]Municipios!$B:$B,[1]Municipios!$D:$D)</f>
        <v>Vale Do Tibagi</v>
      </c>
      <c r="D1960">
        <v>2025</v>
      </c>
      <c r="E1960" t="s">
        <v>236</v>
      </c>
      <c r="F1960">
        <v>0.38469999999999999</v>
      </c>
      <c r="G1960">
        <v>71.010000000000005</v>
      </c>
    </row>
    <row r="1961" spans="1:7" x14ac:dyDescent="0.25">
      <c r="A1961" t="s">
        <v>487</v>
      </c>
      <c r="B1961" t="str">
        <f>_xlfn.XLOOKUP(A1961,[1]Municipios!$B:$B,[1]Municipios!$C:$C)</f>
        <v>Centro</v>
      </c>
      <c r="C1961" t="str">
        <f>_xlfn.XLOOKUP(A1961,[1]Municipios!$B:$B,[1]Municipios!$D:$D)</f>
        <v>Vale Do Tibagi</v>
      </c>
      <c r="D1961">
        <v>2025</v>
      </c>
      <c r="E1961" t="s">
        <v>237</v>
      </c>
      <c r="F1961">
        <v>1</v>
      </c>
      <c r="G1961">
        <v>71.010000000000005</v>
      </c>
    </row>
    <row r="1962" spans="1:7" x14ac:dyDescent="0.25">
      <c r="A1962" t="s">
        <v>594</v>
      </c>
      <c r="B1962" t="str">
        <f>_xlfn.XLOOKUP(A1962,[1]Municipios!$B:$B,[1]Municipios!$C:$C)</f>
        <v>Noroeste</v>
      </c>
      <c r="C1962" t="str">
        <f>_xlfn.XLOOKUP(A1962,[1]Municipios!$B:$B,[1]Municipios!$D:$D)</f>
        <v>Terra Roxa</v>
      </c>
      <c r="D1962">
        <v>2025</v>
      </c>
      <c r="E1962" t="s">
        <v>231</v>
      </c>
      <c r="F1962">
        <v>0.22219999999999998</v>
      </c>
      <c r="G1962">
        <v>40.83</v>
      </c>
    </row>
    <row r="1963" spans="1:7" x14ac:dyDescent="0.25">
      <c r="A1963" t="s">
        <v>594</v>
      </c>
      <c r="B1963" t="str">
        <f>_xlfn.XLOOKUP(A1963,[1]Municipios!$B:$B,[1]Municipios!$C:$C)</f>
        <v>Noroeste</v>
      </c>
      <c r="C1963" t="str">
        <f>_xlfn.XLOOKUP(A1963,[1]Municipios!$B:$B,[1]Municipios!$D:$D)</f>
        <v>Terra Roxa</v>
      </c>
      <c r="D1963">
        <v>2025</v>
      </c>
      <c r="E1963" t="s">
        <v>232</v>
      </c>
      <c r="F1963">
        <v>0.53839999999999999</v>
      </c>
      <c r="G1963">
        <v>40.83</v>
      </c>
    </row>
    <row r="1964" spans="1:7" x14ac:dyDescent="0.25">
      <c r="A1964" t="s">
        <v>594</v>
      </c>
      <c r="B1964" t="str">
        <f>_xlfn.XLOOKUP(A1964,[1]Municipios!$B:$B,[1]Municipios!$C:$C)</f>
        <v>Noroeste</v>
      </c>
      <c r="C1964" t="str">
        <f>_xlfn.XLOOKUP(A1964,[1]Municipios!$B:$B,[1]Municipios!$D:$D)</f>
        <v>Terra Roxa</v>
      </c>
      <c r="D1964">
        <v>2025</v>
      </c>
      <c r="E1964" t="s">
        <v>233</v>
      </c>
      <c r="F1964">
        <v>0.5</v>
      </c>
      <c r="G1964">
        <v>40.83</v>
      </c>
    </row>
    <row r="1965" spans="1:7" x14ac:dyDescent="0.25">
      <c r="A1965" t="s">
        <v>594</v>
      </c>
      <c r="B1965" t="str">
        <f>_xlfn.XLOOKUP(A1965,[1]Municipios!$B:$B,[1]Municipios!$C:$C)</f>
        <v>Noroeste</v>
      </c>
      <c r="C1965" t="str">
        <f>_xlfn.XLOOKUP(A1965,[1]Municipios!$B:$B,[1]Municipios!$D:$D)</f>
        <v>Terra Roxa</v>
      </c>
      <c r="D1965">
        <v>2025</v>
      </c>
      <c r="E1965" t="s">
        <v>215</v>
      </c>
      <c r="F1965">
        <v>0.39999999999999997</v>
      </c>
      <c r="G1965">
        <v>40.83</v>
      </c>
    </row>
    <row r="1966" spans="1:7" x14ac:dyDescent="0.25">
      <c r="A1966" t="s">
        <v>594</v>
      </c>
      <c r="B1966" t="str">
        <f>_xlfn.XLOOKUP(A1966,[1]Municipios!$B:$B,[1]Municipios!$C:$C)</f>
        <v>Noroeste</v>
      </c>
      <c r="C1966" t="str">
        <f>_xlfn.XLOOKUP(A1966,[1]Municipios!$B:$B,[1]Municipios!$D:$D)</f>
        <v>Terra Roxa</v>
      </c>
      <c r="D1966">
        <v>2025</v>
      </c>
      <c r="E1966" t="s">
        <v>234</v>
      </c>
      <c r="F1966">
        <v>0.44440000000000002</v>
      </c>
      <c r="G1966">
        <v>40.83</v>
      </c>
    </row>
    <row r="1967" spans="1:7" x14ac:dyDescent="0.25">
      <c r="A1967" t="s">
        <v>594</v>
      </c>
      <c r="B1967" t="str">
        <f>_xlfn.XLOOKUP(A1967,[1]Municipios!$B:$B,[1]Municipios!$C:$C)</f>
        <v>Noroeste</v>
      </c>
      <c r="C1967" t="str">
        <f>_xlfn.XLOOKUP(A1967,[1]Municipios!$B:$B,[1]Municipios!$D:$D)</f>
        <v>Terra Roxa</v>
      </c>
      <c r="D1967">
        <v>2025</v>
      </c>
      <c r="E1967" t="s">
        <v>235</v>
      </c>
      <c r="F1967">
        <v>0.42859999999999998</v>
      </c>
      <c r="G1967">
        <v>40.83</v>
      </c>
    </row>
    <row r="1968" spans="1:7" x14ac:dyDescent="0.25">
      <c r="A1968" t="s">
        <v>594</v>
      </c>
      <c r="B1968" t="str">
        <f>_xlfn.XLOOKUP(A1968,[1]Municipios!$B:$B,[1]Municipios!$C:$C)</f>
        <v>Noroeste</v>
      </c>
      <c r="C1968" t="str">
        <f>_xlfn.XLOOKUP(A1968,[1]Municipios!$B:$B,[1]Municipios!$D:$D)</f>
        <v>Terra Roxa</v>
      </c>
      <c r="D1968">
        <v>2025</v>
      </c>
      <c r="E1968" t="s">
        <v>236</v>
      </c>
      <c r="F1968">
        <v>0.23080000000000001</v>
      </c>
      <c r="G1968">
        <v>40.83</v>
      </c>
    </row>
    <row r="1969" spans="1:7" x14ac:dyDescent="0.25">
      <c r="A1969" t="s">
        <v>594</v>
      </c>
      <c r="B1969" t="str">
        <f>_xlfn.XLOOKUP(A1969,[1]Municipios!$B:$B,[1]Municipios!$C:$C)</f>
        <v>Noroeste</v>
      </c>
      <c r="C1969" t="str">
        <f>_xlfn.XLOOKUP(A1969,[1]Municipios!$B:$B,[1]Municipios!$D:$D)</f>
        <v>Terra Roxa</v>
      </c>
      <c r="D1969">
        <v>2025</v>
      </c>
      <c r="E1969" t="s">
        <v>237</v>
      </c>
      <c r="F1969">
        <v>0.5</v>
      </c>
      <c r="G1969">
        <v>40.83</v>
      </c>
    </row>
    <row r="1970" spans="1:7" x14ac:dyDescent="0.25">
      <c r="A1970" t="s">
        <v>456</v>
      </c>
      <c r="B1970" t="str">
        <f>_xlfn.XLOOKUP(A1970,[1]Municipios!$B:$B,[1]Municipios!$C:$C)</f>
        <v>Oeste</v>
      </c>
      <c r="C1970" t="str">
        <f>_xlfn.XLOOKUP(A1970,[1]Municipios!$B:$B,[1]Municipios!$D:$D)</f>
        <v>Oeste Integrado</v>
      </c>
      <c r="D1970">
        <v>2025</v>
      </c>
      <c r="E1970" t="s">
        <v>231</v>
      </c>
      <c r="F1970">
        <v>0.44439999999999996</v>
      </c>
      <c r="G1970">
        <v>43.07</v>
      </c>
    </row>
    <row r="1971" spans="1:7" x14ac:dyDescent="0.25">
      <c r="A1971" t="s">
        <v>456</v>
      </c>
      <c r="B1971" t="str">
        <f>_xlfn.XLOOKUP(A1971,[1]Municipios!$B:$B,[1]Municipios!$C:$C)</f>
        <v>Oeste</v>
      </c>
      <c r="C1971" t="str">
        <f>_xlfn.XLOOKUP(A1971,[1]Municipios!$B:$B,[1]Municipios!$D:$D)</f>
        <v>Oeste Integrado</v>
      </c>
      <c r="D1971">
        <v>2025</v>
      </c>
      <c r="E1971" t="s">
        <v>232</v>
      </c>
      <c r="F1971">
        <v>0.53839999999999999</v>
      </c>
      <c r="G1971">
        <v>43.07</v>
      </c>
    </row>
    <row r="1972" spans="1:7" x14ac:dyDescent="0.25">
      <c r="A1972" t="s">
        <v>456</v>
      </c>
      <c r="B1972" t="str">
        <f>_xlfn.XLOOKUP(A1972,[1]Municipios!$B:$B,[1]Municipios!$C:$C)</f>
        <v>Oeste</v>
      </c>
      <c r="C1972" t="str">
        <f>_xlfn.XLOOKUP(A1972,[1]Municipios!$B:$B,[1]Municipios!$D:$D)</f>
        <v>Oeste Integrado</v>
      </c>
      <c r="D1972">
        <v>2025</v>
      </c>
      <c r="E1972" t="s">
        <v>233</v>
      </c>
      <c r="F1972">
        <v>0.25</v>
      </c>
      <c r="G1972">
        <v>43.07</v>
      </c>
    </row>
    <row r="1973" spans="1:7" x14ac:dyDescent="0.25">
      <c r="A1973" t="s">
        <v>456</v>
      </c>
      <c r="B1973" t="str">
        <f>_xlfn.XLOOKUP(A1973,[1]Municipios!$B:$B,[1]Municipios!$C:$C)</f>
        <v>Oeste</v>
      </c>
      <c r="C1973" t="str">
        <f>_xlfn.XLOOKUP(A1973,[1]Municipios!$B:$B,[1]Municipios!$D:$D)</f>
        <v>Oeste Integrado</v>
      </c>
      <c r="D1973">
        <v>2025</v>
      </c>
      <c r="E1973" t="s">
        <v>215</v>
      </c>
      <c r="F1973">
        <v>1</v>
      </c>
      <c r="G1973">
        <v>43.07</v>
      </c>
    </row>
    <row r="1974" spans="1:7" x14ac:dyDescent="0.25">
      <c r="A1974" t="s">
        <v>456</v>
      </c>
      <c r="B1974" t="str">
        <f>_xlfn.XLOOKUP(A1974,[1]Municipios!$B:$B,[1]Municipios!$C:$C)</f>
        <v>Oeste</v>
      </c>
      <c r="C1974" t="str">
        <f>_xlfn.XLOOKUP(A1974,[1]Municipios!$B:$B,[1]Municipios!$D:$D)</f>
        <v>Oeste Integrado</v>
      </c>
      <c r="D1974">
        <v>2025</v>
      </c>
      <c r="E1974" t="s">
        <v>234</v>
      </c>
      <c r="F1974">
        <v>0.55549999999999999</v>
      </c>
      <c r="G1974">
        <v>43.07</v>
      </c>
    </row>
    <row r="1975" spans="1:7" x14ac:dyDescent="0.25">
      <c r="A1975" t="s">
        <v>456</v>
      </c>
      <c r="B1975" t="str">
        <f>_xlfn.XLOOKUP(A1975,[1]Municipios!$B:$B,[1]Municipios!$C:$C)</f>
        <v>Oeste</v>
      </c>
      <c r="C1975" t="str">
        <f>_xlfn.XLOOKUP(A1975,[1]Municipios!$B:$B,[1]Municipios!$D:$D)</f>
        <v>Oeste Integrado</v>
      </c>
      <c r="D1975">
        <v>2025</v>
      </c>
      <c r="E1975" t="s">
        <v>235</v>
      </c>
      <c r="F1975">
        <v>0.42859999999999998</v>
      </c>
      <c r="G1975">
        <v>43.07</v>
      </c>
    </row>
    <row r="1976" spans="1:7" x14ac:dyDescent="0.25">
      <c r="A1976" t="s">
        <v>456</v>
      </c>
      <c r="B1976" t="str">
        <f>_xlfn.XLOOKUP(A1976,[1]Municipios!$B:$B,[1]Municipios!$C:$C)</f>
        <v>Oeste</v>
      </c>
      <c r="C1976" t="str">
        <f>_xlfn.XLOOKUP(A1976,[1]Municipios!$B:$B,[1]Municipios!$D:$D)</f>
        <v>Oeste Integrado</v>
      </c>
      <c r="D1976">
        <v>2025</v>
      </c>
      <c r="E1976" t="s">
        <v>236</v>
      </c>
      <c r="F1976">
        <v>0</v>
      </c>
      <c r="G1976">
        <v>43.07</v>
      </c>
    </row>
    <row r="1977" spans="1:7" x14ac:dyDescent="0.25">
      <c r="A1977" t="s">
        <v>456</v>
      </c>
      <c r="B1977" t="str">
        <f>_xlfn.XLOOKUP(A1977,[1]Municipios!$B:$B,[1]Municipios!$C:$C)</f>
        <v>Oeste</v>
      </c>
      <c r="C1977" t="str">
        <f>_xlfn.XLOOKUP(A1977,[1]Municipios!$B:$B,[1]Municipios!$D:$D)</f>
        <v>Oeste Integrado</v>
      </c>
      <c r="D1977">
        <v>2025</v>
      </c>
      <c r="E1977" t="s">
        <v>237</v>
      </c>
      <c r="F1977">
        <v>0</v>
      </c>
      <c r="G1977">
        <v>43.07</v>
      </c>
    </row>
    <row r="1978" spans="1:7" x14ac:dyDescent="0.25">
      <c r="A1978" t="s">
        <v>431</v>
      </c>
      <c r="B1978" t="str">
        <f>_xlfn.XLOOKUP(A1978,[1]Municipios!$B:$B,[1]Municipios!$C:$C)</f>
        <v>Noroeste</v>
      </c>
      <c r="C1978" t="str">
        <f>_xlfn.XLOOKUP(A1978,[1]Municipios!$B:$B,[1]Municipios!$D:$D)</f>
        <v>Terra Roxa</v>
      </c>
      <c r="D1978">
        <v>2025</v>
      </c>
      <c r="E1978" t="s">
        <v>231</v>
      </c>
      <c r="F1978">
        <v>0.55559999999999998</v>
      </c>
      <c r="G1978">
        <v>80.260000000000005</v>
      </c>
    </row>
    <row r="1979" spans="1:7" x14ac:dyDescent="0.25">
      <c r="A1979" t="s">
        <v>431</v>
      </c>
      <c r="B1979" t="str">
        <f>_xlfn.XLOOKUP(A1979,[1]Municipios!$B:$B,[1]Municipios!$C:$C)</f>
        <v>Noroeste</v>
      </c>
      <c r="C1979" t="str">
        <f>_xlfn.XLOOKUP(A1979,[1]Municipios!$B:$B,[1]Municipios!$D:$D)</f>
        <v>Terra Roxa</v>
      </c>
      <c r="D1979">
        <v>2025</v>
      </c>
      <c r="E1979" t="s">
        <v>232</v>
      </c>
      <c r="F1979">
        <v>0.92310000000000003</v>
      </c>
      <c r="G1979">
        <v>80.260000000000005</v>
      </c>
    </row>
    <row r="1980" spans="1:7" x14ac:dyDescent="0.25">
      <c r="A1980" t="s">
        <v>431</v>
      </c>
      <c r="B1980" t="str">
        <f>_xlfn.XLOOKUP(A1980,[1]Municipios!$B:$B,[1]Municipios!$C:$C)</f>
        <v>Noroeste</v>
      </c>
      <c r="C1980" t="str">
        <f>_xlfn.XLOOKUP(A1980,[1]Municipios!$B:$B,[1]Municipios!$D:$D)</f>
        <v>Terra Roxa</v>
      </c>
      <c r="D1980">
        <v>2025</v>
      </c>
      <c r="E1980" t="s">
        <v>233</v>
      </c>
      <c r="F1980">
        <v>0.875</v>
      </c>
      <c r="G1980">
        <v>80.260000000000005</v>
      </c>
    </row>
    <row r="1981" spans="1:7" x14ac:dyDescent="0.25">
      <c r="A1981" t="s">
        <v>431</v>
      </c>
      <c r="B1981" t="str">
        <f>_xlfn.XLOOKUP(A1981,[1]Municipios!$B:$B,[1]Municipios!$C:$C)</f>
        <v>Noroeste</v>
      </c>
      <c r="C1981" t="str">
        <f>_xlfn.XLOOKUP(A1981,[1]Municipios!$B:$B,[1]Municipios!$D:$D)</f>
        <v>Terra Roxa</v>
      </c>
      <c r="D1981">
        <v>2025</v>
      </c>
      <c r="E1981" t="s">
        <v>215</v>
      </c>
      <c r="F1981">
        <v>0.79999999999999993</v>
      </c>
      <c r="G1981">
        <v>80.260000000000005</v>
      </c>
    </row>
    <row r="1982" spans="1:7" x14ac:dyDescent="0.25">
      <c r="A1982" t="s">
        <v>431</v>
      </c>
      <c r="B1982" t="str">
        <f>_xlfn.XLOOKUP(A1982,[1]Municipios!$B:$B,[1]Municipios!$C:$C)</f>
        <v>Noroeste</v>
      </c>
      <c r="C1982" t="str">
        <f>_xlfn.XLOOKUP(A1982,[1]Municipios!$B:$B,[1]Municipios!$D:$D)</f>
        <v>Terra Roxa</v>
      </c>
      <c r="D1982">
        <v>2025</v>
      </c>
      <c r="E1982" t="s">
        <v>234</v>
      </c>
      <c r="F1982">
        <v>1</v>
      </c>
      <c r="G1982">
        <v>80.260000000000005</v>
      </c>
    </row>
    <row r="1983" spans="1:7" x14ac:dyDescent="0.25">
      <c r="A1983" t="s">
        <v>431</v>
      </c>
      <c r="B1983" t="str">
        <f>_xlfn.XLOOKUP(A1983,[1]Municipios!$B:$B,[1]Municipios!$C:$C)</f>
        <v>Noroeste</v>
      </c>
      <c r="C1983" t="str">
        <f>_xlfn.XLOOKUP(A1983,[1]Municipios!$B:$B,[1]Municipios!$D:$D)</f>
        <v>Terra Roxa</v>
      </c>
      <c r="D1983">
        <v>2025</v>
      </c>
      <c r="E1983" t="s">
        <v>235</v>
      </c>
      <c r="F1983">
        <v>1</v>
      </c>
      <c r="G1983">
        <v>80.260000000000005</v>
      </c>
    </row>
    <row r="1984" spans="1:7" x14ac:dyDescent="0.25">
      <c r="A1984" t="s">
        <v>431</v>
      </c>
      <c r="B1984" t="str">
        <f>_xlfn.XLOOKUP(A1984,[1]Municipios!$B:$B,[1]Municipios!$C:$C)</f>
        <v>Noroeste</v>
      </c>
      <c r="C1984" t="str">
        <f>_xlfn.XLOOKUP(A1984,[1]Municipios!$B:$B,[1]Municipios!$D:$D)</f>
        <v>Terra Roxa</v>
      </c>
      <c r="D1984">
        <v>2025</v>
      </c>
      <c r="E1984" t="s">
        <v>236</v>
      </c>
      <c r="F1984">
        <v>0.15390000000000001</v>
      </c>
      <c r="G1984">
        <v>80.260000000000005</v>
      </c>
    </row>
    <row r="1985" spans="1:7" x14ac:dyDescent="0.25">
      <c r="A1985" t="s">
        <v>431</v>
      </c>
      <c r="B1985" t="str">
        <f>_xlfn.XLOOKUP(A1985,[1]Municipios!$B:$B,[1]Municipios!$C:$C)</f>
        <v>Noroeste</v>
      </c>
      <c r="C1985" t="str">
        <f>_xlfn.XLOOKUP(A1985,[1]Municipios!$B:$B,[1]Municipios!$D:$D)</f>
        <v>Terra Roxa</v>
      </c>
      <c r="D1985">
        <v>2025</v>
      </c>
      <c r="E1985" t="s">
        <v>237</v>
      </c>
      <c r="F1985">
        <v>1</v>
      </c>
      <c r="G1985">
        <v>80.260000000000005</v>
      </c>
    </row>
    <row r="1986" spans="1:7" x14ac:dyDescent="0.25">
      <c r="A1986" t="s">
        <v>260</v>
      </c>
      <c r="B1986" t="str">
        <f>_xlfn.XLOOKUP(A1986,[1]Municipios!$B:$B,[1]Municipios!$C:$C)</f>
        <v>Sul</v>
      </c>
      <c r="C1986" t="str">
        <f>_xlfn.XLOOKUP(A1986,[1]Municipios!$B:$B,[1]Municipios!$D:$D)</f>
        <v>Sudoeste Pioneiro</v>
      </c>
      <c r="D1986">
        <v>2025</v>
      </c>
      <c r="E1986" t="s">
        <v>231</v>
      </c>
      <c r="F1986">
        <v>0.88890000000000002</v>
      </c>
      <c r="G1986">
        <v>85.26</v>
      </c>
    </row>
    <row r="1987" spans="1:7" x14ac:dyDescent="0.25">
      <c r="A1987" t="s">
        <v>260</v>
      </c>
      <c r="B1987" t="str">
        <f>_xlfn.XLOOKUP(A1987,[1]Municipios!$B:$B,[1]Municipios!$C:$C)</f>
        <v>Sul</v>
      </c>
      <c r="C1987" t="str">
        <f>_xlfn.XLOOKUP(A1987,[1]Municipios!$B:$B,[1]Municipios!$D:$D)</f>
        <v>Sudoeste Pioneiro</v>
      </c>
      <c r="D1987">
        <v>2025</v>
      </c>
      <c r="E1987" t="s">
        <v>232</v>
      </c>
      <c r="F1987">
        <v>0.84619999999999995</v>
      </c>
      <c r="G1987">
        <v>85.26</v>
      </c>
    </row>
    <row r="1988" spans="1:7" x14ac:dyDescent="0.25">
      <c r="A1988" t="s">
        <v>260</v>
      </c>
      <c r="B1988" t="str">
        <f>_xlfn.XLOOKUP(A1988,[1]Municipios!$B:$B,[1]Municipios!$C:$C)</f>
        <v>Sul</v>
      </c>
      <c r="C1988" t="str">
        <f>_xlfn.XLOOKUP(A1988,[1]Municipios!$B:$B,[1]Municipios!$D:$D)</f>
        <v>Sudoeste Pioneiro</v>
      </c>
      <c r="D1988">
        <v>2025</v>
      </c>
      <c r="E1988" t="s">
        <v>233</v>
      </c>
      <c r="F1988">
        <v>0.875</v>
      </c>
      <c r="G1988">
        <v>85.26</v>
      </c>
    </row>
    <row r="1989" spans="1:7" x14ac:dyDescent="0.25">
      <c r="A1989" t="s">
        <v>260</v>
      </c>
      <c r="B1989" t="str">
        <f>_xlfn.XLOOKUP(A1989,[1]Municipios!$B:$B,[1]Municipios!$C:$C)</f>
        <v>Sul</v>
      </c>
      <c r="C1989" t="str">
        <f>_xlfn.XLOOKUP(A1989,[1]Municipios!$B:$B,[1]Municipios!$D:$D)</f>
        <v>Sudoeste Pioneiro</v>
      </c>
      <c r="D1989">
        <v>2025</v>
      </c>
      <c r="E1989" t="s">
        <v>215</v>
      </c>
      <c r="F1989">
        <v>1</v>
      </c>
      <c r="G1989">
        <v>85.26</v>
      </c>
    </row>
    <row r="1990" spans="1:7" x14ac:dyDescent="0.25">
      <c r="A1990" t="s">
        <v>260</v>
      </c>
      <c r="B1990" t="str">
        <f>_xlfn.XLOOKUP(A1990,[1]Municipios!$B:$B,[1]Municipios!$C:$C)</f>
        <v>Sul</v>
      </c>
      <c r="C1990" t="str">
        <f>_xlfn.XLOOKUP(A1990,[1]Municipios!$B:$B,[1]Municipios!$D:$D)</f>
        <v>Sudoeste Pioneiro</v>
      </c>
      <c r="D1990">
        <v>2025</v>
      </c>
      <c r="E1990" t="s">
        <v>234</v>
      </c>
      <c r="F1990">
        <v>0.55549999999999999</v>
      </c>
      <c r="G1990">
        <v>85.26</v>
      </c>
    </row>
    <row r="1991" spans="1:7" x14ac:dyDescent="0.25">
      <c r="A1991" t="s">
        <v>260</v>
      </c>
      <c r="B1991" t="str">
        <f>_xlfn.XLOOKUP(A1991,[1]Municipios!$B:$B,[1]Municipios!$C:$C)</f>
        <v>Sul</v>
      </c>
      <c r="C1991" t="str">
        <f>_xlfn.XLOOKUP(A1991,[1]Municipios!$B:$B,[1]Municipios!$D:$D)</f>
        <v>Sudoeste Pioneiro</v>
      </c>
      <c r="D1991">
        <v>2025</v>
      </c>
      <c r="E1991" t="s">
        <v>235</v>
      </c>
      <c r="F1991">
        <v>1</v>
      </c>
      <c r="G1991">
        <v>85.26</v>
      </c>
    </row>
    <row r="1992" spans="1:7" x14ac:dyDescent="0.25">
      <c r="A1992" t="s">
        <v>260</v>
      </c>
      <c r="B1992" t="str">
        <f>_xlfn.XLOOKUP(A1992,[1]Municipios!$B:$B,[1]Municipios!$C:$C)</f>
        <v>Sul</v>
      </c>
      <c r="C1992" t="str">
        <f>_xlfn.XLOOKUP(A1992,[1]Municipios!$B:$B,[1]Municipios!$D:$D)</f>
        <v>Sudoeste Pioneiro</v>
      </c>
      <c r="D1992">
        <v>2025</v>
      </c>
      <c r="E1992" t="s">
        <v>236</v>
      </c>
      <c r="F1992">
        <v>0.76929999999999987</v>
      </c>
      <c r="G1992">
        <v>85.26</v>
      </c>
    </row>
    <row r="1993" spans="1:7" x14ac:dyDescent="0.25">
      <c r="A1993" t="s">
        <v>260</v>
      </c>
      <c r="B1993" t="str">
        <f>_xlfn.XLOOKUP(A1993,[1]Municipios!$B:$B,[1]Municipios!$C:$C)</f>
        <v>Sul</v>
      </c>
      <c r="C1993" t="str">
        <f>_xlfn.XLOOKUP(A1993,[1]Municipios!$B:$B,[1]Municipios!$D:$D)</f>
        <v>Sudoeste Pioneiro</v>
      </c>
      <c r="D1993">
        <v>2025</v>
      </c>
      <c r="E1993" t="s">
        <v>237</v>
      </c>
      <c r="F1993">
        <v>1</v>
      </c>
      <c r="G1993">
        <v>85.26</v>
      </c>
    </row>
    <row r="1994" spans="1:7" x14ac:dyDescent="0.25">
      <c r="A1994" t="s">
        <v>277</v>
      </c>
      <c r="B1994" t="str">
        <f>_xlfn.XLOOKUP(A1994,[1]Municipios!$B:$B,[1]Municipios!$C:$C)</f>
        <v>Centro</v>
      </c>
      <c r="C1994" t="str">
        <f>_xlfn.XLOOKUP(A1994,[1]Municipios!$B:$B,[1]Municipios!$D:$D)</f>
        <v>Campos Gerais</v>
      </c>
      <c r="D1994">
        <v>2025</v>
      </c>
      <c r="E1994" t="s">
        <v>231</v>
      </c>
      <c r="F1994">
        <v>0.88890000000000002</v>
      </c>
      <c r="G1994">
        <v>83.27</v>
      </c>
    </row>
    <row r="1995" spans="1:7" x14ac:dyDescent="0.25">
      <c r="A1995" t="s">
        <v>277</v>
      </c>
      <c r="B1995" t="str">
        <f>_xlfn.XLOOKUP(A1995,[1]Municipios!$B:$B,[1]Municipios!$C:$C)</f>
        <v>Centro</v>
      </c>
      <c r="C1995" t="str">
        <f>_xlfn.XLOOKUP(A1995,[1]Municipios!$B:$B,[1]Municipios!$D:$D)</f>
        <v>Campos Gerais</v>
      </c>
      <c r="D1995">
        <v>2025</v>
      </c>
      <c r="E1995" t="s">
        <v>232</v>
      </c>
      <c r="F1995">
        <v>0.92310000000000003</v>
      </c>
      <c r="G1995">
        <v>83.27</v>
      </c>
    </row>
    <row r="1996" spans="1:7" x14ac:dyDescent="0.25">
      <c r="A1996" t="s">
        <v>277</v>
      </c>
      <c r="B1996" t="str">
        <f>_xlfn.XLOOKUP(A1996,[1]Municipios!$B:$B,[1]Municipios!$C:$C)</f>
        <v>Centro</v>
      </c>
      <c r="C1996" t="str">
        <f>_xlfn.XLOOKUP(A1996,[1]Municipios!$B:$B,[1]Municipios!$D:$D)</f>
        <v>Campos Gerais</v>
      </c>
      <c r="D1996">
        <v>2025</v>
      </c>
      <c r="E1996" t="s">
        <v>233</v>
      </c>
      <c r="F1996">
        <v>0.75</v>
      </c>
      <c r="G1996">
        <v>83.27</v>
      </c>
    </row>
    <row r="1997" spans="1:7" x14ac:dyDescent="0.25">
      <c r="A1997" t="s">
        <v>277</v>
      </c>
      <c r="B1997" t="str">
        <f>_xlfn.XLOOKUP(A1997,[1]Municipios!$B:$B,[1]Municipios!$C:$C)</f>
        <v>Centro</v>
      </c>
      <c r="C1997" t="str">
        <f>_xlfn.XLOOKUP(A1997,[1]Municipios!$B:$B,[1]Municipios!$D:$D)</f>
        <v>Campos Gerais</v>
      </c>
      <c r="D1997">
        <v>2025</v>
      </c>
      <c r="E1997" t="s">
        <v>215</v>
      </c>
      <c r="F1997">
        <v>0.70000000000000007</v>
      </c>
      <c r="G1997">
        <v>83.27</v>
      </c>
    </row>
    <row r="1998" spans="1:7" x14ac:dyDescent="0.25">
      <c r="A1998" t="s">
        <v>277</v>
      </c>
      <c r="B1998" t="str">
        <f>_xlfn.XLOOKUP(A1998,[1]Municipios!$B:$B,[1]Municipios!$C:$C)</f>
        <v>Centro</v>
      </c>
      <c r="C1998" t="str">
        <f>_xlfn.XLOOKUP(A1998,[1]Municipios!$B:$B,[1]Municipios!$D:$D)</f>
        <v>Campos Gerais</v>
      </c>
      <c r="D1998">
        <v>2025</v>
      </c>
      <c r="E1998" t="s">
        <v>234</v>
      </c>
      <c r="F1998">
        <v>0.77780000000000005</v>
      </c>
      <c r="G1998">
        <v>83.27</v>
      </c>
    </row>
    <row r="1999" spans="1:7" x14ac:dyDescent="0.25">
      <c r="A1999" t="s">
        <v>277</v>
      </c>
      <c r="B1999" t="str">
        <f>_xlfn.XLOOKUP(A1999,[1]Municipios!$B:$B,[1]Municipios!$C:$C)</f>
        <v>Centro</v>
      </c>
      <c r="C1999" t="str">
        <f>_xlfn.XLOOKUP(A1999,[1]Municipios!$B:$B,[1]Municipios!$D:$D)</f>
        <v>Campos Gerais</v>
      </c>
      <c r="D1999">
        <v>2025</v>
      </c>
      <c r="E1999" t="s">
        <v>235</v>
      </c>
      <c r="F1999">
        <v>1</v>
      </c>
      <c r="G1999">
        <v>83.27</v>
      </c>
    </row>
    <row r="2000" spans="1:7" x14ac:dyDescent="0.25">
      <c r="A2000" t="s">
        <v>277</v>
      </c>
      <c r="B2000" t="str">
        <f>_xlfn.XLOOKUP(A2000,[1]Municipios!$B:$B,[1]Municipios!$C:$C)</f>
        <v>Centro</v>
      </c>
      <c r="C2000" t="str">
        <f>_xlfn.XLOOKUP(A2000,[1]Municipios!$B:$B,[1]Municipios!$D:$D)</f>
        <v>Campos Gerais</v>
      </c>
      <c r="D2000">
        <v>2025</v>
      </c>
      <c r="E2000" t="s">
        <v>236</v>
      </c>
      <c r="F2000">
        <v>0.53849999999999987</v>
      </c>
      <c r="G2000">
        <v>83.27</v>
      </c>
    </row>
    <row r="2001" spans="1:7" x14ac:dyDescent="0.25">
      <c r="A2001" t="s">
        <v>277</v>
      </c>
      <c r="B2001" t="str">
        <f>_xlfn.XLOOKUP(A2001,[1]Municipios!$B:$B,[1]Municipios!$C:$C)</f>
        <v>Centro</v>
      </c>
      <c r="C2001" t="str">
        <f>_xlfn.XLOOKUP(A2001,[1]Municipios!$B:$B,[1]Municipios!$D:$D)</f>
        <v>Campos Gerais</v>
      </c>
      <c r="D2001">
        <v>2025</v>
      </c>
      <c r="E2001" t="s">
        <v>237</v>
      </c>
      <c r="F2001">
        <v>1</v>
      </c>
      <c r="G2001">
        <v>83.27</v>
      </c>
    </row>
    <row r="2002" spans="1:7" x14ac:dyDescent="0.25">
      <c r="A2002" t="s">
        <v>240</v>
      </c>
      <c r="B2002" t="str">
        <f>_xlfn.XLOOKUP(A2002,[1]Municipios!$B:$B,[1]Municipios!$C:$C)</f>
        <v>Centro</v>
      </c>
      <c r="C2002" t="str">
        <f>_xlfn.XLOOKUP(A2002,[1]Municipios!$B:$B,[1]Municipios!$D:$D)</f>
        <v>Paraná Centro</v>
      </c>
      <c r="D2002">
        <v>2025</v>
      </c>
      <c r="E2002" t="s">
        <v>231</v>
      </c>
      <c r="F2002">
        <v>0.55559999999999998</v>
      </c>
      <c r="G2002">
        <v>63.38</v>
      </c>
    </row>
    <row r="2003" spans="1:7" x14ac:dyDescent="0.25">
      <c r="A2003" t="s">
        <v>240</v>
      </c>
      <c r="B2003" t="str">
        <f>_xlfn.XLOOKUP(A2003,[1]Municipios!$B:$B,[1]Municipios!$C:$C)</f>
        <v>Centro</v>
      </c>
      <c r="C2003" t="str">
        <f>_xlfn.XLOOKUP(A2003,[1]Municipios!$B:$B,[1]Municipios!$D:$D)</f>
        <v>Paraná Centro</v>
      </c>
      <c r="D2003">
        <v>2025</v>
      </c>
      <c r="E2003" t="s">
        <v>232</v>
      </c>
      <c r="F2003">
        <v>0.84609999999999996</v>
      </c>
      <c r="G2003">
        <v>63.38</v>
      </c>
    </row>
    <row r="2004" spans="1:7" x14ac:dyDescent="0.25">
      <c r="A2004" t="s">
        <v>240</v>
      </c>
      <c r="B2004" t="str">
        <f>_xlfn.XLOOKUP(A2004,[1]Municipios!$B:$B,[1]Municipios!$C:$C)</f>
        <v>Centro</v>
      </c>
      <c r="C2004" t="str">
        <f>_xlfn.XLOOKUP(A2004,[1]Municipios!$B:$B,[1]Municipios!$D:$D)</f>
        <v>Paraná Centro</v>
      </c>
      <c r="D2004">
        <v>2025</v>
      </c>
      <c r="E2004" t="s">
        <v>233</v>
      </c>
      <c r="F2004">
        <v>0.625</v>
      </c>
      <c r="G2004">
        <v>63.38</v>
      </c>
    </row>
    <row r="2005" spans="1:7" x14ac:dyDescent="0.25">
      <c r="A2005" t="s">
        <v>240</v>
      </c>
      <c r="B2005" t="str">
        <f>_xlfn.XLOOKUP(A2005,[1]Municipios!$B:$B,[1]Municipios!$C:$C)</f>
        <v>Centro</v>
      </c>
      <c r="C2005" t="str">
        <f>_xlfn.XLOOKUP(A2005,[1]Municipios!$B:$B,[1]Municipios!$D:$D)</f>
        <v>Paraná Centro</v>
      </c>
      <c r="D2005">
        <v>2025</v>
      </c>
      <c r="E2005" t="s">
        <v>215</v>
      </c>
      <c r="F2005">
        <v>0.79999999999999993</v>
      </c>
      <c r="G2005">
        <v>63.38</v>
      </c>
    </row>
    <row r="2006" spans="1:7" x14ac:dyDescent="0.25">
      <c r="A2006" t="s">
        <v>240</v>
      </c>
      <c r="B2006" t="str">
        <f>_xlfn.XLOOKUP(A2006,[1]Municipios!$B:$B,[1]Municipios!$C:$C)</f>
        <v>Centro</v>
      </c>
      <c r="C2006" t="str">
        <f>_xlfn.XLOOKUP(A2006,[1]Municipios!$B:$B,[1]Municipios!$D:$D)</f>
        <v>Paraná Centro</v>
      </c>
      <c r="D2006">
        <v>2025</v>
      </c>
      <c r="E2006" t="s">
        <v>234</v>
      </c>
      <c r="F2006">
        <v>0.33329999999999999</v>
      </c>
      <c r="G2006">
        <v>63.38</v>
      </c>
    </row>
    <row r="2007" spans="1:7" x14ac:dyDescent="0.25">
      <c r="A2007" t="s">
        <v>240</v>
      </c>
      <c r="B2007" t="str">
        <f>_xlfn.XLOOKUP(A2007,[1]Municipios!$B:$B,[1]Municipios!$C:$C)</f>
        <v>Centro</v>
      </c>
      <c r="C2007" t="str">
        <f>_xlfn.XLOOKUP(A2007,[1]Municipios!$B:$B,[1]Municipios!$D:$D)</f>
        <v>Paraná Centro</v>
      </c>
      <c r="D2007">
        <v>2025</v>
      </c>
      <c r="E2007" t="s">
        <v>235</v>
      </c>
      <c r="F2007">
        <v>0.85720000000000007</v>
      </c>
      <c r="G2007">
        <v>63.38</v>
      </c>
    </row>
    <row r="2008" spans="1:7" x14ac:dyDescent="0.25">
      <c r="A2008" t="s">
        <v>240</v>
      </c>
      <c r="B2008" t="str">
        <f>_xlfn.XLOOKUP(A2008,[1]Municipios!$B:$B,[1]Municipios!$C:$C)</f>
        <v>Centro</v>
      </c>
      <c r="C2008" t="str">
        <f>_xlfn.XLOOKUP(A2008,[1]Municipios!$B:$B,[1]Municipios!$D:$D)</f>
        <v>Paraná Centro</v>
      </c>
      <c r="D2008">
        <v>2025</v>
      </c>
      <c r="E2008" t="s">
        <v>236</v>
      </c>
      <c r="F2008">
        <v>7.6999999999999999E-2</v>
      </c>
      <c r="G2008">
        <v>63.38</v>
      </c>
    </row>
    <row r="2009" spans="1:7" x14ac:dyDescent="0.25">
      <c r="A2009" t="s">
        <v>240</v>
      </c>
      <c r="B2009" t="str">
        <f>_xlfn.XLOOKUP(A2009,[1]Municipios!$B:$B,[1]Municipios!$C:$C)</f>
        <v>Centro</v>
      </c>
      <c r="C2009" t="str">
        <f>_xlfn.XLOOKUP(A2009,[1]Municipios!$B:$B,[1]Municipios!$D:$D)</f>
        <v>Paraná Centro</v>
      </c>
      <c r="D2009">
        <v>2025</v>
      </c>
      <c r="E2009" t="s">
        <v>237</v>
      </c>
      <c r="F2009">
        <v>1</v>
      </c>
      <c r="G2009">
        <v>63.38</v>
      </c>
    </row>
    <row r="2010" spans="1:7" x14ac:dyDescent="0.25">
      <c r="A2010" t="s">
        <v>457</v>
      </c>
      <c r="B2010" t="str">
        <f>_xlfn.XLOOKUP(A2010,[1]Municipios!$B:$B,[1]Municipios!$C:$C)</f>
        <v>Oeste</v>
      </c>
      <c r="C2010" t="str">
        <f>_xlfn.XLOOKUP(A2010,[1]Municipios!$B:$B,[1]Municipios!$D:$D)</f>
        <v>Oeste Integrado</v>
      </c>
      <c r="D2010">
        <v>2025</v>
      </c>
      <c r="E2010" t="s">
        <v>231</v>
      </c>
      <c r="F2010">
        <v>0.88890000000000002</v>
      </c>
      <c r="G2010">
        <v>78.959999999999994</v>
      </c>
    </row>
    <row r="2011" spans="1:7" x14ac:dyDescent="0.25">
      <c r="A2011" t="s">
        <v>457</v>
      </c>
      <c r="B2011" t="str">
        <f>_xlfn.XLOOKUP(A2011,[1]Municipios!$B:$B,[1]Municipios!$C:$C)</f>
        <v>Oeste</v>
      </c>
      <c r="C2011" t="str">
        <f>_xlfn.XLOOKUP(A2011,[1]Municipios!$B:$B,[1]Municipios!$D:$D)</f>
        <v>Oeste Integrado</v>
      </c>
      <c r="D2011">
        <v>2025</v>
      </c>
      <c r="E2011" t="s">
        <v>232</v>
      </c>
      <c r="F2011">
        <v>0.69240000000000002</v>
      </c>
      <c r="G2011">
        <v>78.959999999999994</v>
      </c>
    </row>
    <row r="2012" spans="1:7" x14ac:dyDescent="0.25">
      <c r="A2012" t="s">
        <v>457</v>
      </c>
      <c r="B2012" t="str">
        <f>_xlfn.XLOOKUP(A2012,[1]Municipios!$B:$B,[1]Municipios!$C:$C)</f>
        <v>Oeste</v>
      </c>
      <c r="C2012" t="str">
        <f>_xlfn.XLOOKUP(A2012,[1]Municipios!$B:$B,[1]Municipios!$D:$D)</f>
        <v>Oeste Integrado</v>
      </c>
      <c r="D2012">
        <v>2025</v>
      </c>
      <c r="E2012" t="s">
        <v>233</v>
      </c>
      <c r="F2012">
        <v>0.875</v>
      </c>
      <c r="G2012">
        <v>78.959999999999994</v>
      </c>
    </row>
    <row r="2013" spans="1:7" x14ac:dyDescent="0.25">
      <c r="A2013" t="s">
        <v>457</v>
      </c>
      <c r="B2013" t="str">
        <f>_xlfn.XLOOKUP(A2013,[1]Municipios!$B:$B,[1]Municipios!$C:$C)</f>
        <v>Oeste</v>
      </c>
      <c r="C2013" t="str">
        <f>_xlfn.XLOOKUP(A2013,[1]Municipios!$B:$B,[1]Municipios!$D:$D)</f>
        <v>Oeste Integrado</v>
      </c>
      <c r="D2013">
        <v>2025</v>
      </c>
      <c r="E2013" t="s">
        <v>215</v>
      </c>
      <c r="F2013">
        <v>0.6</v>
      </c>
      <c r="G2013">
        <v>78.959999999999994</v>
      </c>
    </row>
    <row r="2014" spans="1:7" x14ac:dyDescent="0.25">
      <c r="A2014" t="s">
        <v>457</v>
      </c>
      <c r="B2014" t="str">
        <f>_xlfn.XLOOKUP(A2014,[1]Municipios!$B:$B,[1]Municipios!$C:$C)</f>
        <v>Oeste</v>
      </c>
      <c r="C2014" t="str">
        <f>_xlfn.XLOOKUP(A2014,[1]Municipios!$B:$B,[1]Municipios!$D:$D)</f>
        <v>Oeste Integrado</v>
      </c>
      <c r="D2014">
        <v>2025</v>
      </c>
      <c r="E2014" t="s">
        <v>234</v>
      </c>
      <c r="F2014">
        <v>0.66669999999999996</v>
      </c>
      <c r="G2014">
        <v>78.959999999999994</v>
      </c>
    </row>
    <row r="2015" spans="1:7" x14ac:dyDescent="0.25">
      <c r="A2015" t="s">
        <v>457</v>
      </c>
      <c r="B2015" t="str">
        <f>_xlfn.XLOOKUP(A2015,[1]Municipios!$B:$B,[1]Municipios!$C:$C)</f>
        <v>Oeste</v>
      </c>
      <c r="C2015" t="str">
        <f>_xlfn.XLOOKUP(A2015,[1]Municipios!$B:$B,[1]Municipios!$D:$D)</f>
        <v>Oeste Integrado</v>
      </c>
      <c r="D2015">
        <v>2025</v>
      </c>
      <c r="E2015" t="s">
        <v>235</v>
      </c>
      <c r="F2015">
        <v>1</v>
      </c>
      <c r="G2015">
        <v>78.959999999999994</v>
      </c>
    </row>
    <row r="2016" spans="1:7" x14ac:dyDescent="0.25">
      <c r="A2016" t="s">
        <v>457</v>
      </c>
      <c r="B2016" t="str">
        <f>_xlfn.XLOOKUP(A2016,[1]Municipios!$B:$B,[1]Municipios!$C:$C)</f>
        <v>Oeste</v>
      </c>
      <c r="C2016" t="str">
        <f>_xlfn.XLOOKUP(A2016,[1]Municipios!$B:$B,[1]Municipios!$D:$D)</f>
        <v>Oeste Integrado</v>
      </c>
      <c r="D2016">
        <v>2025</v>
      </c>
      <c r="E2016" t="s">
        <v>236</v>
      </c>
      <c r="F2016">
        <v>0.69240000000000002</v>
      </c>
      <c r="G2016">
        <v>78.959999999999994</v>
      </c>
    </row>
    <row r="2017" spans="1:7" x14ac:dyDescent="0.25">
      <c r="A2017" t="s">
        <v>457</v>
      </c>
      <c r="B2017" t="str">
        <f>_xlfn.XLOOKUP(A2017,[1]Municipios!$B:$B,[1]Municipios!$C:$C)</f>
        <v>Oeste</v>
      </c>
      <c r="C2017" t="str">
        <f>_xlfn.XLOOKUP(A2017,[1]Municipios!$B:$B,[1]Municipios!$D:$D)</f>
        <v>Oeste Integrado</v>
      </c>
      <c r="D2017">
        <v>2025</v>
      </c>
      <c r="E2017" t="s">
        <v>237</v>
      </c>
      <c r="F2017">
        <v>1</v>
      </c>
      <c r="G2017">
        <v>78.959999999999994</v>
      </c>
    </row>
    <row r="2018" spans="1:7" x14ac:dyDescent="0.25">
      <c r="A2018" t="s">
        <v>595</v>
      </c>
      <c r="B2018" t="str">
        <f>_xlfn.XLOOKUP(A2018,[1]Municipios!$B:$B,[1]Municipios!$C:$C)</f>
        <v>Noroeste</v>
      </c>
      <c r="C2018" t="str">
        <f>_xlfn.XLOOKUP(A2018,[1]Municipios!$B:$B,[1]Municipios!$D:$D)</f>
        <v>Costa Noroeste</v>
      </c>
      <c r="D2018">
        <v>2025</v>
      </c>
      <c r="E2018" t="s">
        <v>231</v>
      </c>
      <c r="F2018">
        <v>0.66659999999999997</v>
      </c>
      <c r="G2018">
        <v>60.35</v>
      </c>
    </row>
    <row r="2019" spans="1:7" x14ac:dyDescent="0.25">
      <c r="A2019" t="s">
        <v>595</v>
      </c>
      <c r="B2019" t="str">
        <f>_xlfn.XLOOKUP(A2019,[1]Municipios!$B:$B,[1]Municipios!$C:$C)</f>
        <v>Noroeste</v>
      </c>
      <c r="C2019" t="str">
        <f>_xlfn.XLOOKUP(A2019,[1]Municipios!$B:$B,[1]Municipios!$D:$D)</f>
        <v>Costa Noroeste</v>
      </c>
      <c r="D2019">
        <v>2025</v>
      </c>
      <c r="E2019" t="s">
        <v>232</v>
      </c>
      <c r="F2019">
        <v>0.84609999999999996</v>
      </c>
      <c r="G2019">
        <v>60.35</v>
      </c>
    </row>
    <row r="2020" spans="1:7" x14ac:dyDescent="0.25">
      <c r="A2020" t="s">
        <v>595</v>
      </c>
      <c r="B2020" t="str">
        <f>_xlfn.XLOOKUP(A2020,[1]Municipios!$B:$B,[1]Municipios!$C:$C)</f>
        <v>Noroeste</v>
      </c>
      <c r="C2020" t="str">
        <f>_xlfn.XLOOKUP(A2020,[1]Municipios!$B:$B,[1]Municipios!$D:$D)</f>
        <v>Costa Noroeste</v>
      </c>
      <c r="D2020">
        <v>2025</v>
      </c>
      <c r="E2020" t="s">
        <v>233</v>
      </c>
      <c r="F2020">
        <v>0.625</v>
      </c>
      <c r="G2020">
        <v>60.35</v>
      </c>
    </row>
    <row r="2021" spans="1:7" x14ac:dyDescent="0.25">
      <c r="A2021" t="s">
        <v>595</v>
      </c>
      <c r="B2021" t="str">
        <f>_xlfn.XLOOKUP(A2021,[1]Municipios!$B:$B,[1]Municipios!$C:$C)</f>
        <v>Noroeste</v>
      </c>
      <c r="C2021" t="str">
        <f>_xlfn.XLOOKUP(A2021,[1]Municipios!$B:$B,[1]Municipios!$D:$D)</f>
        <v>Costa Noroeste</v>
      </c>
      <c r="D2021">
        <v>2025</v>
      </c>
      <c r="E2021" t="s">
        <v>215</v>
      </c>
      <c r="F2021">
        <v>0.70000000000000007</v>
      </c>
      <c r="G2021">
        <v>60.35</v>
      </c>
    </row>
    <row r="2022" spans="1:7" x14ac:dyDescent="0.25">
      <c r="A2022" t="s">
        <v>595</v>
      </c>
      <c r="B2022" t="str">
        <f>_xlfn.XLOOKUP(A2022,[1]Municipios!$B:$B,[1]Municipios!$C:$C)</f>
        <v>Noroeste</v>
      </c>
      <c r="C2022" t="str">
        <f>_xlfn.XLOOKUP(A2022,[1]Municipios!$B:$B,[1]Municipios!$D:$D)</f>
        <v>Costa Noroeste</v>
      </c>
      <c r="D2022">
        <v>2025</v>
      </c>
      <c r="E2022" t="s">
        <v>234</v>
      </c>
      <c r="F2022">
        <v>0.77780000000000005</v>
      </c>
      <c r="G2022">
        <v>60.35</v>
      </c>
    </row>
    <row r="2023" spans="1:7" x14ac:dyDescent="0.25">
      <c r="A2023" t="s">
        <v>595</v>
      </c>
      <c r="B2023" t="str">
        <f>_xlfn.XLOOKUP(A2023,[1]Municipios!$B:$B,[1]Municipios!$C:$C)</f>
        <v>Noroeste</v>
      </c>
      <c r="C2023" t="str">
        <f>_xlfn.XLOOKUP(A2023,[1]Municipios!$B:$B,[1]Municipios!$D:$D)</f>
        <v>Costa Noroeste</v>
      </c>
      <c r="D2023">
        <v>2025</v>
      </c>
      <c r="E2023" t="s">
        <v>235</v>
      </c>
      <c r="F2023">
        <v>0.57130000000000003</v>
      </c>
      <c r="G2023">
        <v>60.35</v>
      </c>
    </row>
    <row r="2024" spans="1:7" x14ac:dyDescent="0.25">
      <c r="A2024" t="s">
        <v>595</v>
      </c>
      <c r="B2024" t="str">
        <f>_xlfn.XLOOKUP(A2024,[1]Municipios!$B:$B,[1]Municipios!$C:$C)</f>
        <v>Noroeste</v>
      </c>
      <c r="C2024" t="str">
        <f>_xlfn.XLOOKUP(A2024,[1]Municipios!$B:$B,[1]Municipios!$D:$D)</f>
        <v>Costa Noroeste</v>
      </c>
      <c r="D2024">
        <v>2025</v>
      </c>
      <c r="E2024" t="s">
        <v>236</v>
      </c>
      <c r="F2024">
        <v>0</v>
      </c>
      <c r="G2024">
        <v>60.35</v>
      </c>
    </row>
    <row r="2025" spans="1:7" x14ac:dyDescent="0.25">
      <c r="A2025" t="s">
        <v>595</v>
      </c>
      <c r="B2025" t="str">
        <f>_xlfn.XLOOKUP(A2025,[1]Municipios!$B:$B,[1]Municipios!$C:$C)</f>
        <v>Noroeste</v>
      </c>
      <c r="C2025" t="str">
        <f>_xlfn.XLOOKUP(A2025,[1]Municipios!$B:$B,[1]Municipios!$D:$D)</f>
        <v>Costa Noroeste</v>
      </c>
      <c r="D2025">
        <v>2025</v>
      </c>
      <c r="E2025" t="s">
        <v>237</v>
      </c>
      <c r="F2025">
        <v>0.5</v>
      </c>
      <c r="G2025">
        <v>60.35</v>
      </c>
    </row>
    <row r="2026" spans="1:7" x14ac:dyDescent="0.25">
      <c r="A2026" t="s">
        <v>596</v>
      </c>
      <c r="B2026" t="str">
        <f>_xlfn.XLOOKUP(A2026,[1]Municipios!$B:$B,[1]Municipios!$C:$C)</f>
        <v>Noroeste</v>
      </c>
      <c r="C2026" t="str">
        <f>_xlfn.XLOOKUP(A2026,[1]Municipios!$B:$B,[1]Municipios!$D:$D)</f>
        <v>Terra Roxa</v>
      </c>
      <c r="D2026">
        <v>2025</v>
      </c>
      <c r="E2026" t="s">
        <v>231</v>
      </c>
      <c r="F2026">
        <v>0.22219999999999998</v>
      </c>
      <c r="G2026">
        <v>0</v>
      </c>
    </row>
    <row r="2027" spans="1:7" x14ac:dyDescent="0.25">
      <c r="A2027" t="s">
        <v>596</v>
      </c>
      <c r="B2027" t="str">
        <f>_xlfn.XLOOKUP(A2027,[1]Municipios!$B:$B,[1]Municipios!$C:$C)</f>
        <v>Noroeste</v>
      </c>
      <c r="C2027" t="str">
        <f>_xlfn.XLOOKUP(A2027,[1]Municipios!$B:$B,[1]Municipios!$D:$D)</f>
        <v>Terra Roxa</v>
      </c>
      <c r="D2027">
        <v>2025</v>
      </c>
      <c r="E2027" t="s">
        <v>232</v>
      </c>
      <c r="F2027">
        <v>0.23069999999999999</v>
      </c>
      <c r="G2027">
        <v>0</v>
      </c>
    </row>
    <row r="2028" spans="1:7" x14ac:dyDescent="0.25">
      <c r="A2028" t="s">
        <v>596</v>
      </c>
      <c r="B2028" t="str">
        <f>_xlfn.XLOOKUP(A2028,[1]Municipios!$B:$B,[1]Municipios!$C:$C)</f>
        <v>Noroeste</v>
      </c>
      <c r="C2028" t="str">
        <f>_xlfn.XLOOKUP(A2028,[1]Municipios!$B:$B,[1]Municipios!$D:$D)</f>
        <v>Terra Roxa</v>
      </c>
      <c r="D2028">
        <v>2025</v>
      </c>
      <c r="E2028" t="s">
        <v>233</v>
      </c>
      <c r="F2028">
        <v>0.125</v>
      </c>
      <c r="G2028">
        <v>0</v>
      </c>
    </row>
    <row r="2029" spans="1:7" x14ac:dyDescent="0.25">
      <c r="A2029" t="s">
        <v>596</v>
      </c>
      <c r="B2029" t="str">
        <f>_xlfn.XLOOKUP(A2029,[1]Municipios!$B:$B,[1]Municipios!$C:$C)</f>
        <v>Noroeste</v>
      </c>
      <c r="C2029" t="str">
        <f>_xlfn.XLOOKUP(A2029,[1]Municipios!$B:$B,[1]Municipios!$D:$D)</f>
        <v>Terra Roxa</v>
      </c>
      <c r="D2029">
        <v>2025</v>
      </c>
      <c r="E2029" t="s">
        <v>215</v>
      </c>
      <c r="F2029">
        <v>0</v>
      </c>
      <c r="G2029">
        <v>0</v>
      </c>
    </row>
    <row r="2030" spans="1:7" x14ac:dyDescent="0.25">
      <c r="A2030" t="s">
        <v>596</v>
      </c>
      <c r="B2030" t="str">
        <f>_xlfn.XLOOKUP(A2030,[1]Municipios!$B:$B,[1]Municipios!$C:$C)</f>
        <v>Noroeste</v>
      </c>
      <c r="C2030" t="str">
        <f>_xlfn.XLOOKUP(A2030,[1]Municipios!$B:$B,[1]Municipios!$D:$D)</f>
        <v>Terra Roxa</v>
      </c>
      <c r="D2030">
        <v>2025</v>
      </c>
      <c r="E2030" t="s">
        <v>234</v>
      </c>
      <c r="F2030">
        <v>0</v>
      </c>
      <c r="G2030">
        <v>0</v>
      </c>
    </row>
    <row r="2031" spans="1:7" x14ac:dyDescent="0.25">
      <c r="A2031" t="s">
        <v>596</v>
      </c>
      <c r="B2031" t="str">
        <f>_xlfn.XLOOKUP(A2031,[1]Municipios!$B:$B,[1]Municipios!$C:$C)</f>
        <v>Noroeste</v>
      </c>
      <c r="C2031" t="str">
        <f>_xlfn.XLOOKUP(A2031,[1]Municipios!$B:$B,[1]Municipios!$D:$D)</f>
        <v>Terra Roxa</v>
      </c>
      <c r="D2031">
        <v>2025</v>
      </c>
      <c r="E2031" t="s">
        <v>235</v>
      </c>
      <c r="F2031">
        <v>0.1429</v>
      </c>
      <c r="G2031">
        <v>0</v>
      </c>
    </row>
    <row r="2032" spans="1:7" x14ac:dyDescent="0.25">
      <c r="A2032" t="s">
        <v>596</v>
      </c>
      <c r="B2032" t="str">
        <f>_xlfn.XLOOKUP(A2032,[1]Municipios!$B:$B,[1]Municipios!$C:$C)</f>
        <v>Noroeste</v>
      </c>
      <c r="C2032" t="str">
        <f>_xlfn.XLOOKUP(A2032,[1]Municipios!$B:$B,[1]Municipios!$D:$D)</f>
        <v>Terra Roxa</v>
      </c>
      <c r="D2032">
        <v>2025</v>
      </c>
      <c r="E2032" t="s">
        <v>236</v>
      </c>
      <c r="F2032">
        <v>0</v>
      </c>
      <c r="G2032">
        <v>0</v>
      </c>
    </row>
    <row r="2033" spans="1:7" x14ac:dyDescent="0.25">
      <c r="A2033" t="s">
        <v>596</v>
      </c>
      <c r="B2033" t="str">
        <f>_xlfn.XLOOKUP(A2033,[1]Municipios!$B:$B,[1]Municipios!$C:$C)</f>
        <v>Noroeste</v>
      </c>
      <c r="C2033" t="str">
        <f>_xlfn.XLOOKUP(A2033,[1]Municipios!$B:$B,[1]Municipios!$D:$D)</f>
        <v>Terra Roxa</v>
      </c>
      <c r="D2033">
        <v>2025</v>
      </c>
      <c r="E2033" t="s">
        <v>237</v>
      </c>
      <c r="F2033">
        <v>0</v>
      </c>
      <c r="G2033">
        <v>0</v>
      </c>
    </row>
    <row r="2034" spans="1:7" x14ac:dyDescent="0.25">
      <c r="A2034" t="s">
        <v>381</v>
      </c>
      <c r="B2034" t="str">
        <f>_xlfn.XLOOKUP(A2034,[1]Municipios!$B:$B,[1]Municipios!$C:$C)</f>
        <v>Leste</v>
      </c>
      <c r="C2034" t="str">
        <f>_xlfn.XLOOKUP(A2034,[1]Municipios!$B:$B,[1]Municipios!$D:$D)</f>
        <v>Litoral</v>
      </c>
      <c r="D2034">
        <v>2025</v>
      </c>
      <c r="E2034" t="s">
        <v>231</v>
      </c>
      <c r="F2034">
        <v>0.77779999999999994</v>
      </c>
      <c r="G2034">
        <v>84.5</v>
      </c>
    </row>
    <row r="2035" spans="1:7" x14ac:dyDescent="0.25">
      <c r="A2035" t="s">
        <v>381</v>
      </c>
      <c r="B2035" t="str">
        <f>_xlfn.XLOOKUP(A2035,[1]Municipios!$B:$B,[1]Municipios!$C:$C)</f>
        <v>Leste</v>
      </c>
      <c r="C2035" t="str">
        <f>_xlfn.XLOOKUP(A2035,[1]Municipios!$B:$B,[1]Municipios!$D:$D)</f>
        <v>Litoral</v>
      </c>
      <c r="D2035">
        <v>2025</v>
      </c>
      <c r="E2035" t="s">
        <v>232</v>
      </c>
      <c r="F2035">
        <v>0.92310000000000003</v>
      </c>
      <c r="G2035">
        <v>84.5</v>
      </c>
    </row>
    <row r="2036" spans="1:7" x14ac:dyDescent="0.25">
      <c r="A2036" t="s">
        <v>381</v>
      </c>
      <c r="B2036" t="str">
        <f>_xlfn.XLOOKUP(A2036,[1]Municipios!$B:$B,[1]Municipios!$C:$C)</f>
        <v>Leste</v>
      </c>
      <c r="C2036" t="str">
        <f>_xlfn.XLOOKUP(A2036,[1]Municipios!$B:$B,[1]Municipios!$D:$D)</f>
        <v>Litoral</v>
      </c>
      <c r="D2036">
        <v>2025</v>
      </c>
      <c r="E2036" t="s">
        <v>233</v>
      </c>
      <c r="F2036">
        <v>0.875</v>
      </c>
      <c r="G2036">
        <v>84.5</v>
      </c>
    </row>
    <row r="2037" spans="1:7" x14ac:dyDescent="0.25">
      <c r="A2037" t="s">
        <v>381</v>
      </c>
      <c r="B2037" t="str">
        <f>_xlfn.XLOOKUP(A2037,[1]Municipios!$B:$B,[1]Municipios!$C:$C)</f>
        <v>Leste</v>
      </c>
      <c r="C2037" t="str">
        <f>_xlfn.XLOOKUP(A2037,[1]Municipios!$B:$B,[1]Municipios!$D:$D)</f>
        <v>Litoral</v>
      </c>
      <c r="D2037">
        <v>2025</v>
      </c>
      <c r="E2037" t="s">
        <v>215</v>
      </c>
      <c r="F2037">
        <v>0.70000000000000007</v>
      </c>
      <c r="G2037">
        <v>84.5</v>
      </c>
    </row>
    <row r="2038" spans="1:7" x14ac:dyDescent="0.25">
      <c r="A2038" t="s">
        <v>381</v>
      </c>
      <c r="B2038" t="str">
        <f>_xlfn.XLOOKUP(A2038,[1]Municipios!$B:$B,[1]Municipios!$C:$C)</f>
        <v>Leste</v>
      </c>
      <c r="C2038" t="str">
        <f>_xlfn.XLOOKUP(A2038,[1]Municipios!$B:$B,[1]Municipios!$D:$D)</f>
        <v>Litoral</v>
      </c>
      <c r="D2038">
        <v>2025</v>
      </c>
      <c r="E2038" t="s">
        <v>234</v>
      </c>
      <c r="F2038">
        <v>1</v>
      </c>
      <c r="G2038">
        <v>84.5</v>
      </c>
    </row>
    <row r="2039" spans="1:7" x14ac:dyDescent="0.25">
      <c r="A2039" t="s">
        <v>381</v>
      </c>
      <c r="B2039" t="str">
        <f>_xlfn.XLOOKUP(A2039,[1]Municipios!$B:$B,[1]Municipios!$C:$C)</f>
        <v>Leste</v>
      </c>
      <c r="C2039" t="str">
        <f>_xlfn.XLOOKUP(A2039,[1]Municipios!$B:$B,[1]Municipios!$D:$D)</f>
        <v>Litoral</v>
      </c>
      <c r="D2039">
        <v>2025</v>
      </c>
      <c r="E2039" t="s">
        <v>235</v>
      </c>
      <c r="F2039">
        <v>1</v>
      </c>
      <c r="G2039">
        <v>84.5</v>
      </c>
    </row>
    <row r="2040" spans="1:7" x14ac:dyDescent="0.25">
      <c r="A2040" t="s">
        <v>381</v>
      </c>
      <c r="B2040" t="str">
        <f>_xlfn.XLOOKUP(A2040,[1]Municipios!$B:$B,[1]Municipios!$C:$C)</f>
        <v>Leste</v>
      </c>
      <c r="C2040" t="str">
        <f>_xlfn.XLOOKUP(A2040,[1]Municipios!$B:$B,[1]Municipios!$D:$D)</f>
        <v>Litoral</v>
      </c>
      <c r="D2040">
        <v>2025</v>
      </c>
      <c r="E2040" t="s">
        <v>236</v>
      </c>
      <c r="F2040">
        <v>0.38480000000000003</v>
      </c>
      <c r="G2040">
        <v>84.5</v>
      </c>
    </row>
    <row r="2041" spans="1:7" x14ac:dyDescent="0.25">
      <c r="A2041" t="s">
        <v>381</v>
      </c>
      <c r="B2041" t="str">
        <f>_xlfn.XLOOKUP(A2041,[1]Municipios!$B:$B,[1]Municipios!$C:$C)</f>
        <v>Leste</v>
      </c>
      <c r="C2041" t="str">
        <f>_xlfn.XLOOKUP(A2041,[1]Municipios!$B:$B,[1]Municipios!$D:$D)</f>
        <v>Litoral</v>
      </c>
      <c r="D2041">
        <v>2025</v>
      </c>
      <c r="E2041" t="s">
        <v>237</v>
      </c>
      <c r="F2041">
        <v>1</v>
      </c>
      <c r="G2041">
        <v>84.5</v>
      </c>
    </row>
    <row r="2042" spans="1:7" x14ac:dyDescent="0.25">
      <c r="A2042" t="s">
        <v>597</v>
      </c>
      <c r="B2042" t="str">
        <f>_xlfn.XLOOKUP(A2042,[1]Municipios!$B:$B,[1]Municipios!$C:$C)</f>
        <v>Noroeste</v>
      </c>
      <c r="C2042" t="str">
        <f>_xlfn.XLOOKUP(A2042,[1]Municipios!$B:$B,[1]Municipios!$D:$D)</f>
        <v>Costa Noroeste</v>
      </c>
      <c r="D2042">
        <v>2025</v>
      </c>
      <c r="E2042" t="s">
        <v>231</v>
      </c>
      <c r="F2042">
        <v>0</v>
      </c>
      <c r="G2042">
        <v>0</v>
      </c>
    </row>
    <row r="2043" spans="1:7" x14ac:dyDescent="0.25">
      <c r="A2043" t="s">
        <v>597</v>
      </c>
      <c r="B2043" t="str">
        <f>_xlfn.XLOOKUP(A2043,[1]Municipios!$B:$B,[1]Municipios!$C:$C)</f>
        <v>Noroeste</v>
      </c>
      <c r="C2043" t="str">
        <f>_xlfn.XLOOKUP(A2043,[1]Municipios!$B:$B,[1]Municipios!$D:$D)</f>
        <v>Costa Noroeste</v>
      </c>
      <c r="D2043">
        <v>2025</v>
      </c>
      <c r="E2043" t="s">
        <v>232</v>
      </c>
      <c r="F2043">
        <v>7.6899999999999996E-2</v>
      </c>
      <c r="G2043">
        <v>0</v>
      </c>
    </row>
    <row r="2044" spans="1:7" x14ac:dyDescent="0.25">
      <c r="A2044" t="s">
        <v>597</v>
      </c>
      <c r="B2044" t="str">
        <f>_xlfn.XLOOKUP(A2044,[1]Municipios!$B:$B,[1]Municipios!$C:$C)</f>
        <v>Noroeste</v>
      </c>
      <c r="C2044" t="str">
        <f>_xlfn.XLOOKUP(A2044,[1]Municipios!$B:$B,[1]Municipios!$D:$D)</f>
        <v>Costa Noroeste</v>
      </c>
      <c r="D2044">
        <v>2025</v>
      </c>
      <c r="E2044" t="s">
        <v>233</v>
      </c>
      <c r="F2044">
        <v>0.125</v>
      </c>
      <c r="G2044">
        <v>0</v>
      </c>
    </row>
    <row r="2045" spans="1:7" x14ac:dyDescent="0.25">
      <c r="A2045" t="s">
        <v>597</v>
      </c>
      <c r="B2045" t="str">
        <f>_xlfn.XLOOKUP(A2045,[1]Municipios!$B:$B,[1]Municipios!$C:$C)</f>
        <v>Noroeste</v>
      </c>
      <c r="C2045" t="str">
        <f>_xlfn.XLOOKUP(A2045,[1]Municipios!$B:$B,[1]Municipios!$D:$D)</f>
        <v>Costa Noroeste</v>
      </c>
      <c r="D2045">
        <v>2025</v>
      </c>
      <c r="E2045" t="s">
        <v>215</v>
      </c>
      <c r="F2045">
        <v>0</v>
      </c>
      <c r="G2045">
        <v>0</v>
      </c>
    </row>
    <row r="2046" spans="1:7" x14ac:dyDescent="0.25">
      <c r="A2046" t="s">
        <v>597</v>
      </c>
      <c r="B2046" t="str">
        <f>_xlfn.XLOOKUP(A2046,[1]Municipios!$B:$B,[1]Municipios!$C:$C)</f>
        <v>Noroeste</v>
      </c>
      <c r="C2046" t="str">
        <f>_xlfn.XLOOKUP(A2046,[1]Municipios!$B:$B,[1]Municipios!$D:$D)</f>
        <v>Costa Noroeste</v>
      </c>
      <c r="D2046">
        <v>2025</v>
      </c>
      <c r="E2046" t="s">
        <v>234</v>
      </c>
      <c r="F2046">
        <v>0.1111</v>
      </c>
      <c r="G2046">
        <v>0</v>
      </c>
    </row>
    <row r="2047" spans="1:7" x14ac:dyDescent="0.25">
      <c r="A2047" t="s">
        <v>597</v>
      </c>
      <c r="B2047" t="str">
        <f>_xlfn.XLOOKUP(A2047,[1]Municipios!$B:$B,[1]Municipios!$C:$C)</f>
        <v>Noroeste</v>
      </c>
      <c r="C2047" t="str">
        <f>_xlfn.XLOOKUP(A2047,[1]Municipios!$B:$B,[1]Municipios!$D:$D)</f>
        <v>Costa Noroeste</v>
      </c>
      <c r="D2047">
        <v>2025</v>
      </c>
      <c r="E2047" t="s">
        <v>235</v>
      </c>
      <c r="F2047">
        <v>0.1429</v>
      </c>
      <c r="G2047">
        <v>0</v>
      </c>
    </row>
    <row r="2048" spans="1:7" x14ac:dyDescent="0.25">
      <c r="A2048" t="s">
        <v>597</v>
      </c>
      <c r="B2048" t="str">
        <f>_xlfn.XLOOKUP(A2048,[1]Municipios!$B:$B,[1]Municipios!$C:$C)</f>
        <v>Noroeste</v>
      </c>
      <c r="C2048" t="str">
        <f>_xlfn.XLOOKUP(A2048,[1]Municipios!$B:$B,[1]Municipios!$D:$D)</f>
        <v>Costa Noroeste</v>
      </c>
      <c r="D2048">
        <v>2025</v>
      </c>
      <c r="E2048" t="s">
        <v>236</v>
      </c>
      <c r="F2048">
        <v>0</v>
      </c>
      <c r="G2048">
        <v>0</v>
      </c>
    </row>
    <row r="2049" spans="1:7" x14ac:dyDescent="0.25">
      <c r="A2049" t="s">
        <v>597</v>
      </c>
      <c r="B2049" t="str">
        <f>_xlfn.XLOOKUP(A2049,[1]Municipios!$B:$B,[1]Municipios!$C:$C)</f>
        <v>Noroeste</v>
      </c>
      <c r="C2049" t="str">
        <f>_xlfn.XLOOKUP(A2049,[1]Municipios!$B:$B,[1]Municipios!$D:$D)</f>
        <v>Costa Noroeste</v>
      </c>
      <c r="D2049">
        <v>2025</v>
      </c>
      <c r="E2049" t="s">
        <v>237</v>
      </c>
      <c r="F2049">
        <v>0</v>
      </c>
      <c r="G2049">
        <v>0</v>
      </c>
    </row>
    <row r="2050" spans="1:7" x14ac:dyDescent="0.25">
      <c r="A2050" t="s">
        <v>412</v>
      </c>
      <c r="B2050" t="str">
        <f>_xlfn.XLOOKUP(A2050,[1]Municipios!$B:$B,[1]Municipios!$C:$C)</f>
        <v>Noroeste</v>
      </c>
      <c r="C2050" t="str">
        <f>_xlfn.XLOOKUP(A2050,[1]Municipios!$B:$B,[1]Municipios!$D:$D)</f>
        <v>Costa Noroeste</v>
      </c>
      <c r="D2050">
        <v>2025</v>
      </c>
      <c r="E2050" t="s">
        <v>231</v>
      </c>
      <c r="F2050">
        <v>0.88890000000000002</v>
      </c>
      <c r="G2050">
        <v>83.77</v>
      </c>
    </row>
    <row r="2051" spans="1:7" x14ac:dyDescent="0.25">
      <c r="A2051" t="s">
        <v>412</v>
      </c>
      <c r="B2051" t="str">
        <f>_xlfn.XLOOKUP(A2051,[1]Municipios!$B:$B,[1]Municipios!$C:$C)</f>
        <v>Noroeste</v>
      </c>
      <c r="C2051" t="str">
        <f>_xlfn.XLOOKUP(A2051,[1]Municipios!$B:$B,[1]Municipios!$D:$D)</f>
        <v>Costa Noroeste</v>
      </c>
      <c r="D2051">
        <v>2025</v>
      </c>
      <c r="E2051" t="s">
        <v>232</v>
      </c>
      <c r="F2051">
        <v>0.76929999999999998</v>
      </c>
      <c r="G2051">
        <v>83.77</v>
      </c>
    </row>
    <row r="2052" spans="1:7" x14ac:dyDescent="0.25">
      <c r="A2052" t="s">
        <v>412</v>
      </c>
      <c r="B2052" t="str">
        <f>_xlfn.XLOOKUP(A2052,[1]Municipios!$B:$B,[1]Municipios!$C:$C)</f>
        <v>Noroeste</v>
      </c>
      <c r="C2052" t="str">
        <f>_xlfn.XLOOKUP(A2052,[1]Municipios!$B:$B,[1]Municipios!$D:$D)</f>
        <v>Costa Noroeste</v>
      </c>
      <c r="D2052">
        <v>2025</v>
      </c>
      <c r="E2052" t="s">
        <v>233</v>
      </c>
      <c r="F2052">
        <v>1</v>
      </c>
      <c r="G2052">
        <v>83.77</v>
      </c>
    </row>
    <row r="2053" spans="1:7" x14ac:dyDescent="0.25">
      <c r="A2053" t="s">
        <v>412</v>
      </c>
      <c r="B2053" t="str">
        <f>_xlfn.XLOOKUP(A2053,[1]Municipios!$B:$B,[1]Municipios!$C:$C)</f>
        <v>Noroeste</v>
      </c>
      <c r="C2053" t="str">
        <f>_xlfn.XLOOKUP(A2053,[1]Municipios!$B:$B,[1]Municipios!$D:$D)</f>
        <v>Costa Noroeste</v>
      </c>
      <c r="D2053">
        <v>2025</v>
      </c>
      <c r="E2053" t="s">
        <v>215</v>
      </c>
      <c r="F2053">
        <v>1</v>
      </c>
      <c r="G2053">
        <v>83.77</v>
      </c>
    </row>
    <row r="2054" spans="1:7" x14ac:dyDescent="0.25">
      <c r="A2054" t="s">
        <v>412</v>
      </c>
      <c r="B2054" t="str">
        <f>_xlfn.XLOOKUP(A2054,[1]Municipios!$B:$B,[1]Municipios!$C:$C)</f>
        <v>Noroeste</v>
      </c>
      <c r="C2054" t="str">
        <f>_xlfn.XLOOKUP(A2054,[1]Municipios!$B:$B,[1]Municipios!$D:$D)</f>
        <v>Costa Noroeste</v>
      </c>
      <c r="D2054">
        <v>2025</v>
      </c>
      <c r="E2054" t="s">
        <v>234</v>
      </c>
      <c r="F2054">
        <v>0.66669999999999996</v>
      </c>
      <c r="G2054">
        <v>83.77</v>
      </c>
    </row>
    <row r="2055" spans="1:7" x14ac:dyDescent="0.25">
      <c r="A2055" t="s">
        <v>412</v>
      </c>
      <c r="B2055" t="str">
        <f>_xlfn.XLOOKUP(A2055,[1]Municipios!$B:$B,[1]Municipios!$C:$C)</f>
        <v>Noroeste</v>
      </c>
      <c r="C2055" t="str">
        <f>_xlfn.XLOOKUP(A2055,[1]Municipios!$B:$B,[1]Municipios!$D:$D)</f>
        <v>Costa Noroeste</v>
      </c>
      <c r="D2055">
        <v>2025</v>
      </c>
      <c r="E2055" t="s">
        <v>235</v>
      </c>
      <c r="F2055">
        <v>1</v>
      </c>
      <c r="G2055">
        <v>83.77</v>
      </c>
    </row>
    <row r="2056" spans="1:7" x14ac:dyDescent="0.25">
      <c r="A2056" t="s">
        <v>412</v>
      </c>
      <c r="B2056" t="str">
        <f>_xlfn.XLOOKUP(A2056,[1]Municipios!$B:$B,[1]Municipios!$C:$C)</f>
        <v>Noroeste</v>
      </c>
      <c r="C2056" t="str">
        <f>_xlfn.XLOOKUP(A2056,[1]Municipios!$B:$B,[1]Municipios!$D:$D)</f>
        <v>Costa Noroeste</v>
      </c>
      <c r="D2056">
        <v>2025</v>
      </c>
      <c r="E2056" t="s">
        <v>236</v>
      </c>
      <c r="F2056">
        <v>0.53849999999999987</v>
      </c>
      <c r="G2056">
        <v>83.77</v>
      </c>
    </row>
    <row r="2057" spans="1:7" x14ac:dyDescent="0.25">
      <c r="A2057" t="s">
        <v>412</v>
      </c>
      <c r="B2057" t="str">
        <f>_xlfn.XLOOKUP(A2057,[1]Municipios!$B:$B,[1]Municipios!$C:$C)</f>
        <v>Noroeste</v>
      </c>
      <c r="C2057" t="str">
        <f>_xlfn.XLOOKUP(A2057,[1]Municipios!$B:$B,[1]Municipios!$D:$D)</f>
        <v>Costa Noroeste</v>
      </c>
      <c r="D2057">
        <v>2025</v>
      </c>
      <c r="E2057" t="s">
        <v>237</v>
      </c>
      <c r="F2057">
        <v>1</v>
      </c>
      <c r="G2057">
        <v>83.77</v>
      </c>
    </row>
    <row r="2058" spans="1:7" x14ac:dyDescent="0.25">
      <c r="A2058" t="s">
        <v>458</v>
      </c>
      <c r="B2058" t="str">
        <f>_xlfn.XLOOKUP(A2058,[1]Municipios!$B:$B,[1]Municipios!$C:$C)</f>
        <v>Oeste</v>
      </c>
      <c r="C2058" t="str">
        <f>_xlfn.XLOOKUP(A2058,[1]Municipios!$B:$B,[1]Municipios!$D:$D)</f>
        <v>Oeste Integrado</v>
      </c>
      <c r="D2058">
        <v>2025</v>
      </c>
      <c r="E2058" t="s">
        <v>231</v>
      </c>
      <c r="F2058">
        <v>0.77779999999999994</v>
      </c>
      <c r="G2058">
        <v>82.26</v>
      </c>
    </row>
    <row r="2059" spans="1:7" x14ac:dyDescent="0.25">
      <c r="A2059" t="s">
        <v>458</v>
      </c>
      <c r="B2059" t="str">
        <f>_xlfn.XLOOKUP(A2059,[1]Municipios!$B:$B,[1]Municipios!$C:$C)</f>
        <v>Oeste</v>
      </c>
      <c r="C2059" t="str">
        <f>_xlfn.XLOOKUP(A2059,[1]Municipios!$B:$B,[1]Municipios!$D:$D)</f>
        <v>Oeste Integrado</v>
      </c>
      <c r="D2059">
        <v>2025</v>
      </c>
      <c r="E2059" t="s">
        <v>232</v>
      </c>
      <c r="F2059">
        <v>0.92310000000000003</v>
      </c>
      <c r="G2059">
        <v>82.26</v>
      </c>
    </row>
    <row r="2060" spans="1:7" x14ac:dyDescent="0.25">
      <c r="A2060" t="s">
        <v>458</v>
      </c>
      <c r="B2060" t="str">
        <f>_xlfn.XLOOKUP(A2060,[1]Municipios!$B:$B,[1]Municipios!$C:$C)</f>
        <v>Oeste</v>
      </c>
      <c r="C2060" t="str">
        <f>_xlfn.XLOOKUP(A2060,[1]Municipios!$B:$B,[1]Municipios!$D:$D)</f>
        <v>Oeste Integrado</v>
      </c>
      <c r="D2060">
        <v>2025</v>
      </c>
      <c r="E2060" t="s">
        <v>233</v>
      </c>
      <c r="F2060">
        <v>1</v>
      </c>
      <c r="G2060">
        <v>82.26</v>
      </c>
    </row>
    <row r="2061" spans="1:7" x14ac:dyDescent="0.25">
      <c r="A2061" t="s">
        <v>458</v>
      </c>
      <c r="B2061" t="str">
        <f>_xlfn.XLOOKUP(A2061,[1]Municipios!$B:$B,[1]Municipios!$C:$C)</f>
        <v>Oeste</v>
      </c>
      <c r="C2061" t="str">
        <f>_xlfn.XLOOKUP(A2061,[1]Municipios!$B:$B,[1]Municipios!$D:$D)</f>
        <v>Oeste Integrado</v>
      </c>
      <c r="D2061">
        <v>2025</v>
      </c>
      <c r="E2061" t="s">
        <v>215</v>
      </c>
      <c r="F2061">
        <v>0.85</v>
      </c>
      <c r="G2061">
        <v>82.26</v>
      </c>
    </row>
    <row r="2062" spans="1:7" x14ac:dyDescent="0.25">
      <c r="A2062" t="s">
        <v>458</v>
      </c>
      <c r="B2062" t="str">
        <f>_xlfn.XLOOKUP(A2062,[1]Municipios!$B:$B,[1]Municipios!$C:$C)</f>
        <v>Oeste</v>
      </c>
      <c r="C2062" t="str">
        <f>_xlfn.XLOOKUP(A2062,[1]Municipios!$B:$B,[1]Municipios!$D:$D)</f>
        <v>Oeste Integrado</v>
      </c>
      <c r="D2062">
        <v>2025</v>
      </c>
      <c r="E2062" t="s">
        <v>234</v>
      </c>
      <c r="F2062">
        <v>0.88880000000000003</v>
      </c>
      <c r="G2062">
        <v>82.26</v>
      </c>
    </row>
    <row r="2063" spans="1:7" x14ac:dyDescent="0.25">
      <c r="A2063" t="s">
        <v>458</v>
      </c>
      <c r="B2063" t="str">
        <f>_xlfn.XLOOKUP(A2063,[1]Municipios!$B:$B,[1]Municipios!$C:$C)</f>
        <v>Oeste</v>
      </c>
      <c r="C2063" t="str">
        <f>_xlfn.XLOOKUP(A2063,[1]Municipios!$B:$B,[1]Municipios!$D:$D)</f>
        <v>Oeste Integrado</v>
      </c>
      <c r="D2063">
        <v>2025</v>
      </c>
      <c r="E2063" t="s">
        <v>235</v>
      </c>
      <c r="F2063">
        <v>1</v>
      </c>
      <c r="G2063">
        <v>82.26</v>
      </c>
    </row>
    <row r="2064" spans="1:7" x14ac:dyDescent="0.25">
      <c r="A2064" t="s">
        <v>458</v>
      </c>
      <c r="B2064" t="str">
        <f>_xlfn.XLOOKUP(A2064,[1]Municipios!$B:$B,[1]Municipios!$C:$C)</f>
        <v>Oeste</v>
      </c>
      <c r="C2064" t="str">
        <f>_xlfn.XLOOKUP(A2064,[1]Municipios!$B:$B,[1]Municipios!$D:$D)</f>
        <v>Oeste Integrado</v>
      </c>
      <c r="D2064">
        <v>2025</v>
      </c>
      <c r="E2064" t="s">
        <v>236</v>
      </c>
      <c r="F2064">
        <v>0.154</v>
      </c>
      <c r="G2064">
        <v>82.26</v>
      </c>
    </row>
    <row r="2065" spans="1:7" x14ac:dyDescent="0.25">
      <c r="A2065" t="s">
        <v>458</v>
      </c>
      <c r="B2065" t="str">
        <f>_xlfn.XLOOKUP(A2065,[1]Municipios!$B:$B,[1]Municipios!$C:$C)</f>
        <v>Oeste</v>
      </c>
      <c r="C2065" t="str">
        <f>_xlfn.XLOOKUP(A2065,[1]Municipios!$B:$B,[1]Municipios!$D:$D)</f>
        <v>Oeste Integrado</v>
      </c>
      <c r="D2065">
        <v>2025</v>
      </c>
      <c r="E2065" t="s">
        <v>237</v>
      </c>
      <c r="F2065">
        <v>1</v>
      </c>
      <c r="G2065">
        <v>82.26</v>
      </c>
    </row>
    <row r="2066" spans="1:7" x14ac:dyDescent="0.25">
      <c r="A2066" t="s">
        <v>261</v>
      </c>
      <c r="B2066" t="str">
        <f>_xlfn.XLOOKUP(A2066,[1]Municipios!$B:$B,[1]Municipios!$C:$C)</f>
        <v>Sul</v>
      </c>
      <c r="C2066" t="str">
        <f>_xlfn.XLOOKUP(A2066,[1]Municipios!$B:$B,[1]Municipios!$D:$D)</f>
        <v>Sudoeste Pioneiro</v>
      </c>
      <c r="D2066">
        <v>2025</v>
      </c>
      <c r="E2066" t="s">
        <v>231</v>
      </c>
      <c r="F2066">
        <v>0.88890000000000002</v>
      </c>
      <c r="G2066">
        <v>88.86</v>
      </c>
    </row>
    <row r="2067" spans="1:7" x14ac:dyDescent="0.25">
      <c r="A2067" t="s">
        <v>261</v>
      </c>
      <c r="B2067" t="str">
        <f>_xlfn.XLOOKUP(A2067,[1]Municipios!$B:$B,[1]Municipios!$C:$C)</f>
        <v>Sul</v>
      </c>
      <c r="C2067" t="str">
        <f>_xlfn.XLOOKUP(A2067,[1]Municipios!$B:$B,[1]Municipios!$D:$D)</f>
        <v>Sudoeste Pioneiro</v>
      </c>
      <c r="D2067">
        <v>2025</v>
      </c>
      <c r="E2067" t="s">
        <v>232</v>
      </c>
      <c r="F2067">
        <v>0.92310000000000003</v>
      </c>
      <c r="G2067">
        <v>88.86</v>
      </c>
    </row>
    <row r="2068" spans="1:7" x14ac:dyDescent="0.25">
      <c r="A2068" t="s">
        <v>261</v>
      </c>
      <c r="B2068" t="str">
        <f>_xlfn.XLOOKUP(A2068,[1]Municipios!$B:$B,[1]Municipios!$C:$C)</f>
        <v>Sul</v>
      </c>
      <c r="C2068" t="str">
        <f>_xlfn.XLOOKUP(A2068,[1]Municipios!$B:$B,[1]Municipios!$D:$D)</f>
        <v>Sudoeste Pioneiro</v>
      </c>
      <c r="D2068">
        <v>2025</v>
      </c>
      <c r="E2068" t="s">
        <v>233</v>
      </c>
      <c r="F2068">
        <v>1</v>
      </c>
      <c r="G2068">
        <v>88.86</v>
      </c>
    </row>
    <row r="2069" spans="1:7" x14ac:dyDescent="0.25">
      <c r="A2069" t="s">
        <v>261</v>
      </c>
      <c r="B2069" t="str">
        <f>_xlfn.XLOOKUP(A2069,[1]Municipios!$B:$B,[1]Municipios!$C:$C)</f>
        <v>Sul</v>
      </c>
      <c r="C2069" t="str">
        <f>_xlfn.XLOOKUP(A2069,[1]Municipios!$B:$B,[1]Municipios!$D:$D)</f>
        <v>Sudoeste Pioneiro</v>
      </c>
      <c r="D2069">
        <v>2025</v>
      </c>
      <c r="E2069" t="s">
        <v>215</v>
      </c>
      <c r="F2069">
        <v>0.6</v>
      </c>
      <c r="G2069">
        <v>88.86</v>
      </c>
    </row>
    <row r="2070" spans="1:7" x14ac:dyDescent="0.25">
      <c r="A2070" t="s">
        <v>261</v>
      </c>
      <c r="B2070" t="str">
        <f>_xlfn.XLOOKUP(A2070,[1]Municipios!$B:$B,[1]Municipios!$C:$C)</f>
        <v>Sul</v>
      </c>
      <c r="C2070" t="str">
        <f>_xlfn.XLOOKUP(A2070,[1]Municipios!$B:$B,[1]Municipios!$D:$D)</f>
        <v>Sudoeste Pioneiro</v>
      </c>
      <c r="D2070">
        <v>2025</v>
      </c>
      <c r="E2070" t="s">
        <v>234</v>
      </c>
      <c r="F2070">
        <v>0.77780000000000005</v>
      </c>
      <c r="G2070">
        <v>88.86</v>
      </c>
    </row>
    <row r="2071" spans="1:7" x14ac:dyDescent="0.25">
      <c r="A2071" t="s">
        <v>261</v>
      </c>
      <c r="B2071" t="str">
        <f>_xlfn.XLOOKUP(A2071,[1]Municipios!$B:$B,[1]Municipios!$C:$C)</f>
        <v>Sul</v>
      </c>
      <c r="C2071" t="str">
        <f>_xlfn.XLOOKUP(A2071,[1]Municipios!$B:$B,[1]Municipios!$D:$D)</f>
        <v>Sudoeste Pioneiro</v>
      </c>
      <c r="D2071">
        <v>2025</v>
      </c>
      <c r="E2071" t="s">
        <v>235</v>
      </c>
      <c r="F2071">
        <v>1</v>
      </c>
      <c r="G2071">
        <v>88.86</v>
      </c>
    </row>
    <row r="2072" spans="1:7" x14ac:dyDescent="0.25">
      <c r="A2072" t="s">
        <v>261</v>
      </c>
      <c r="B2072" t="str">
        <f>_xlfn.XLOOKUP(A2072,[1]Municipios!$B:$B,[1]Municipios!$C:$C)</f>
        <v>Sul</v>
      </c>
      <c r="C2072" t="str">
        <f>_xlfn.XLOOKUP(A2072,[1]Municipios!$B:$B,[1]Municipios!$D:$D)</f>
        <v>Sudoeste Pioneiro</v>
      </c>
      <c r="D2072">
        <v>2025</v>
      </c>
      <c r="E2072" t="s">
        <v>236</v>
      </c>
      <c r="F2072">
        <v>1</v>
      </c>
      <c r="G2072">
        <v>88.86</v>
      </c>
    </row>
    <row r="2073" spans="1:7" x14ac:dyDescent="0.25">
      <c r="A2073" t="s">
        <v>261</v>
      </c>
      <c r="B2073" t="str">
        <f>_xlfn.XLOOKUP(A2073,[1]Municipios!$B:$B,[1]Municipios!$C:$C)</f>
        <v>Sul</v>
      </c>
      <c r="C2073" t="str">
        <f>_xlfn.XLOOKUP(A2073,[1]Municipios!$B:$B,[1]Municipios!$D:$D)</f>
        <v>Sudoeste Pioneiro</v>
      </c>
      <c r="D2073">
        <v>2025</v>
      </c>
      <c r="E2073" t="s">
        <v>237</v>
      </c>
      <c r="F2073">
        <v>1</v>
      </c>
      <c r="G2073">
        <v>88.86</v>
      </c>
    </row>
    <row r="2074" spans="1:7" x14ac:dyDescent="0.25">
      <c r="A2074" t="s">
        <v>296</v>
      </c>
      <c r="B2074" t="str">
        <f>_xlfn.XLOOKUP(A2074,[1]Municipios!$B:$B,[1]Municipios!$C:$C)</f>
        <v>Sul</v>
      </c>
      <c r="C2074" t="str">
        <f>_xlfn.XLOOKUP(A2074,[1]Municipios!$B:$B,[1]Municipios!$D:$D)</f>
        <v>Sul do Paraná</v>
      </c>
      <c r="D2074">
        <v>2025</v>
      </c>
      <c r="E2074" t="s">
        <v>231</v>
      </c>
      <c r="F2074">
        <v>0.66659999999999997</v>
      </c>
      <c r="G2074">
        <v>45.91</v>
      </c>
    </row>
    <row r="2075" spans="1:7" x14ac:dyDescent="0.25">
      <c r="A2075" t="s">
        <v>296</v>
      </c>
      <c r="B2075" t="str">
        <f>_xlfn.XLOOKUP(A2075,[1]Municipios!$B:$B,[1]Municipios!$C:$C)</f>
        <v>Sul</v>
      </c>
      <c r="C2075" t="str">
        <f>_xlfn.XLOOKUP(A2075,[1]Municipios!$B:$B,[1]Municipios!$D:$D)</f>
        <v>Sul do Paraná</v>
      </c>
      <c r="D2075">
        <v>2025</v>
      </c>
      <c r="E2075" t="s">
        <v>232</v>
      </c>
      <c r="F2075">
        <v>0.69230000000000003</v>
      </c>
      <c r="G2075">
        <v>45.91</v>
      </c>
    </row>
    <row r="2076" spans="1:7" x14ac:dyDescent="0.25">
      <c r="A2076" t="s">
        <v>296</v>
      </c>
      <c r="B2076" t="str">
        <f>_xlfn.XLOOKUP(A2076,[1]Municipios!$B:$B,[1]Municipios!$C:$C)</f>
        <v>Sul</v>
      </c>
      <c r="C2076" t="str">
        <f>_xlfn.XLOOKUP(A2076,[1]Municipios!$B:$B,[1]Municipios!$D:$D)</f>
        <v>Sul do Paraná</v>
      </c>
      <c r="D2076">
        <v>2025</v>
      </c>
      <c r="E2076" t="s">
        <v>233</v>
      </c>
      <c r="F2076">
        <v>0.5</v>
      </c>
      <c r="G2076">
        <v>45.91</v>
      </c>
    </row>
    <row r="2077" spans="1:7" x14ac:dyDescent="0.25">
      <c r="A2077" t="s">
        <v>296</v>
      </c>
      <c r="B2077" t="str">
        <f>_xlfn.XLOOKUP(A2077,[1]Municipios!$B:$B,[1]Municipios!$C:$C)</f>
        <v>Sul</v>
      </c>
      <c r="C2077" t="str">
        <f>_xlfn.XLOOKUP(A2077,[1]Municipios!$B:$B,[1]Municipios!$D:$D)</f>
        <v>Sul do Paraná</v>
      </c>
      <c r="D2077">
        <v>2025</v>
      </c>
      <c r="E2077" t="s">
        <v>215</v>
      </c>
      <c r="F2077">
        <v>0.25</v>
      </c>
      <c r="G2077">
        <v>45.91</v>
      </c>
    </row>
    <row r="2078" spans="1:7" x14ac:dyDescent="0.25">
      <c r="A2078" t="s">
        <v>296</v>
      </c>
      <c r="B2078" t="str">
        <f>_xlfn.XLOOKUP(A2078,[1]Municipios!$B:$B,[1]Municipios!$C:$C)</f>
        <v>Sul</v>
      </c>
      <c r="C2078" t="str">
        <f>_xlfn.XLOOKUP(A2078,[1]Municipios!$B:$B,[1]Municipios!$D:$D)</f>
        <v>Sul do Paraná</v>
      </c>
      <c r="D2078">
        <v>2025</v>
      </c>
      <c r="E2078" t="s">
        <v>234</v>
      </c>
      <c r="F2078">
        <v>0.44440000000000002</v>
      </c>
      <c r="G2078">
        <v>45.91</v>
      </c>
    </row>
    <row r="2079" spans="1:7" x14ac:dyDescent="0.25">
      <c r="A2079" t="s">
        <v>296</v>
      </c>
      <c r="B2079" t="str">
        <f>_xlfn.XLOOKUP(A2079,[1]Municipios!$B:$B,[1]Municipios!$C:$C)</f>
        <v>Sul</v>
      </c>
      <c r="C2079" t="str">
        <f>_xlfn.XLOOKUP(A2079,[1]Municipios!$B:$B,[1]Municipios!$D:$D)</f>
        <v>Sul do Paraná</v>
      </c>
      <c r="D2079">
        <v>2025</v>
      </c>
      <c r="E2079" t="s">
        <v>235</v>
      </c>
      <c r="F2079">
        <v>0.85710000000000008</v>
      </c>
      <c r="G2079">
        <v>45.91</v>
      </c>
    </row>
    <row r="2080" spans="1:7" x14ac:dyDescent="0.25">
      <c r="A2080" t="s">
        <v>296</v>
      </c>
      <c r="B2080" t="str">
        <f>_xlfn.XLOOKUP(A2080,[1]Municipios!$B:$B,[1]Municipios!$C:$C)</f>
        <v>Sul</v>
      </c>
      <c r="C2080" t="str">
        <f>_xlfn.XLOOKUP(A2080,[1]Municipios!$B:$B,[1]Municipios!$D:$D)</f>
        <v>Sul do Paraná</v>
      </c>
      <c r="D2080">
        <v>2025</v>
      </c>
      <c r="E2080" t="s">
        <v>236</v>
      </c>
      <c r="F2080">
        <v>7.6999999999999999E-2</v>
      </c>
      <c r="G2080">
        <v>45.91</v>
      </c>
    </row>
    <row r="2081" spans="1:7" x14ac:dyDescent="0.25">
      <c r="A2081" t="s">
        <v>296</v>
      </c>
      <c r="B2081" t="str">
        <f>_xlfn.XLOOKUP(A2081,[1]Municipios!$B:$B,[1]Municipios!$C:$C)</f>
        <v>Sul</v>
      </c>
      <c r="C2081" t="str">
        <f>_xlfn.XLOOKUP(A2081,[1]Municipios!$B:$B,[1]Municipios!$D:$D)</f>
        <v>Sul do Paraná</v>
      </c>
      <c r="D2081">
        <v>2025</v>
      </c>
      <c r="E2081" t="s">
        <v>237</v>
      </c>
      <c r="F2081">
        <v>0</v>
      </c>
      <c r="G2081">
        <v>45.91</v>
      </c>
    </row>
    <row r="2082" spans="1:7" x14ac:dyDescent="0.25">
      <c r="A2082" t="s">
        <v>297</v>
      </c>
      <c r="B2082" t="str">
        <f>_xlfn.XLOOKUP(A2082,[1]Municipios!$B:$B,[1]Municipios!$C:$C)</f>
        <v>Sul</v>
      </c>
      <c r="C2082" t="str">
        <f>_xlfn.XLOOKUP(A2082,[1]Municipios!$B:$B,[1]Municipios!$D:$D)</f>
        <v>Sul do Paraná</v>
      </c>
      <c r="D2082">
        <v>2025</v>
      </c>
      <c r="E2082" t="s">
        <v>231</v>
      </c>
      <c r="F2082">
        <v>0.44439999999999996</v>
      </c>
      <c r="G2082">
        <v>56.05</v>
      </c>
    </row>
    <row r="2083" spans="1:7" x14ac:dyDescent="0.25">
      <c r="A2083" t="s">
        <v>297</v>
      </c>
      <c r="B2083" t="str">
        <f>_xlfn.XLOOKUP(A2083,[1]Municipios!$B:$B,[1]Municipios!$C:$C)</f>
        <v>Sul</v>
      </c>
      <c r="C2083" t="str">
        <f>_xlfn.XLOOKUP(A2083,[1]Municipios!$B:$B,[1]Municipios!$D:$D)</f>
        <v>Sul do Paraná</v>
      </c>
      <c r="D2083">
        <v>2025</v>
      </c>
      <c r="E2083" t="s">
        <v>232</v>
      </c>
      <c r="F2083">
        <v>0.69230000000000003</v>
      </c>
      <c r="G2083">
        <v>56.05</v>
      </c>
    </row>
    <row r="2084" spans="1:7" x14ac:dyDescent="0.25">
      <c r="A2084" t="s">
        <v>297</v>
      </c>
      <c r="B2084" t="str">
        <f>_xlfn.XLOOKUP(A2084,[1]Municipios!$B:$B,[1]Municipios!$C:$C)</f>
        <v>Sul</v>
      </c>
      <c r="C2084" t="str">
        <f>_xlfn.XLOOKUP(A2084,[1]Municipios!$B:$B,[1]Municipios!$D:$D)</f>
        <v>Sul do Paraná</v>
      </c>
      <c r="D2084">
        <v>2025</v>
      </c>
      <c r="E2084" t="s">
        <v>233</v>
      </c>
      <c r="F2084">
        <v>0.375</v>
      </c>
      <c r="G2084">
        <v>56.05</v>
      </c>
    </row>
    <row r="2085" spans="1:7" x14ac:dyDescent="0.25">
      <c r="A2085" t="s">
        <v>297</v>
      </c>
      <c r="B2085" t="str">
        <f>_xlfn.XLOOKUP(A2085,[1]Municipios!$B:$B,[1]Municipios!$C:$C)</f>
        <v>Sul</v>
      </c>
      <c r="C2085" t="str">
        <f>_xlfn.XLOOKUP(A2085,[1]Municipios!$B:$B,[1]Municipios!$D:$D)</f>
        <v>Sul do Paraná</v>
      </c>
      <c r="D2085">
        <v>2025</v>
      </c>
      <c r="E2085" t="s">
        <v>215</v>
      </c>
      <c r="F2085">
        <v>0.75</v>
      </c>
      <c r="G2085">
        <v>56.05</v>
      </c>
    </row>
    <row r="2086" spans="1:7" x14ac:dyDescent="0.25">
      <c r="A2086" t="s">
        <v>297</v>
      </c>
      <c r="B2086" t="str">
        <f>_xlfn.XLOOKUP(A2086,[1]Municipios!$B:$B,[1]Municipios!$C:$C)</f>
        <v>Sul</v>
      </c>
      <c r="C2086" t="str">
        <f>_xlfn.XLOOKUP(A2086,[1]Municipios!$B:$B,[1]Municipios!$D:$D)</f>
        <v>Sul do Paraná</v>
      </c>
      <c r="D2086">
        <v>2025</v>
      </c>
      <c r="E2086" t="s">
        <v>234</v>
      </c>
      <c r="F2086">
        <v>0.66659999999999997</v>
      </c>
      <c r="G2086">
        <v>56.05</v>
      </c>
    </row>
    <row r="2087" spans="1:7" x14ac:dyDescent="0.25">
      <c r="A2087" t="s">
        <v>297</v>
      </c>
      <c r="B2087" t="str">
        <f>_xlfn.XLOOKUP(A2087,[1]Municipios!$B:$B,[1]Municipios!$C:$C)</f>
        <v>Sul</v>
      </c>
      <c r="C2087" t="str">
        <f>_xlfn.XLOOKUP(A2087,[1]Municipios!$B:$B,[1]Municipios!$D:$D)</f>
        <v>Sul do Paraná</v>
      </c>
      <c r="D2087">
        <v>2025</v>
      </c>
      <c r="E2087" t="s">
        <v>235</v>
      </c>
      <c r="F2087">
        <v>0.42859999999999998</v>
      </c>
      <c r="G2087">
        <v>56.05</v>
      </c>
    </row>
    <row r="2088" spans="1:7" x14ac:dyDescent="0.25">
      <c r="A2088" t="s">
        <v>297</v>
      </c>
      <c r="B2088" t="str">
        <f>_xlfn.XLOOKUP(A2088,[1]Municipios!$B:$B,[1]Municipios!$C:$C)</f>
        <v>Sul</v>
      </c>
      <c r="C2088" t="str">
        <f>_xlfn.XLOOKUP(A2088,[1]Municipios!$B:$B,[1]Municipios!$D:$D)</f>
        <v>Sul do Paraná</v>
      </c>
      <c r="D2088">
        <v>2025</v>
      </c>
      <c r="E2088" t="s">
        <v>236</v>
      </c>
      <c r="F2088">
        <v>0</v>
      </c>
      <c r="G2088">
        <v>56.05</v>
      </c>
    </row>
    <row r="2089" spans="1:7" x14ac:dyDescent="0.25">
      <c r="A2089" t="s">
        <v>297</v>
      </c>
      <c r="B2089" t="str">
        <f>_xlfn.XLOOKUP(A2089,[1]Municipios!$B:$B,[1]Municipios!$C:$C)</f>
        <v>Sul</v>
      </c>
      <c r="C2089" t="str">
        <f>_xlfn.XLOOKUP(A2089,[1]Municipios!$B:$B,[1]Municipios!$D:$D)</f>
        <v>Sul do Paraná</v>
      </c>
      <c r="D2089">
        <v>2025</v>
      </c>
      <c r="E2089" t="s">
        <v>237</v>
      </c>
      <c r="F2089">
        <v>1</v>
      </c>
      <c r="G2089">
        <v>56.05</v>
      </c>
    </row>
    <row r="2090" spans="1:7" x14ac:dyDescent="0.25">
      <c r="A2090" t="s">
        <v>598</v>
      </c>
      <c r="B2090" t="str">
        <f>_xlfn.XLOOKUP(A2090,[1]Municipios!$B:$B,[1]Municipios!$C:$C)</f>
        <v>Noroeste</v>
      </c>
      <c r="C2090" t="str">
        <f>_xlfn.XLOOKUP(A2090,[1]Municipios!$B:$B,[1]Municipios!$D:$D)</f>
        <v>Centro Ocidental</v>
      </c>
      <c r="D2090">
        <v>2025</v>
      </c>
      <c r="E2090" t="s">
        <v>231</v>
      </c>
      <c r="F2090">
        <v>0.66659999999999997</v>
      </c>
      <c r="G2090">
        <v>51.01</v>
      </c>
    </row>
    <row r="2091" spans="1:7" x14ac:dyDescent="0.25">
      <c r="A2091" t="s">
        <v>598</v>
      </c>
      <c r="B2091" t="str">
        <f>_xlfn.XLOOKUP(A2091,[1]Municipios!$B:$B,[1]Municipios!$C:$C)</f>
        <v>Noroeste</v>
      </c>
      <c r="C2091" t="str">
        <f>_xlfn.XLOOKUP(A2091,[1]Municipios!$B:$B,[1]Municipios!$D:$D)</f>
        <v>Centro Ocidental</v>
      </c>
      <c r="D2091">
        <v>2025</v>
      </c>
      <c r="E2091" t="s">
        <v>232</v>
      </c>
      <c r="F2091">
        <v>0.76919999999999999</v>
      </c>
      <c r="G2091">
        <v>51.01</v>
      </c>
    </row>
    <row r="2092" spans="1:7" x14ac:dyDescent="0.25">
      <c r="A2092" t="s">
        <v>598</v>
      </c>
      <c r="B2092" t="str">
        <f>_xlfn.XLOOKUP(A2092,[1]Municipios!$B:$B,[1]Municipios!$C:$C)</f>
        <v>Noroeste</v>
      </c>
      <c r="C2092" t="str">
        <f>_xlfn.XLOOKUP(A2092,[1]Municipios!$B:$B,[1]Municipios!$D:$D)</f>
        <v>Centro Ocidental</v>
      </c>
      <c r="D2092">
        <v>2025</v>
      </c>
      <c r="E2092" t="s">
        <v>233</v>
      </c>
      <c r="F2092">
        <v>0.875</v>
      </c>
      <c r="G2092">
        <v>51.01</v>
      </c>
    </row>
    <row r="2093" spans="1:7" x14ac:dyDescent="0.25">
      <c r="A2093" t="s">
        <v>598</v>
      </c>
      <c r="B2093" t="str">
        <f>_xlfn.XLOOKUP(A2093,[1]Municipios!$B:$B,[1]Municipios!$C:$C)</f>
        <v>Noroeste</v>
      </c>
      <c r="C2093" t="str">
        <f>_xlfn.XLOOKUP(A2093,[1]Municipios!$B:$B,[1]Municipios!$D:$D)</f>
        <v>Centro Ocidental</v>
      </c>
      <c r="D2093">
        <v>2025</v>
      </c>
      <c r="E2093" t="s">
        <v>215</v>
      </c>
      <c r="F2093">
        <v>0</v>
      </c>
      <c r="G2093">
        <v>51.01</v>
      </c>
    </row>
    <row r="2094" spans="1:7" x14ac:dyDescent="0.25">
      <c r="A2094" t="s">
        <v>598</v>
      </c>
      <c r="B2094" t="str">
        <f>_xlfn.XLOOKUP(A2094,[1]Municipios!$B:$B,[1]Municipios!$C:$C)</f>
        <v>Noroeste</v>
      </c>
      <c r="C2094" t="str">
        <f>_xlfn.XLOOKUP(A2094,[1]Municipios!$B:$B,[1]Municipios!$D:$D)</f>
        <v>Centro Ocidental</v>
      </c>
      <c r="D2094">
        <v>2025</v>
      </c>
      <c r="E2094" t="s">
        <v>234</v>
      </c>
      <c r="F2094">
        <v>0.66669999999999996</v>
      </c>
      <c r="G2094">
        <v>51.01</v>
      </c>
    </row>
    <row r="2095" spans="1:7" x14ac:dyDescent="0.25">
      <c r="A2095" t="s">
        <v>598</v>
      </c>
      <c r="B2095" t="str">
        <f>_xlfn.XLOOKUP(A2095,[1]Municipios!$B:$B,[1]Municipios!$C:$C)</f>
        <v>Noroeste</v>
      </c>
      <c r="C2095" t="str">
        <f>_xlfn.XLOOKUP(A2095,[1]Municipios!$B:$B,[1]Municipios!$D:$D)</f>
        <v>Centro Ocidental</v>
      </c>
      <c r="D2095">
        <v>2025</v>
      </c>
      <c r="E2095" t="s">
        <v>235</v>
      </c>
      <c r="F2095">
        <v>0.57140000000000002</v>
      </c>
      <c r="G2095">
        <v>51.01</v>
      </c>
    </row>
    <row r="2096" spans="1:7" x14ac:dyDescent="0.25">
      <c r="A2096" t="s">
        <v>598</v>
      </c>
      <c r="B2096" t="str">
        <f>_xlfn.XLOOKUP(A2096,[1]Municipios!$B:$B,[1]Municipios!$C:$C)</f>
        <v>Noroeste</v>
      </c>
      <c r="C2096" t="str">
        <f>_xlfn.XLOOKUP(A2096,[1]Municipios!$B:$B,[1]Municipios!$D:$D)</f>
        <v>Centro Ocidental</v>
      </c>
      <c r="D2096">
        <v>2025</v>
      </c>
      <c r="E2096" t="s">
        <v>236</v>
      </c>
      <c r="F2096">
        <v>7.690000000000001E-2</v>
      </c>
      <c r="G2096">
        <v>51.01</v>
      </c>
    </row>
    <row r="2097" spans="1:7" x14ac:dyDescent="0.25">
      <c r="A2097" t="s">
        <v>598</v>
      </c>
      <c r="B2097" t="str">
        <f>_xlfn.XLOOKUP(A2097,[1]Municipios!$B:$B,[1]Municipios!$C:$C)</f>
        <v>Noroeste</v>
      </c>
      <c r="C2097" t="str">
        <f>_xlfn.XLOOKUP(A2097,[1]Municipios!$B:$B,[1]Municipios!$D:$D)</f>
        <v>Centro Ocidental</v>
      </c>
      <c r="D2097">
        <v>2025</v>
      </c>
      <c r="E2097" t="s">
        <v>237</v>
      </c>
      <c r="F2097">
        <v>0.5</v>
      </c>
      <c r="G2097">
        <v>51.01</v>
      </c>
    </row>
    <row r="2098" spans="1:7" x14ac:dyDescent="0.25">
      <c r="A2098" t="s">
        <v>599</v>
      </c>
      <c r="B2098" t="str">
        <f>_xlfn.XLOOKUP(A2098,[1]Municipios!$B:$B,[1]Municipios!$C:$C)</f>
        <v>Noroeste</v>
      </c>
      <c r="C2098" t="str">
        <f>_xlfn.XLOOKUP(A2098,[1]Municipios!$B:$B,[1]Municipios!$D:$D)</f>
        <v>Arenito-Caiuá</v>
      </c>
      <c r="D2098">
        <v>2025</v>
      </c>
      <c r="E2098" t="s">
        <v>231</v>
      </c>
      <c r="F2098">
        <v>0.66659999999999997</v>
      </c>
      <c r="G2098">
        <v>61.76</v>
      </c>
    </row>
    <row r="2099" spans="1:7" x14ac:dyDescent="0.25">
      <c r="A2099" t="s">
        <v>599</v>
      </c>
      <c r="B2099" t="str">
        <f>_xlfn.XLOOKUP(A2099,[1]Municipios!$B:$B,[1]Municipios!$C:$C)</f>
        <v>Noroeste</v>
      </c>
      <c r="C2099" t="str">
        <f>_xlfn.XLOOKUP(A2099,[1]Municipios!$B:$B,[1]Municipios!$D:$D)</f>
        <v>Arenito-Caiuá</v>
      </c>
      <c r="D2099">
        <v>2025</v>
      </c>
      <c r="E2099" t="s">
        <v>232</v>
      </c>
      <c r="F2099">
        <v>1</v>
      </c>
      <c r="G2099">
        <v>61.76</v>
      </c>
    </row>
    <row r="2100" spans="1:7" x14ac:dyDescent="0.25">
      <c r="A2100" t="s">
        <v>599</v>
      </c>
      <c r="B2100" t="str">
        <f>_xlfn.XLOOKUP(A2100,[1]Municipios!$B:$B,[1]Municipios!$C:$C)</f>
        <v>Noroeste</v>
      </c>
      <c r="C2100" t="str">
        <f>_xlfn.XLOOKUP(A2100,[1]Municipios!$B:$B,[1]Municipios!$D:$D)</f>
        <v>Arenito-Caiuá</v>
      </c>
      <c r="D2100">
        <v>2025</v>
      </c>
      <c r="E2100" t="s">
        <v>233</v>
      </c>
      <c r="F2100">
        <v>0.5</v>
      </c>
      <c r="G2100">
        <v>61.76</v>
      </c>
    </row>
    <row r="2101" spans="1:7" x14ac:dyDescent="0.25">
      <c r="A2101" t="s">
        <v>599</v>
      </c>
      <c r="B2101" t="str">
        <f>_xlfn.XLOOKUP(A2101,[1]Municipios!$B:$B,[1]Municipios!$C:$C)</f>
        <v>Noroeste</v>
      </c>
      <c r="C2101" t="str">
        <f>_xlfn.XLOOKUP(A2101,[1]Municipios!$B:$B,[1]Municipios!$D:$D)</f>
        <v>Arenito-Caiuá</v>
      </c>
      <c r="D2101">
        <v>2025</v>
      </c>
      <c r="E2101" t="s">
        <v>215</v>
      </c>
      <c r="F2101">
        <v>1</v>
      </c>
      <c r="G2101">
        <v>61.76</v>
      </c>
    </row>
    <row r="2102" spans="1:7" x14ac:dyDescent="0.25">
      <c r="A2102" t="s">
        <v>599</v>
      </c>
      <c r="B2102" t="str">
        <f>_xlfn.XLOOKUP(A2102,[1]Municipios!$B:$B,[1]Municipios!$C:$C)</f>
        <v>Noroeste</v>
      </c>
      <c r="C2102" t="str">
        <f>_xlfn.XLOOKUP(A2102,[1]Municipios!$B:$B,[1]Municipios!$D:$D)</f>
        <v>Arenito-Caiuá</v>
      </c>
      <c r="D2102">
        <v>2025</v>
      </c>
      <c r="E2102" t="s">
        <v>234</v>
      </c>
      <c r="F2102">
        <v>0.66659999999999997</v>
      </c>
      <c r="G2102">
        <v>61.76</v>
      </c>
    </row>
    <row r="2103" spans="1:7" x14ac:dyDescent="0.25">
      <c r="A2103" t="s">
        <v>599</v>
      </c>
      <c r="B2103" t="str">
        <f>_xlfn.XLOOKUP(A2103,[1]Municipios!$B:$B,[1]Municipios!$C:$C)</f>
        <v>Noroeste</v>
      </c>
      <c r="C2103" t="str">
        <f>_xlfn.XLOOKUP(A2103,[1]Municipios!$B:$B,[1]Municipios!$D:$D)</f>
        <v>Arenito-Caiuá</v>
      </c>
      <c r="D2103">
        <v>2025</v>
      </c>
      <c r="E2103" t="s">
        <v>235</v>
      </c>
      <c r="F2103">
        <v>0.42849999999999999</v>
      </c>
      <c r="G2103">
        <v>61.76</v>
      </c>
    </row>
    <row r="2104" spans="1:7" x14ac:dyDescent="0.25">
      <c r="A2104" t="s">
        <v>599</v>
      </c>
      <c r="B2104" t="str">
        <f>_xlfn.XLOOKUP(A2104,[1]Municipios!$B:$B,[1]Municipios!$C:$C)</f>
        <v>Noroeste</v>
      </c>
      <c r="C2104" t="str">
        <f>_xlfn.XLOOKUP(A2104,[1]Municipios!$B:$B,[1]Municipios!$D:$D)</f>
        <v>Arenito-Caiuá</v>
      </c>
      <c r="D2104">
        <v>2025</v>
      </c>
      <c r="E2104" t="s">
        <v>236</v>
      </c>
      <c r="F2104">
        <v>0</v>
      </c>
      <c r="G2104">
        <v>61.76</v>
      </c>
    </row>
    <row r="2105" spans="1:7" x14ac:dyDescent="0.25">
      <c r="A2105" t="s">
        <v>599</v>
      </c>
      <c r="B2105" t="str">
        <f>_xlfn.XLOOKUP(A2105,[1]Municipios!$B:$B,[1]Municipios!$C:$C)</f>
        <v>Noroeste</v>
      </c>
      <c r="C2105" t="str">
        <f>_xlfn.XLOOKUP(A2105,[1]Municipios!$B:$B,[1]Municipios!$D:$D)</f>
        <v>Arenito-Caiuá</v>
      </c>
      <c r="D2105">
        <v>2025</v>
      </c>
      <c r="E2105" t="s">
        <v>237</v>
      </c>
      <c r="F2105">
        <v>0.5</v>
      </c>
      <c r="G2105">
        <v>61.76</v>
      </c>
    </row>
    <row r="2106" spans="1:7" x14ac:dyDescent="0.25">
      <c r="A2106" t="s">
        <v>308</v>
      </c>
      <c r="B2106" t="str">
        <f>_xlfn.XLOOKUP(A2106,[1]Municipios!$B:$B,[1]Municipios!$C:$C)</f>
        <v>Noroeste</v>
      </c>
      <c r="C2106" t="str">
        <f>_xlfn.XLOOKUP(A2106,[1]Municipios!$B:$B,[1]Municipios!$D:$D)</f>
        <v>Arenito-Caiuá</v>
      </c>
      <c r="D2106">
        <v>2025</v>
      </c>
      <c r="E2106" t="s">
        <v>231</v>
      </c>
      <c r="F2106">
        <v>0.88890000000000002</v>
      </c>
      <c r="G2106">
        <v>90.02</v>
      </c>
    </row>
    <row r="2107" spans="1:7" x14ac:dyDescent="0.25">
      <c r="A2107" t="s">
        <v>308</v>
      </c>
      <c r="B2107" t="str">
        <f>_xlfn.XLOOKUP(A2107,[1]Municipios!$B:$B,[1]Municipios!$C:$C)</f>
        <v>Noroeste</v>
      </c>
      <c r="C2107" t="str">
        <f>_xlfn.XLOOKUP(A2107,[1]Municipios!$B:$B,[1]Municipios!$D:$D)</f>
        <v>Arenito-Caiuá</v>
      </c>
      <c r="D2107">
        <v>2025</v>
      </c>
      <c r="E2107" t="s">
        <v>232</v>
      </c>
      <c r="F2107">
        <v>0.92310000000000003</v>
      </c>
      <c r="G2107">
        <v>90.02</v>
      </c>
    </row>
    <row r="2108" spans="1:7" x14ac:dyDescent="0.25">
      <c r="A2108" t="s">
        <v>308</v>
      </c>
      <c r="B2108" t="str">
        <f>_xlfn.XLOOKUP(A2108,[1]Municipios!$B:$B,[1]Municipios!$C:$C)</f>
        <v>Noroeste</v>
      </c>
      <c r="C2108" t="str">
        <f>_xlfn.XLOOKUP(A2108,[1]Municipios!$B:$B,[1]Municipios!$D:$D)</f>
        <v>Arenito-Caiuá</v>
      </c>
      <c r="D2108">
        <v>2025</v>
      </c>
      <c r="E2108" t="s">
        <v>233</v>
      </c>
      <c r="F2108">
        <v>0.625</v>
      </c>
      <c r="G2108">
        <v>90.02</v>
      </c>
    </row>
    <row r="2109" spans="1:7" x14ac:dyDescent="0.25">
      <c r="A2109" t="s">
        <v>308</v>
      </c>
      <c r="B2109" t="str">
        <f>_xlfn.XLOOKUP(A2109,[1]Municipios!$B:$B,[1]Municipios!$C:$C)</f>
        <v>Noroeste</v>
      </c>
      <c r="C2109" t="str">
        <f>_xlfn.XLOOKUP(A2109,[1]Municipios!$B:$B,[1]Municipios!$D:$D)</f>
        <v>Arenito-Caiuá</v>
      </c>
      <c r="D2109">
        <v>2025</v>
      </c>
      <c r="E2109" t="s">
        <v>215</v>
      </c>
      <c r="F2109">
        <v>1</v>
      </c>
      <c r="G2109">
        <v>90.02</v>
      </c>
    </row>
    <row r="2110" spans="1:7" x14ac:dyDescent="0.25">
      <c r="A2110" t="s">
        <v>308</v>
      </c>
      <c r="B2110" t="str">
        <f>_xlfn.XLOOKUP(A2110,[1]Municipios!$B:$B,[1]Municipios!$C:$C)</f>
        <v>Noroeste</v>
      </c>
      <c r="C2110" t="str">
        <f>_xlfn.XLOOKUP(A2110,[1]Municipios!$B:$B,[1]Municipios!$D:$D)</f>
        <v>Arenito-Caiuá</v>
      </c>
      <c r="D2110">
        <v>2025</v>
      </c>
      <c r="E2110" t="s">
        <v>234</v>
      </c>
      <c r="F2110">
        <v>1</v>
      </c>
      <c r="G2110">
        <v>90.02</v>
      </c>
    </row>
    <row r="2111" spans="1:7" x14ac:dyDescent="0.25">
      <c r="A2111" t="s">
        <v>308</v>
      </c>
      <c r="B2111" t="str">
        <f>_xlfn.XLOOKUP(A2111,[1]Municipios!$B:$B,[1]Municipios!$C:$C)</f>
        <v>Noroeste</v>
      </c>
      <c r="C2111" t="str">
        <f>_xlfn.XLOOKUP(A2111,[1]Municipios!$B:$B,[1]Municipios!$D:$D)</f>
        <v>Arenito-Caiuá</v>
      </c>
      <c r="D2111">
        <v>2025</v>
      </c>
      <c r="E2111" t="s">
        <v>235</v>
      </c>
      <c r="F2111">
        <v>1</v>
      </c>
      <c r="G2111">
        <v>90.02</v>
      </c>
    </row>
    <row r="2112" spans="1:7" x14ac:dyDescent="0.25">
      <c r="A2112" t="s">
        <v>308</v>
      </c>
      <c r="B2112" t="str">
        <f>_xlfn.XLOOKUP(A2112,[1]Municipios!$B:$B,[1]Municipios!$C:$C)</f>
        <v>Noroeste</v>
      </c>
      <c r="C2112" t="str">
        <f>_xlfn.XLOOKUP(A2112,[1]Municipios!$B:$B,[1]Municipios!$D:$D)</f>
        <v>Arenito-Caiuá</v>
      </c>
      <c r="D2112">
        <v>2025</v>
      </c>
      <c r="E2112" t="s">
        <v>236</v>
      </c>
      <c r="F2112">
        <v>0.53859999999999997</v>
      </c>
      <c r="G2112">
        <v>90.02</v>
      </c>
    </row>
    <row r="2113" spans="1:7" x14ac:dyDescent="0.25">
      <c r="A2113" t="s">
        <v>308</v>
      </c>
      <c r="B2113" t="str">
        <f>_xlfn.XLOOKUP(A2113,[1]Municipios!$B:$B,[1]Municipios!$C:$C)</f>
        <v>Noroeste</v>
      </c>
      <c r="C2113" t="str">
        <f>_xlfn.XLOOKUP(A2113,[1]Municipios!$B:$B,[1]Municipios!$D:$D)</f>
        <v>Arenito-Caiuá</v>
      </c>
      <c r="D2113">
        <v>2025</v>
      </c>
      <c r="E2113" t="s">
        <v>237</v>
      </c>
      <c r="F2113">
        <v>1</v>
      </c>
      <c r="G2113">
        <v>90.02</v>
      </c>
    </row>
    <row r="2114" spans="1:7" x14ac:dyDescent="0.25">
      <c r="A2114" t="s">
        <v>388</v>
      </c>
      <c r="B2114" t="str">
        <f>_xlfn.XLOOKUP(A2114,[1]Municipios!$B:$B,[1]Municipios!$C:$C)</f>
        <v>Sul</v>
      </c>
      <c r="C2114" t="str">
        <f>_xlfn.XLOOKUP(A2114,[1]Municipios!$B:$B,[1]Municipios!$D:$D)</f>
        <v>Sudoeste La Frontera</v>
      </c>
      <c r="D2114">
        <v>2025</v>
      </c>
      <c r="E2114" t="s">
        <v>231</v>
      </c>
      <c r="F2114">
        <v>0.22229999999999991</v>
      </c>
      <c r="G2114">
        <v>38.840000000000003</v>
      </c>
    </row>
    <row r="2115" spans="1:7" x14ac:dyDescent="0.25">
      <c r="A2115" t="s">
        <v>388</v>
      </c>
      <c r="B2115" t="str">
        <f>_xlfn.XLOOKUP(A2115,[1]Municipios!$B:$B,[1]Municipios!$C:$C)</f>
        <v>Sul</v>
      </c>
      <c r="C2115" t="str">
        <f>_xlfn.XLOOKUP(A2115,[1]Municipios!$B:$B,[1]Municipios!$D:$D)</f>
        <v>Sudoeste La Frontera</v>
      </c>
      <c r="D2115">
        <v>2025</v>
      </c>
      <c r="E2115" t="s">
        <v>232</v>
      </c>
      <c r="F2115">
        <v>0.69230000000000003</v>
      </c>
      <c r="G2115">
        <v>38.840000000000003</v>
      </c>
    </row>
    <row r="2116" spans="1:7" x14ac:dyDescent="0.25">
      <c r="A2116" t="s">
        <v>388</v>
      </c>
      <c r="B2116" t="str">
        <f>_xlfn.XLOOKUP(A2116,[1]Municipios!$B:$B,[1]Municipios!$C:$C)</f>
        <v>Sul</v>
      </c>
      <c r="C2116" t="str">
        <f>_xlfn.XLOOKUP(A2116,[1]Municipios!$B:$B,[1]Municipios!$D:$D)</f>
        <v>Sudoeste La Frontera</v>
      </c>
      <c r="D2116">
        <v>2025</v>
      </c>
      <c r="E2116" t="s">
        <v>233</v>
      </c>
      <c r="F2116">
        <v>0.375</v>
      </c>
      <c r="G2116">
        <v>38.840000000000003</v>
      </c>
    </row>
    <row r="2117" spans="1:7" x14ac:dyDescent="0.25">
      <c r="A2117" t="s">
        <v>388</v>
      </c>
      <c r="B2117" t="str">
        <f>_xlfn.XLOOKUP(A2117,[1]Municipios!$B:$B,[1]Municipios!$C:$C)</f>
        <v>Sul</v>
      </c>
      <c r="C2117" t="str">
        <f>_xlfn.XLOOKUP(A2117,[1]Municipios!$B:$B,[1]Municipios!$D:$D)</f>
        <v>Sudoeste La Frontera</v>
      </c>
      <c r="D2117">
        <v>2025</v>
      </c>
      <c r="E2117" t="s">
        <v>215</v>
      </c>
      <c r="F2117">
        <v>0</v>
      </c>
      <c r="G2117">
        <v>38.840000000000003</v>
      </c>
    </row>
    <row r="2118" spans="1:7" x14ac:dyDescent="0.25">
      <c r="A2118" t="s">
        <v>388</v>
      </c>
      <c r="B2118" t="str">
        <f>_xlfn.XLOOKUP(A2118,[1]Municipios!$B:$B,[1]Municipios!$C:$C)</f>
        <v>Sul</v>
      </c>
      <c r="C2118" t="str">
        <f>_xlfn.XLOOKUP(A2118,[1]Municipios!$B:$B,[1]Municipios!$D:$D)</f>
        <v>Sudoeste La Frontera</v>
      </c>
      <c r="D2118">
        <v>2025</v>
      </c>
      <c r="E2118" t="s">
        <v>234</v>
      </c>
      <c r="F2118">
        <v>0.55549999999999999</v>
      </c>
      <c r="G2118">
        <v>38.840000000000003</v>
      </c>
    </row>
    <row r="2119" spans="1:7" x14ac:dyDescent="0.25">
      <c r="A2119" t="s">
        <v>388</v>
      </c>
      <c r="B2119" t="str">
        <f>_xlfn.XLOOKUP(A2119,[1]Municipios!$B:$B,[1]Municipios!$C:$C)</f>
        <v>Sul</v>
      </c>
      <c r="C2119" t="str">
        <f>_xlfn.XLOOKUP(A2119,[1]Municipios!$B:$B,[1]Municipios!$D:$D)</f>
        <v>Sudoeste La Frontera</v>
      </c>
      <c r="D2119">
        <v>2025</v>
      </c>
      <c r="E2119" t="s">
        <v>235</v>
      </c>
      <c r="F2119">
        <v>0.85710000000000008</v>
      </c>
      <c r="G2119">
        <v>38.840000000000003</v>
      </c>
    </row>
    <row r="2120" spans="1:7" x14ac:dyDescent="0.25">
      <c r="A2120" t="s">
        <v>388</v>
      </c>
      <c r="B2120" t="str">
        <f>_xlfn.XLOOKUP(A2120,[1]Municipios!$B:$B,[1]Municipios!$C:$C)</f>
        <v>Sul</v>
      </c>
      <c r="C2120" t="str">
        <f>_xlfn.XLOOKUP(A2120,[1]Municipios!$B:$B,[1]Municipios!$D:$D)</f>
        <v>Sudoeste La Frontera</v>
      </c>
      <c r="D2120">
        <v>2025</v>
      </c>
      <c r="E2120" t="s">
        <v>236</v>
      </c>
      <c r="F2120">
        <v>7.6999999999999999E-2</v>
      </c>
      <c r="G2120">
        <v>38.840000000000003</v>
      </c>
    </row>
    <row r="2121" spans="1:7" x14ac:dyDescent="0.25">
      <c r="A2121" t="s">
        <v>388</v>
      </c>
      <c r="B2121" t="str">
        <f>_xlfn.XLOOKUP(A2121,[1]Municipios!$B:$B,[1]Municipios!$C:$C)</f>
        <v>Sul</v>
      </c>
      <c r="C2121" t="str">
        <f>_xlfn.XLOOKUP(A2121,[1]Municipios!$B:$B,[1]Municipios!$D:$D)</f>
        <v>Sudoeste La Frontera</v>
      </c>
      <c r="D2121">
        <v>2025</v>
      </c>
      <c r="E2121" t="s">
        <v>237</v>
      </c>
      <c r="F2121">
        <v>0</v>
      </c>
      <c r="G2121">
        <v>38.840000000000003</v>
      </c>
    </row>
    <row r="2122" spans="1:7" x14ac:dyDescent="0.25">
      <c r="A2122" t="s">
        <v>495</v>
      </c>
      <c r="B2122" t="str">
        <f>_xlfn.XLOOKUP(A2122,[1]Municipios!$B:$B,[1]Municipios!$C:$C)</f>
        <v>Leste</v>
      </c>
      <c r="C2122" t="str">
        <f>_xlfn.XLOOKUP(A2122,[1]Municipios!$B:$B,[1]Municipios!$D:$D)</f>
        <v>Gralha Azul</v>
      </c>
      <c r="D2122">
        <v>2025</v>
      </c>
      <c r="E2122" t="s">
        <v>231</v>
      </c>
      <c r="F2122">
        <v>0.88890000000000002</v>
      </c>
      <c r="G2122">
        <v>65.099999999999994</v>
      </c>
    </row>
    <row r="2123" spans="1:7" x14ac:dyDescent="0.25">
      <c r="A2123" t="s">
        <v>495</v>
      </c>
      <c r="B2123" t="str">
        <f>_xlfn.XLOOKUP(A2123,[1]Municipios!$B:$B,[1]Municipios!$C:$C)</f>
        <v>Leste</v>
      </c>
      <c r="C2123" t="str">
        <f>_xlfn.XLOOKUP(A2123,[1]Municipios!$B:$B,[1]Municipios!$D:$D)</f>
        <v>Gralha Azul</v>
      </c>
      <c r="D2123">
        <v>2025</v>
      </c>
      <c r="E2123" t="s">
        <v>232</v>
      </c>
      <c r="F2123">
        <v>0.92310000000000003</v>
      </c>
      <c r="G2123">
        <v>65.099999999999994</v>
      </c>
    </row>
    <row r="2124" spans="1:7" x14ac:dyDescent="0.25">
      <c r="A2124" t="s">
        <v>495</v>
      </c>
      <c r="B2124" t="str">
        <f>_xlfn.XLOOKUP(A2124,[1]Municipios!$B:$B,[1]Municipios!$C:$C)</f>
        <v>Leste</v>
      </c>
      <c r="C2124" t="str">
        <f>_xlfn.XLOOKUP(A2124,[1]Municipios!$B:$B,[1]Municipios!$D:$D)</f>
        <v>Gralha Azul</v>
      </c>
      <c r="D2124">
        <v>2025</v>
      </c>
      <c r="E2124" t="s">
        <v>233</v>
      </c>
      <c r="F2124">
        <v>0.625</v>
      </c>
      <c r="G2124">
        <v>65.099999999999994</v>
      </c>
    </row>
    <row r="2125" spans="1:7" x14ac:dyDescent="0.25">
      <c r="A2125" t="s">
        <v>495</v>
      </c>
      <c r="B2125" t="str">
        <f>_xlfn.XLOOKUP(A2125,[1]Municipios!$B:$B,[1]Municipios!$C:$C)</f>
        <v>Leste</v>
      </c>
      <c r="C2125" t="str">
        <f>_xlfn.XLOOKUP(A2125,[1]Municipios!$B:$B,[1]Municipios!$D:$D)</f>
        <v>Gralha Azul</v>
      </c>
      <c r="D2125">
        <v>2025</v>
      </c>
      <c r="E2125" t="s">
        <v>215</v>
      </c>
      <c r="F2125">
        <v>0.35000000000000003</v>
      </c>
      <c r="G2125">
        <v>65.099999999999994</v>
      </c>
    </row>
    <row r="2126" spans="1:7" x14ac:dyDescent="0.25">
      <c r="A2126" t="s">
        <v>495</v>
      </c>
      <c r="B2126" t="str">
        <f>_xlfn.XLOOKUP(A2126,[1]Municipios!$B:$B,[1]Municipios!$C:$C)</f>
        <v>Leste</v>
      </c>
      <c r="C2126" t="str">
        <f>_xlfn.XLOOKUP(A2126,[1]Municipios!$B:$B,[1]Municipios!$D:$D)</f>
        <v>Gralha Azul</v>
      </c>
      <c r="D2126">
        <v>2025</v>
      </c>
      <c r="E2126" t="s">
        <v>234</v>
      </c>
      <c r="F2126">
        <v>0.44440000000000002</v>
      </c>
      <c r="G2126">
        <v>65.099999999999994</v>
      </c>
    </row>
    <row r="2127" spans="1:7" x14ac:dyDescent="0.25">
      <c r="A2127" t="s">
        <v>495</v>
      </c>
      <c r="B2127" t="str">
        <f>_xlfn.XLOOKUP(A2127,[1]Municipios!$B:$B,[1]Municipios!$C:$C)</f>
        <v>Leste</v>
      </c>
      <c r="C2127" t="str">
        <f>_xlfn.XLOOKUP(A2127,[1]Municipios!$B:$B,[1]Municipios!$D:$D)</f>
        <v>Gralha Azul</v>
      </c>
      <c r="D2127">
        <v>2025</v>
      </c>
      <c r="E2127" t="s">
        <v>235</v>
      </c>
      <c r="F2127">
        <v>0.85720000000000007</v>
      </c>
      <c r="G2127">
        <v>65.099999999999994</v>
      </c>
    </row>
    <row r="2128" spans="1:7" x14ac:dyDescent="0.25">
      <c r="A2128" t="s">
        <v>495</v>
      </c>
      <c r="B2128" t="str">
        <f>_xlfn.XLOOKUP(A2128,[1]Municipios!$B:$B,[1]Municipios!$C:$C)</f>
        <v>Leste</v>
      </c>
      <c r="C2128" t="str">
        <f>_xlfn.XLOOKUP(A2128,[1]Municipios!$B:$B,[1]Municipios!$D:$D)</f>
        <v>Gralha Azul</v>
      </c>
      <c r="D2128">
        <v>2025</v>
      </c>
      <c r="E2128" t="s">
        <v>236</v>
      </c>
      <c r="F2128">
        <v>7.6999999999999999E-2</v>
      </c>
      <c r="G2128">
        <v>65.099999999999994</v>
      </c>
    </row>
    <row r="2129" spans="1:7" x14ac:dyDescent="0.25">
      <c r="A2129" t="s">
        <v>495</v>
      </c>
      <c r="B2129" t="str">
        <f>_xlfn.XLOOKUP(A2129,[1]Municipios!$B:$B,[1]Municipios!$C:$C)</f>
        <v>Leste</v>
      </c>
      <c r="C2129" t="str">
        <f>_xlfn.XLOOKUP(A2129,[1]Municipios!$B:$B,[1]Municipios!$D:$D)</f>
        <v>Gralha Azul</v>
      </c>
      <c r="D2129">
        <v>2025</v>
      </c>
      <c r="E2129" t="s">
        <v>237</v>
      </c>
      <c r="F2129">
        <v>1</v>
      </c>
      <c r="G2129">
        <v>65.099999999999994</v>
      </c>
    </row>
    <row r="2130" spans="1:7" x14ac:dyDescent="0.25">
      <c r="A2130" t="s">
        <v>333</v>
      </c>
      <c r="B2130" t="str">
        <f>_xlfn.XLOOKUP(A2130,[1]Municipios!$B:$B,[1]Municipios!$C:$C)</f>
        <v>Leste</v>
      </c>
      <c r="C2130" t="str">
        <f>_xlfn.XLOOKUP(A2130,[1]Municipios!$B:$B,[1]Municipios!$D:$D)</f>
        <v>RMC</v>
      </c>
      <c r="D2130">
        <v>2025</v>
      </c>
      <c r="E2130" t="s">
        <v>231</v>
      </c>
      <c r="F2130">
        <v>0.66669999999999996</v>
      </c>
      <c r="G2130">
        <v>89.6</v>
      </c>
    </row>
    <row r="2131" spans="1:7" x14ac:dyDescent="0.25">
      <c r="A2131" t="s">
        <v>333</v>
      </c>
      <c r="B2131" t="str">
        <f>_xlfn.XLOOKUP(A2131,[1]Municipios!$B:$B,[1]Municipios!$C:$C)</f>
        <v>Leste</v>
      </c>
      <c r="C2131" t="str">
        <f>_xlfn.XLOOKUP(A2131,[1]Municipios!$B:$B,[1]Municipios!$D:$D)</f>
        <v>RMC</v>
      </c>
      <c r="D2131">
        <v>2025</v>
      </c>
      <c r="E2131" t="s">
        <v>232</v>
      </c>
      <c r="F2131">
        <v>0.92310000000000003</v>
      </c>
      <c r="G2131">
        <v>89.6</v>
      </c>
    </row>
    <row r="2132" spans="1:7" x14ac:dyDescent="0.25">
      <c r="A2132" t="s">
        <v>333</v>
      </c>
      <c r="B2132" t="str">
        <f>_xlfn.XLOOKUP(A2132,[1]Municipios!$B:$B,[1]Municipios!$C:$C)</f>
        <v>Leste</v>
      </c>
      <c r="C2132" t="str">
        <f>_xlfn.XLOOKUP(A2132,[1]Municipios!$B:$B,[1]Municipios!$D:$D)</f>
        <v>RMC</v>
      </c>
      <c r="D2132">
        <v>2025</v>
      </c>
      <c r="E2132" t="s">
        <v>233</v>
      </c>
      <c r="F2132">
        <v>1</v>
      </c>
      <c r="G2132">
        <v>89.6</v>
      </c>
    </row>
    <row r="2133" spans="1:7" x14ac:dyDescent="0.25">
      <c r="A2133" t="s">
        <v>333</v>
      </c>
      <c r="B2133" t="str">
        <f>_xlfn.XLOOKUP(A2133,[1]Municipios!$B:$B,[1]Municipios!$C:$C)</f>
        <v>Leste</v>
      </c>
      <c r="C2133" t="str">
        <f>_xlfn.XLOOKUP(A2133,[1]Municipios!$B:$B,[1]Municipios!$D:$D)</f>
        <v>RMC</v>
      </c>
      <c r="D2133">
        <v>2025</v>
      </c>
      <c r="E2133" t="s">
        <v>215</v>
      </c>
      <c r="F2133">
        <v>0.79999999999999993</v>
      </c>
      <c r="G2133">
        <v>89.6</v>
      </c>
    </row>
    <row r="2134" spans="1:7" x14ac:dyDescent="0.25">
      <c r="A2134" t="s">
        <v>333</v>
      </c>
      <c r="B2134" t="str">
        <f>_xlfn.XLOOKUP(A2134,[1]Municipios!$B:$B,[1]Municipios!$C:$C)</f>
        <v>Leste</v>
      </c>
      <c r="C2134" t="str">
        <f>_xlfn.XLOOKUP(A2134,[1]Municipios!$B:$B,[1]Municipios!$D:$D)</f>
        <v>RMC</v>
      </c>
      <c r="D2134">
        <v>2025</v>
      </c>
      <c r="E2134" t="s">
        <v>234</v>
      </c>
      <c r="F2134">
        <v>1</v>
      </c>
      <c r="G2134">
        <v>89.6</v>
      </c>
    </row>
    <row r="2135" spans="1:7" x14ac:dyDescent="0.25">
      <c r="A2135" t="s">
        <v>333</v>
      </c>
      <c r="B2135" t="str">
        <f>_xlfn.XLOOKUP(A2135,[1]Municipios!$B:$B,[1]Municipios!$C:$C)</f>
        <v>Leste</v>
      </c>
      <c r="C2135" t="str">
        <f>_xlfn.XLOOKUP(A2135,[1]Municipios!$B:$B,[1]Municipios!$D:$D)</f>
        <v>RMC</v>
      </c>
      <c r="D2135">
        <v>2025</v>
      </c>
      <c r="E2135" t="s">
        <v>235</v>
      </c>
      <c r="F2135">
        <v>1</v>
      </c>
      <c r="G2135">
        <v>89.6</v>
      </c>
    </row>
    <row r="2136" spans="1:7" x14ac:dyDescent="0.25">
      <c r="A2136" t="s">
        <v>333</v>
      </c>
      <c r="B2136" t="str">
        <f>_xlfn.XLOOKUP(A2136,[1]Municipios!$B:$B,[1]Municipios!$C:$C)</f>
        <v>Leste</v>
      </c>
      <c r="C2136" t="str">
        <f>_xlfn.XLOOKUP(A2136,[1]Municipios!$B:$B,[1]Municipios!$D:$D)</f>
        <v>RMC</v>
      </c>
      <c r="D2136">
        <v>2025</v>
      </c>
      <c r="E2136" t="s">
        <v>236</v>
      </c>
      <c r="F2136">
        <v>0.76929999999999987</v>
      </c>
      <c r="G2136">
        <v>89.6</v>
      </c>
    </row>
    <row r="2137" spans="1:7" x14ac:dyDescent="0.25">
      <c r="A2137" t="s">
        <v>333</v>
      </c>
      <c r="B2137" t="str">
        <f>_xlfn.XLOOKUP(A2137,[1]Municipios!$B:$B,[1]Municipios!$C:$C)</f>
        <v>Leste</v>
      </c>
      <c r="C2137" t="str">
        <f>_xlfn.XLOOKUP(A2137,[1]Municipios!$B:$B,[1]Municipios!$D:$D)</f>
        <v>RMC</v>
      </c>
      <c r="D2137">
        <v>2025</v>
      </c>
      <c r="E2137" t="s">
        <v>237</v>
      </c>
      <c r="F2137">
        <v>1</v>
      </c>
      <c r="G2137">
        <v>89.6</v>
      </c>
    </row>
    <row r="2138" spans="1:7" x14ac:dyDescent="0.25">
      <c r="A2138" t="s">
        <v>389</v>
      </c>
      <c r="B2138" t="str">
        <f>_xlfn.XLOOKUP(A2138,[1]Municipios!$B:$B,[1]Municipios!$C:$C)</f>
        <v>Sul</v>
      </c>
      <c r="C2138" t="str">
        <f>_xlfn.XLOOKUP(A2138,[1]Municipios!$B:$B,[1]Municipios!$D:$D)</f>
        <v>Sudoeste La Frontera</v>
      </c>
      <c r="D2138">
        <v>2025</v>
      </c>
      <c r="E2138" t="s">
        <v>231</v>
      </c>
      <c r="F2138">
        <v>0.44439999999999996</v>
      </c>
      <c r="G2138">
        <v>51.29</v>
      </c>
    </row>
    <row r="2139" spans="1:7" x14ac:dyDescent="0.25">
      <c r="A2139" t="s">
        <v>389</v>
      </c>
      <c r="B2139" t="str">
        <f>_xlfn.XLOOKUP(A2139,[1]Municipios!$B:$B,[1]Municipios!$C:$C)</f>
        <v>Sul</v>
      </c>
      <c r="C2139" t="str">
        <f>_xlfn.XLOOKUP(A2139,[1]Municipios!$B:$B,[1]Municipios!$D:$D)</f>
        <v>Sudoeste La Frontera</v>
      </c>
      <c r="D2139">
        <v>2025</v>
      </c>
      <c r="E2139" t="s">
        <v>232</v>
      </c>
      <c r="F2139">
        <v>0.69240000000000002</v>
      </c>
      <c r="G2139">
        <v>51.29</v>
      </c>
    </row>
    <row r="2140" spans="1:7" x14ac:dyDescent="0.25">
      <c r="A2140" t="s">
        <v>389</v>
      </c>
      <c r="B2140" t="str">
        <f>_xlfn.XLOOKUP(A2140,[1]Municipios!$B:$B,[1]Municipios!$C:$C)</f>
        <v>Sul</v>
      </c>
      <c r="C2140" t="str">
        <f>_xlfn.XLOOKUP(A2140,[1]Municipios!$B:$B,[1]Municipios!$D:$D)</f>
        <v>Sudoeste La Frontera</v>
      </c>
      <c r="D2140">
        <v>2025</v>
      </c>
      <c r="E2140" t="s">
        <v>233</v>
      </c>
      <c r="F2140">
        <v>0.25</v>
      </c>
      <c r="G2140">
        <v>51.29</v>
      </c>
    </row>
    <row r="2141" spans="1:7" x14ac:dyDescent="0.25">
      <c r="A2141" t="s">
        <v>389</v>
      </c>
      <c r="B2141" t="str">
        <f>_xlfn.XLOOKUP(A2141,[1]Municipios!$B:$B,[1]Municipios!$C:$C)</f>
        <v>Sul</v>
      </c>
      <c r="C2141" t="str">
        <f>_xlfn.XLOOKUP(A2141,[1]Municipios!$B:$B,[1]Municipios!$D:$D)</f>
        <v>Sudoeste La Frontera</v>
      </c>
      <c r="D2141">
        <v>2025</v>
      </c>
      <c r="E2141" t="s">
        <v>215</v>
      </c>
      <c r="F2141">
        <v>0.85</v>
      </c>
      <c r="G2141">
        <v>51.29</v>
      </c>
    </row>
    <row r="2142" spans="1:7" x14ac:dyDescent="0.25">
      <c r="A2142" t="s">
        <v>389</v>
      </c>
      <c r="B2142" t="str">
        <f>_xlfn.XLOOKUP(A2142,[1]Municipios!$B:$B,[1]Municipios!$C:$C)</f>
        <v>Sul</v>
      </c>
      <c r="C2142" t="str">
        <f>_xlfn.XLOOKUP(A2142,[1]Municipios!$B:$B,[1]Municipios!$D:$D)</f>
        <v>Sudoeste La Frontera</v>
      </c>
      <c r="D2142">
        <v>2025</v>
      </c>
      <c r="E2142" t="s">
        <v>234</v>
      </c>
      <c r="F2142">
        <v>1</v>
      </c>
      <c r="G2142">
        <v>51.29</v>
      </c>
    </row>
    <row r="2143" spans="1:7" x14ac:dyDescent="0.25">
      <c r="A2143" t="s">
        <v>389</v>
      </c>
      <c r="B2143" t="str">
        <f>_xlfn.XLOOKUP(A2143,[1]Municipios!$B:$B,[1]Municipios!$C:$C)</f>
        <v>Sul</v>
      </c>
      <c r="C2143" t="str">
        <f>_xlfn.XLOOKUP(A2143,[1]Municipios!$B:$B,[1]Municipios!$D:$D)</f>
        <v>Sudoeste La Frontera</v>
      </c>
      <c r="D2143">
        <v>2025</v>
      </c>
      <c r="E2143" t="s">
        <v>235</v>
      </c>
      <c r="F2143">
        <v>0.42859999999999998</v>
      </c>
      <c r="G2143">
        <v>51.29</v>
      </c>
    </row>
    <row r="2144" spans="1:7" x14ac:dyDescent="0.25">
      <c r="A2144" t="s">
        <v>389</v>
      </c>
      <c r="B2144" t="str">
        <f>_xlfn.XLOOKUP(A2144,[1]Municipios!$B:$B,[1]Municipios!$C:$C)</f>
        <v>Sul</v>
      </c>
      <c r="C2144" t="str">
        <f>_xlfn.XLOOKUP(A2144,[1]Municipios!$B:$B,[1]Municipios!$D:$D)</f>
        <v>Sudoeste La Frontera</v>
      </c>
      <c r="D2144">
        <v>2025</v>
      </c>
      <c r="E2144" t="s">
        <v>236</v>
      </c>
      <c r="F2144">
        <v>0</v>
      </c>
      <c r="G2144">
        <v>51.29</v>
      </c>
    </row>
    <row r="2145" spans="1:7" x14ac:dyDescent="0.25">
      <c r="A2145" t="s">
        <v>389</v>
      </c>
      <c r="B2145" t="str">
        <f>_xlfn.XLOOKUP(A2145,[1]Municipios!$B:$B,[1]Municipios!$C:$C)</f>
        <v>Sul</v>
      </c>
      <c r="C2145" t="str">
        <f>_xlfn.XLOOKUP(A2145,[1]Municipios!$B:$B,[1]Municipios!$D:$D)</f>
        <v>Sudoeste La Frontera</v>
      </c>
      <c r="D2145">
        <v>2025</v>
      </c>
      <c r="E2145" t="s">
        <v>237</v>
      </c>
      <c r="F2145">
        <v>0</v>
      </c>
      <c r="G2145">
        <v>51.29</v>
      </c>
    </row>
    <row r="2146" spans="1:7" x14ac:dyDescent="0.25">
      <c r="A2146" t="s">
        <v>351</v>
      </c>
      <c r="B2146" t="str">
        <f>_xlfn.XLOOKUP(A2146,[1]Municipios!$B:$B,[1]Municipios!$C:$C)</f>
        <v>Norte</v>
      </c>
      <c r="C2146" t="str">
        <f>_xlfn.XLOOKUP(A2146,[1]Municipios!$B:$B,[1]Municipios!$D:$D)</f>
        <v>Norte Pioneiro</v>
      </c>
      <c r="D2146">
        <v>2025</v>
      </c>
      <c r="E2146" t="s">
        <v>231</v>
      </c>
      <c r="F2146">
        <v>0.66669999999999996</v>
      </c>
      <c r="G2146">
        <v>78.72</v>
      </c>
    </row>
    <row r="2147" spans="1:7" x14ac:dyDescent="0.25">
      <c r="A2147" t="s">
        <v>351</v>
      </c>
      <c r="B2147" t="str">
        <f>_xlfn.XLOOKUP(A2147,[1]Municipios!$B:$B,[1]Municipios!$C:$C)</f>
        <v>Norte</v>
      </c>
      <c r="C2147" t="str">
        <f>_xlfn.XLOOKUP(A2147,[1]Municipios!$B:$B,[1]Municipios!$D:$D)</f>
        <v>Norte Pioneiro</v>
      </c>
      <c r="D2147">
        <v>2025</v>
      </c>
      <c r="E2147" t="s">
        <v>232</v>
      </c>
      <c r="F2147">
        <v>0.76929999999999998</v>
      </c>
      <c r="G2147">
        <v>78.72</v>
      </c>
    </row>
    <row r="2148" spans="1:7" x14ac:dyDescent="0.25">
      <c r="A2148" t="s">
        <v>351</v>
      </c>
      <c r="B2148" t="str">
        <f>_xlfn.XLOOKUP(A2148,[1]Municipios!$B:$B,[1]Municipios!$C:$C)</f>
        <v>Norte</v>
      </c>
      <c r="C2148" t="str">
        <f>_xlfn.XLOOKUP(A2148,[1]Municipios!$B:$B,[1]Municipios!$D:$D)</f>
        <v>Norte Pioneiro</v>
      </c>
      <c r="D2148">
        <v>2025</v>
      </c>
      <c r="E2148" t="s">
        <v>233</v>
      </c>
      <c r="F2148">
        <v>0.875</v>
      </c>
      <c r="G2148">
        <v>78.72</v>
      </c>
    </row>
    <row r="2149" spans="1:7" x14ac:dyDescent="0.25">
      <c r="A2149" t="s">
        <v>351</v>
      </c>
      <c r="B2149" t="str">
        <f>_xlfn.XLOOKUP(A2149,[1]Municipios!$B:$B,[1]Municipios!$C:$C)</f>
        <v>Norte</v>
      </c>
      <c r="C2149" t="str">
        <f>_xlfn.XLOOKUP(A2149,[1]Municipios!$B:$B,[1]Municipios!$D:$D)</f>
        <v>Norte Pioneiro</v>
      </c>
      <c r="D2149">
        <v>2025</v>
      </c>
      <c r="E2149" t="s">
        <v>215</v>
      </c>
      <c r="F2149">
        <v>0.85</v>
      </c>
      <c r="G2149">
        <v>78.72</v>
      </c>
    </row>
    <row r="2150" spans="1:7" x14ac:dyDescent="0.25">
      <c r="A2150" t="s">
        <v>351</v>
      </c>
      <c r="B2150" t="str">
        <f>_xlfn.XLOOKUP(A2150,[1]Municipios!$B:$B,[1]Municipios!$C:$C)</f>
        <v>Norte</v>
      </c>
      <c r="C2150" t="str">
        <f>_xlfn.XLOOKUP(A2150,[1]Municipios!$B:$B,[1]Municipios!$D:$D)</f>
        <v>Norte Pioneiro</v>
      </c>
      <c r="D2150">
        <v>2025</v>
      </c>
      <c r="E2150" t="s">
        <v>234</v>
      </c>
      <c r="F2150">
        <v>0.77780000000000005</v>
      </c>
      <c r="G2150">
        <v>78.72</v>
      </c>
    </row>
    <row r="2151" spans="1:7" x14ac:dyDescent="0.25">
      <c r="A2151" t="s">
        <v>351</v>
      </c>
      <c r="B2151" t="str">
        <f>_xlfn.XLOOKUP(A2151,[1]Municipios!$B:$B,[1]Municipios!$C:$C)</f>
        <v>Norte</v>
      </c>
      <c r="C2151" t="str">
        <f>_xlfn.XLOOKUP(A2151,[1]Municipios!$B:$B,[1]Municipios!$D:$D)</f>
        <v>Norte Pioneiro</v>
      </c>
      <c r="D2151">
        <v>2025</v>
      </c>
      <c r="E2151" t="s">
        <v>235</v>
      </c>
      <c r="F2151">
        <v>1</v>
      </c>
      <c r="G2151">
        <v>78.72</v>
      </c>
    </row>
    <row r="2152" spans="1:7" x14ac:dyDescent="0.25">
      <c r="A2152" t="s">
        <v>351</v>
      </c>
      <c r="B2152" t="str">
        <f>_xlfn.XLOOKUP(A2152,[1]Municipios!$B:$B,[1]Municipios!$C:$C)</f>
        <v>Norte</v>
      </c>
      <c r="C2152" t="str">
        <f>_xlfn.XLOOKUP(A2152,[1]Municipios!$B:$B,[1]Municipios!$D:$D)</f>
        <v>Norte Pioneiro</v>
      </c>
      <c r="D2152">
        <v>2025</v>
      </c>
      <c r="E2152" t="s">
        <v>236</v>
      </c>
      <c r="F2152">
        <v>0.3846</v>
      </c>
      <c r="G2152">
        <v>78.72</v>
      </c>
    </row>
    <row r="2153" spans="1:7" x14ac:dyDescent="0.25">
      <c r="A2153" t="s">
        <v>351</v>
      </c>
      <c r="B2153" t="str">
        <f>_xlfn.XLOOKUP(A2153,[1]Municipios!$B:$B,[1]Municipios!$C:$C)</f>
        <v>Norte</v>
      </c>
      <c r="C2153" t="str">
        <f>_xlfn.XLOOKUP(A2153,[1]Municipios!$B:$B,[1]Municipios!$D:$D)</f>
        <v>Norte Pioneiro</v>
      </c>
      <c r="D2153">
        <v>2025</v>
      </c>
      <c r="E2153" t="s">
        <v>237</v>
      </c>
      <c r="F2153">
        <v>1</v>
      </c>
      <c r="G2153">
        <v>78.72</v>
      </c>
    </row>
    <row r="2154" spans="1:7" x14ac:dyDescent="0.25">
      <c r="A2154" t="s">
        <v>528</v>
      </c>
      <c r="B2154" t="str">
        <f>_xlfn.XLOOKUP(A2154,[1]Municipios!$B:$B,[1]Municipios!$C:$C)</f>
        <v>Oeste</v>
      </c>
      <c r="C2154" t="str">
        <f>_xlfn.XLOOKUP(A2154,[1]Municipios!$B:$B,[1]Municipios!$D:$D)</f>
        <v>Cantuquiriguaçu</v>
      </c>
      <c r="D2154">
        <v>2025</v>
      </c>
      <c r="E2154" t="s">
        <v>231</v>
      </c>
      <c r="F2154">
        <v>0.77779999999999994</v>
      </c>
      <c r="G2154">
        <v>81.91</v>
      </c>
    </row>
    <row r="2155" spans="1:7" x14ac:dyDescent="0.25">
      <c r="A2155" t="s">
        <v>528</v>
      </c>
      <c r="B2155" t="str">
        <f>_xlfn.XLOOKUP(A2155,[1]Municipios!$B:$B,[1]Municipios!$C:$C)</f>
        <v>Oeste</v>
      </c>
      <c r="C2155" t="str">
        <f>_xlfn.XLOOKUP(A2155,[1]Municipios!$B:$B,[1]Municipios!$D:$D)</f>
        <v>Cantuquiriguaçu</v>
      </c>
      <c r="D2155">
        <v>2025</v>
      </c>
      <c r="E2155" t="s">
        <v>232</v>
      </c>
      <c r="F2155">
        <v>0.92310000000000003</v>
      </c>
      <c r="G2155">
        <v>81.91</v>
      </c>
    </row>
    <row r="2156" spans="1:7" x14ac:dyDescent="0.25">
      <c r="A2156" t="s">
        <v>528</v>
      </c>
      <c r="B2156" t="str">
        <f>_xlfn.XLOOKUP(A2156,[1]Municipios!$B:$B,[1]Municipios!$C:$C)</f>
        <v>Oeste</v>
      </c>
      <c r="C2156" t="str">
        <f>_xlfn.XLOOKUP(A2156,[1]Municipios!$B:$B,[1]Municipios!$D:$D)</f>
        <v>Cantuquiriguaçu</v>
      </c>
      <c r="D2156">
        <v>2025</v>
      </c>
      <c r="E2156" t="s">
        <v>233</v>
      </c>
      <c r="F2156">
        <v>0.75</v>
      </c>
      <c r="G2156">
        <v>81.91</v>
      </c>
    </row>
    <row r="2157" spans="1:7" x14ac:dyDescent="0.25">
      <c r="A2157" t="s">
        <v>528</v>
      </c>
      <c r="B2157" t="str">
        <f>_xlfn.XLOOKUP(A2157,[1]Municipios!$B:$B,[1]Municipios!$C:$C)</f>
        <v>Oeste</v>
      </c>
      <c r="C2157" t="str">
        <f>_xlfn.XLOOKUP(A2157,[1]Municipios!$B:$B,[1]Municipios!$D:$D)</f>
        <v>Cantuquiriguaçu</v>
      </c>
      <c r="D2157">
        <v>2025</v>
      </c>
      <c r="E2157" t="s">
        <v>215</v>
      </c>
      <c r="F2157">
        <v>0.95000000000000007</v>
      </c>
      <c r="G2157">
        <v>81.91</v>
      </c>
    </row>
    <row r="2158" spans="1:7" x14ac:dyDescent="0.25">
      <c r="A2158" t="s">
        <v>528</v>
      </c>
      <c r="B2158" t="str">
        <f>_xlfn.XLOOKUP(A2158,[1]Municipios!$B:$B,[1]Municipios!$C:$C)</f>
        <v>Oeste</v>
      </c>
      <c r="C2158" t="str">
        <f>_xlfn.XLOOKUP(A2158,[1]Municipios!$B:$B,[1]Municipios!$D:$D)</f>
        <v>Cantuquiriguaçu</v>
      </c>
      <c r="D2158">
        <v>2025</v>
      </c>
      <c r="E2158" t="s">
        <v>234</v>
      </c>
      <c r="F2158">
        <v>0.88880000000000003</v>
      </c>
      <c r="G2158">
        <v>81.91</v>
      </c>
    </row>
    <row r="2159" spans="1:7" x14ac:dyDescent="0.25">
      <c r="A2159" t="s">
        <v>528</v>
      </c>
      <c r="B2159" t="str">
        <f>_xlfn.XLOOKUP(A2159,[1]Municipios!$B:$B,[1]Municipios!$C:$C)</f>
        <v>Oeste</v>
      </c>
      <c r="C2159" t="str">
        <f>_xlfn.XLOOKUP(A2159,[1]Municipios!$B:$B,[1]Municipios!$D:$D)</f>
        <v>Cantuquiriguaçu</v>
      </c>
      <c r="D2159">
        <v>2025</v>
      </c>
      <c r="E2159" t="s">
        <v>235</v>
      </c>
      <c r="F2159">
        <v>0.85720000000000007</v>
      </c>
      <c r="G2159">
        <v>81.91</v>
      </c>
    </row>
    <row r="2160" spans="1:7" x14ac:dyDescent="0.25">
      <c r="A2160" t="s">
        <v>528</v>
      </c>
      <c r="B2160" t="str">
        <f>_xlfn.XLOOKUP(A2160,[1]Municipios!$B:$B,[1]Municipios!$C:$C)</f>
        <v>Oeste</v>
      </c>
      <c r="C2160" t="str">
        <f>_xlfn.XLOOKUP(A2160,[1]Municipios!$B:$B,[1]Municipios!$D:$D)</f>
        <v>Cantuquiriguaçu</v>
      </c>
      <c r="D2160">
        <v>2025</v>
      </c>
      <c r="E2160" t="s">
        <v>236</v>
      </c>
      <c r="F2160">
        <v>0.30780000000000002</v>
      </c>
      <c r="G2160">
        <v>81.91</v>
      </c>
    </row>
    <row r="2161" spans="1:7" x14ac:dyDescent="0.25">
      <c r="A2161" t="s">
        <v>528</v>
      </c>
      <c r="B2161" t="str">
        <f>_xlfn.XLOOKUP(A2161,[1]Municipios!$B:$B,[1]Municipios!$C:$C)</f>
        <v>Oeste</v>
      </c>
      <c r="C2161" t="str">
        <f>_xlfn.XLOOKUP(A2161,[1]Municipios!$B:$B,[1]Municipios!$D:$D)</f>
        <v>Cantuquiriguaçu</v>
      </c>
      <c r="D2161">
        <v>2025</v>
      </c>
      <c r="E2161" t="s">
        <v>237</v>
      </c>
      <c r="F2161">
        <v>1</v>
      </c>
      <c r="G2161">
        <v>81.91</v>
      </c>
    </row>
    <row r="2162" spans="1:7" x14ac:dyDescent="0.25">
      <c r="A2162" t="s">
        <v>600</v>
      </c>
      <c r="B2162" t="str">
        <f>_xlfn.XLOOKUP(A2162,[1]Municipios!$B:$B,[1]Municipios!$C:$C)</f>
        <v>Centro</v>
      </c>
      <c r="C2162" t="str">
        <f>_xlfn.XLOOKUP(A2162,[1]Municipios!$B:$B,[1]Municipios!$D:$D)</f>
        <v>Campos Gerais</v>
      </c>
      <c r="D2162">
        <v>2025</v>
      </c>
      <c r="E2162" t="s">
        <v>231</v>
      </c>
      <c r="F2162">
        <v>0.55549999999999988</v>
      </c>
      <c r="G2162">
        <v>74.62</v>
      </c>
    </row>
    <row r="2163" spans="1:7" x14ac:dyDescent="0.25">
      <c r="A2163" t="s">
        <v>600</v>
      </c>
      <c r="B2163" t="str">
        <f>_xlfn.XLOOKUP(A2163,[1]Municipios!$B:$B,[1]Municipios!$C:$C)</f>
        <v>Centro</v>
      </c>
      <c r="C2163" t="str">
        <f>_xlfn.XLOOKUP(A2163,[1]Municipios!$B:$B,[1]Municipios!$D:$D)</f>
        <v>Campos Gerais</v>
      </c>
      <c r="D2163">
        <v>2025</v>
      </c>
      <c r="E2163" t="s">
        <v>232</v>
      </c>
      <c r="F2163">
        <v>0.84619999999999995</v>
      </c>
      <c r="G2163">
        <v>74.62</v>
      </c>
    </row>
    <row r="2164" spans="1:7" x14ac:dyDescent="0.25">
      <c r="A2164" t="s">
        <v>600</v>
      </c>
      <c r="B2164" t="str">
        <f>_xlfn.XLOOKUP(A2164,[1]Municipios!$B:$B,[1]Municipios!$C:$C)</f>
        <v>Centro</v>
      </c>
      <c r="C2164" t="str">
        <f>_xlfn.XLOOKUP(A2164,[1]Municipios!$B:$B,[1]Municipios!$D:$D)</f>
        <v>Campos Gerais</v>
      </c>
      <c r="D2164">
        <v>2025</v>
      </c>
      <c r="E2164" t="s">
        <v>233</v>
      </c>
      <c r="F2164">
        <v>0.625</v>
      </c>
      <c r="G2164">
        <v>74.62</v>
      </c>
    </row>
    <row r="2165" spans="1:7" x14ac:dyDescent="0.25">
      <c r="A2165" t="s">
        <v>600</v>
      </c>
      <c r="B2165" t="str">
        <f>_xlfn.XLOOKUP(A2165,[1]Municipios!$B:$B,[1]Municipios!$C:$C)</f>
        <v>Centro</v>
      </c>
      <c r="C2165" t="str">
        <f>_xlfn.XLOOKUP(A2165,[1]Municipios!$B:$B,[1]Municipios!$D:$D)</f>
        <v>Campos Gerais</v>
      </c>
      <c r="D2165">
        <v>2025</v>
      </c>
      <c r="E2165" t="s">
        <v>215</v>
      </c>
      <c r="F2165">
        <v>0.79999999999999993</v>
      </c>
      <c r="G2165">
        <v>74.62</v>
      </c>
    </row>
    <row r="2166" spans="1:7" x14ac:dyDescent="0.25">
      <c r="A2166" t="s">
        <v>600</v>
      </c>
      <c r="B2166" t="str">
        <f>_xlfn.XLOOKUP(A2166,[1]Municipios!$B:$B,[1]Municipios!$C:$C)</f>
        <v>Centro</v>
      </c>
      <c r="C2166" t="str">
        <f>_xlfn.XLOOKUP(A2166,[1]Municipios!$B:$B,[1]Municipios!$D:$D)</f>
        <v>Campos Gerais</v>
      </c>
      <c r="D2166">
        <v>2025</v>
      </c>
      <c r="E2166" t="s">
        <v>234</v>
      </c>
      <c r="F2166">
        <v>0.77780000000000005</v>
      </c>
      <c r="G2166">
        <v>74.62</v>
      </c>
    </row>
    <row r="2167" spans="1:7" x14ac:dyDescent="0.25">
      <c r="A2167" t="s">
        <v>600</v>
      </c>
      <c r="B2167" t="str">
        <f>_xlfn.XLOOKUP(A2167,[1]Municipios!$B:$B,[1]Municipios!$C:$C)</f>
        <v>Centro</v>
      </c>
      <c r="C2167" t="str">
        <f>_xlfn.XLOOKUP(A2167,[1]Municipios!$B:$B,[1]Municipios!$D:$D)</f>
        <v>Campos Gerais</v>
      </c>
      <c r="D2167">
        <v>2025</v>
      </c>
      <c r="E2167" t="s">
        <v>235</v>
      </c>
      <c r="F2167">
        <v>0.85710000000000008</v>
      </c>
      <c r="G2167">
        <v>74.62</v>
      </c>
    </row>
    <row r="2168" spans="1:7" x14ac:dyDescent="0.25">
      <c r="A2168" t="s">
        <v>600</v>
      </c>
      <c r="B2168" t="str">
        <f>_xlfn.XLOOKUP(A2168,[1]Municipios!$B:$B,[1]Municipios!$C:$C)</f>
        <v>Centro</v>
      </c>
      <c r="C2168" t="str">
        <f>_xlfn.XLOOKUP(A2168,[1]Municipios!$B:$B,[1]Municipios!$D:$D)</f>
        <v>Campos Gerais</v>
      </c>
      <c r="D2168">
        <v>2025</v>
      </c>
      <c r="E2168" t="s">
        <v>236</v>
      </c>
      <c r="F2168">
        <v>0.3846</v>
      </c>
      <c r="G2168">
        <v>74.62</v>
      </c>
    </row>
    <row r="2169" spans="1:7" x14ac:dyDescent="0.25">
      <c r="A2169" t="s">
        <v>600</v>
      </c>
      <c r="B2169" t="str">
        <f>_xlfn.XLOOKUP(A2169,[1]Municipios!$B:$B,[1]Municipios!$C:$C)</f>
        <v>Centro</v>
      </c>
      <c r="C2169" t="str">
        <f>_xlfn.XLOOKUP(A2169,[1]Municipios!$B:$B,[1]Municipios!$D:$D)</f>
        <v>Campos Gerais</v>
      </c>
      <c r="D2169">
        <v>2025</v>
      </c>
      <c r="E2169" t="s">
        <v>237</v>
      </c>
      <c r="F2169">
        <v>1</v>
      </c>
      <c r="G2169">
        <v>74.62</v>
      </c>
    </row>
    <row r="2170" spans="1:7" x14ac:dyDescent="0.25">
      <c r="A2170" t="s">
        <v>334</v>
      </c>
      <c r="B2170" t="str">
        <f>_xlfn.XLOOKUP(A2170,[1]Municipios!$B:$B,[1]Municipios!$C:$C)</f>
        <v>Leste</v>
      </c>
      <c r="C2170" t="str">
        <f>_xlfn.XLOOKUP(A2170,[1]Municipios!$B:$B,[1]Municipios!$D:$D)</f>
        <v>RMC</v>
      </c>
      <c r="D2170">
        <v>2025</v>
      </c>
      <c r="E2170" t="s">
        <v>231</v>
      </c>
      <c r="F2170">
        <v>0.55559999999999998</v>
      </c>
      <c r="G2170">
        <v>78.900000000000006</v>
      </c>
    </row>
    <row r="2171" spans="1:7" x14ac:dyDescent="0.25">
      <c r="A2171" t="s">
        <v>334</v>
      </c>
      <c r="B2171" t="str">
        <f>_xlfn.XLOOKUP(A2171,[1]Municipios!$B:$B,[1]Municipios!$C:$C)</f>
        <v>Leste</v>
      </c>
      <c r="C2171" t="str">
        <f>_xlfn.XLOOKUP(A2171,[1]Municipios!$B:$B,[1]Municipios!$D:$D)</f>
        <v>RMC</v>
      </c>
      <c r="D2171">
        <v>2025</v>
      </c>
      <c r="E2171" t="s">
        <v>232</v>
      </c>
      <c r="F2171">
        <v>0.84619999999999995</v>
      </c>
      <c r="G2171">
        <v>78.900000000000006</v>
      </c>
    </row>
    <row r="2172" spans="1:7" x14ac:dyDescent="0.25">
      <c r="A2172" t="s">
        <v>334</v>
      </c>
      <c r="B2172" t="str">
        <f>_xlfn.XLOOKUP(A2172,[1]Municipios!$B:$B,[1]Municipios!$C:$C)</f>
        <v>Leste</v>
      </c>
      <c r="C2172" t="str">
        <f>_xlfn.XLOOKUP(A2172,[1]Municipios!$B:$B,[1]Municipios!$D:$D)</f>
        <v>RMC</v>
      </c>
      <c r="D2172">
        <v>2025</v>
      </c>
      <c r="E2172" t="s">
        <v>233</v>
      </c>
      <c r="F2172">
        <v>0.875</v>
      </c>
      <c r="G2172">
        <v>78.900000000000006</v>
      </c>
    </row>
    <row r="2173" spans="1:7" x14ac:dyDescent="0.25">
      <c r="A2173" t="s">
        <v>334</v>
      </c>
      <c r="B2173" t="str">
        <f>_xlfn.XLOOKUP(A2173,[1]Municipios!$B:$B,[1]Municipios!$C:$C)</f>
        <v>Leste</v>
      </c>
      <c r="C2173" t="str">
        <f>_xlfn.XLOOKUP(A2173,[1]Municipios!$B:$B,[1]Municipios!$D:$D)</f>
        <v>RMC</v>
      </c>
      <c r="D2173">
        <v>2025</v>
      </c>
      <c r="E2173" t="s">
        <v>215</v>
      </c>
      <c r="F2173">
        <v>0.95000000000000007</v>
      </c>
      <c r="G2173">
        <v>78.900000000000006</v>
      </c>
    </row>
    <row r="2174" spans="1:7" x14ac:dyDescent="0.25">
      <c r="A2174" t="s">
        <v>334</v>
      </c>
      <c r="B2174" t="str">
        <f>_xlfn.XLOOKUP(A2174,[1]Municipios!$B:$B,[1]Municipios!$C:$C)</f>
        <v>Leste</v>
      </c>
      <c r="C2174" t="str">
        <f>_xlfn.XLOOKUP(A2174,[1]Municipios!$B:$B,[1]Municipios!$D:$D)</f>
        <v>RMC</v>
      </c>
      <c r="D2174">
        <v>2025</v>
      </c>
      <c r="E2174" t="s">
        <v>234</v>
      </c>
      <c r="F2174">
        <v>0.77780000000000005</v>
      </c>
      <c r="G2174">
        <v>78.900000000000006</v>
      </c>
    </row>
    <row r="2175" spans="1:7" x14ac:dyDescent="0.25">
      <c r="A2175" t="s">
        <v>334</v>
      </c>
      <c r="B2175" t="str">
        <f>_xlfn.XLOOKUP(A2175,[1]Municipios!$B:$B,[1]Municipios!$C:$C)</f>
        <v>Leste</v>
      </c>
      <c r="C2175" t="str">
        <f>_xlfn.XLOOKUP(A2175,[1]Municipios!$B:$B,[1]Municipios!$D:$D)</f>
        <v>RMC</v>
      </c>
      <c r="D2175">
        <v>2025</v>
      </c>
      <c r="E2175" t="s">
        <v>235</v>
      </c>
      <c r="F2175">
        <v>1</v>
      </c>
      <c r="G2175">
        <v>78.900000000000006</v>
      </c>
    </row>
    <row r="2176" spans="1:7" x14ac:dyDescent="0.25">
      <c r="A2176" t="s">
        <v>334</v>
      </c>
      <c r="B2176" t="str">
        <f>_xlfn.XLOOKUP(A2176,[1]Municipios!$B:$B,[1]Municipios!$C:$C)</f>
        <v>Leste</v>
      </c>
      <c r="C2176" t="str">
        <f>_xlfn.XLOOKUP(A2176,[1]Municipios!$B:$B,[1]Municipios!$D:$D)</f>
        <v>RMC</v>
      </c>
      <c r="D2176">
        <v>2025</v>
      </c>
      <c r="E2176" t="s">
        <v>236</v>
      </c>
      <c r="F2176">
        <v>0.30780000000000002</v>
      </c>
      <c r="G2176">
        <v>78.900000000000006</v>
      </c>
    </row>
    <row r="2177" spans="1:7" x14ac:dyDescent="0.25">
      <c r="A2177" t="s">
        <v>334</v>
      </c>
      <c r="B2177" t="str">
        <f>_xlfn.XLOOKUP(A2177,[1]Municipios!$B:$B,[1]Municipios!$C:$C)</f>
        <v>Leste</v>
      </c>
      <c r="C2177" t="str">
        <f>_xlfn.XLOOKUP(A2177,[1]Municipios!$B:$B,[1]Municipios!$D:$D)</f>
        <v>RMC</v>
      </c>
      <c r="D2177">
        <v>2025</v>
      </c>
      <c r="E2177" t="s">
        <v>237</v>
      </c>
      <c r="F2177">
        <v>1</v>
      </c>
      <c r="G2177">
        <v>78.900000000000006</v>
      </c>
    </row>
    <row r="2178" spans="1:7" x14ac:dyDescent="0.25">
      <c r="A2178" t="s">
        <v>241</v>
      </c>
      <c r="B2178" t="str">
        <f>_xlfn.XLOOKUP(A2178,[1]Municipios!$B:$B,[1]Municipios!$C:$C)</f>
        <v>Centro</v>
      </c>
      <c r="C2178" t="str">
        <f>_xlfn.XLOOKUP(A2178,[1]Municipios!$B:$B,[1]Municipios!$D:$D)</f>
        <v>Paraná Centro</v>
      </c>
      <c r="D2178">
        <v>2025</v>
      </c>
      <c r="E2178" t="s">
        <v>231</v>
      </c>
      <c r="F2178">
        <v>0.55559999999999998</v>
      </c>
      <c r="G2178">
        <v>83.86</v>
      </c>
    </row>
    <row r="2179" spans="1:7" x14ac:dyDescent="0.25">
      <c r="A2179" t="s">
        <v>241</v>
      </c>
      <c r="B2179" t="str">
        <f>_xlfn.XLOOKUP(A2179,[1]Municipios!$B:$B,[1]Municipios!$C:$C)</f>
        <v>Centro</v>
      </c>
      <c r="C2179" t="str">
        <f>_xlfn.XLOOKUP(A2179,[1]Municipios!$B:$B,[1]Municipios!$D:$D)</f>
        <v>Paraná Centro</v>
      </c>
      <c r="D2179">
        <v>2025</v>
      </c>
      <c r="E2179" t="s">
        <v>232</v>
      </c>
      <c r="F2179">
        <v>0.84619999999999995</v>
      </c>
      <c r="G2179">
        <v>83.86</v>
      </c>
    </row>
    <row r="2180" spans="1:7" x14ac:dyDescent="0.25">
      <c r="A2180" t="s">
        <v>241</v>
      </c>
      <c r="B2180" t="str">
        <f>_xlfn.XLOOKUP(A2180,[1]Municipios!$B:$B,[1]Municipios!$C:$C)</f>
        <v>Centro</v>
      </c>
      <c r="C2180" t="str">
        <f>_xlfn.XLOOKUP(A2180,[1]Municipios!$B:$B,[1]Municipios!$D:$D)</f>
        <v>Paraná Centro</v>
      </c>
      <c r="D2180">
        <v>2025</v>
      </c>
      <c r="E2180" t="s">
        <v>233</v>
      </c>
      <c r="F2180">
        <v>0.875</v>
      </c>
      <c r="G2180">
        <v>83.86</v>
      </c>
    </row>
    <row r="2181" spans="1:7" x14ac:dyDescent="0.25">
      <c r="A2181" t="s">
        <v>241</v>
      </c>
      <c r="B2181" t="str">
        <f>_xlfn.XLOOKUP(A2181,[1]Municipios!$B:$B,[1]Municipios!$C:$C)</f>
        <v>Centro</v>
      </c>
      <c r="C2181" t="str">
        <f>_xlfn.XLOOKUP(A2181,[1]Municipios!$B:$B,[1]Municipios!$D:$D)</f>
        <v>Paraná Centro</v>
      </c>
      <c r="D2181">
        <v>2025</v>
      </c>
      <c r="E2181" t="s">
        <v>215</v>
      </c>
      <c r="F2181">
        <v>1</v>
      </c>
      <c r="G2181">
        <v>83.86</v>
      </c>
    </row>
    <row r="2182" spans="1:7" x14ac:dyDescent="0.25">
      <c r="A2182" t="s">
        <v>241</v>
      </c>
      <c r="B2182" t="str">
        <f>_xlfn.XLOOKUP(A2182,[1]Municipios!$B:$B,[1]Municipios!$C:$C)</f>
        <v>Centro</v>
      </c>
      <c r="C2182" t="str">
        <f>_xlfn.XLOOKUP(A2182,[1]Municipios!$B:$B,[1]Municipios!$D:$D)</f>
        <v>Paraná Centro</v>
      </c>
      <c r="D2182">
        <v>2025</v>
      </c>
      <c r="E2182" t="s">
        <v>234</v>
      </c>
      <c r="F2182">
        <v>0.88890000000000002</v>
      </c>
      <c r="G2182">
        <v>83.86</v>
      </c>
    </row>
    <row r="2183" spans="1:7" x14ac:dyDescent="0.25">
      <c r="A2183" t="s">
        <v>241</v>
      </c>
      <c r="B2183" t="str">
        <f>_xlfn.XLOOKUP(A2183,[1]Municipios!$B:$B,[1]Municipios!$C:$C)</f>
        <v>Centro</v>
      </c>
      <c r="C2183" t="str">
        <f>_xlfn.XLOOKUP(A2183,[1]Municipios!$B:$B,[1]Municipios!$D:$D)</f>
        <v>Paraná Centro</v>
      </c>
      <c r="D2183">
        <v>2025</v>
      </c>
      <c r="E2183" t="s">
        <v>235</v>
      </c>
      <c r="F2183">
        <v>0.85720000000000007</v>
      </c>
      <c r="G2183">
        <v>83.86</v>
      </c>
    </row>
    <row r="2184" spans="1:7" x14ac:dyDescent="0.25">
      <c r="A2184" t="s">
        <v>241</v>
      </c>
      <c r="B2184" t="str">
        <f>_xlfn.XLOOKUP(A2184,[1]Municipios!$B:$B,[1]Municipios!$C:$C)</f>
        <v>Centro</v>
      </c>
      <c r="C2184" t="str">
        <f>_xlfn.XLOOKUP(A2184,[1]Municipios!$B:$B,[1]Municipios!$D:$D)</f>
        <v>Paraná Centro</v>
      </c>
      <c r="D2184">
        <v>2025</v>
      </c>
      <c r="E2184" t="s">
        <v>236</v>
      </c>
      <c r="F2184">
        <v>0.69240000000000002</v>
      </c>
      <c r="G2184">
        <v>83.86</v>
      </c>
    </row>
    <row r="2185" spans="1:7" x14ac:dyDescent="0.25">
      <c r="A2185" t="s">
        <v>241</v>
      </c>
      <c r="B2185" t="str">
        <f>_xlfn.XLOOKUP(A2185,[1]Municipios!$B:$B,[1]Municipios!$C:$C)</f>
        <v>Centro</v>
      </c>
      <c r="C2185" t="str">
        <f>_xlfn.XLOOKUP(A2185,[1]Municipios!$B:$B,[1]Municipios!$D:$D)</f>
        <v>Paraná Centro</v>
      </c>
      <c r="D2185">
        <v>2025</v>
      </c>
      <c r="E2185" t="s">
        <v>237</v>
      </c>
      <c r="F2185">
        <v>1</v>
      </c>
      <c r="G2185">
        <v>83.86</v>
      </c>
    </row>
    <row r="2186" spans="1:7" x14ac:dyDescent="0.25">
      <c r="A2186" t="s">
        <v>283</v>
      </c>
      <c r="B2186" t="str">
        <f>_xlfn.XLOOKUP(A2186,[1]Municipios!$B:$B,[1]Municipios!$C:$C)</f>
        <v>Norte</v>
      </c>
      <c r="C2186" t="str">
        <f>_xlfn.XLOOKUP(A2186,[1]Municipios!$B:$B,[1]Municipios!$D:$D)</f>
        <v>Norte Do Paraná</v>
      </c>
      <c r="D2186">
        <v>2025</v>
      </c>
      <c r="E2186" t="s">
        <v>231</v>
      </c>
      <c r="F2186">
        <v>0.55549999999999988</v>
      </c>
      <c r="G2186">
        <v>40.200000000000003</v>
      </c>
    </row>
    <row r="2187" spans="1:7" x14ac:dyDescent="0.25">
      <c r="A2187" t="s">
        <v>283</v>
      </c>
      <c r="B2187" t="str">
        <f>_xlfn.XLOOKUP(A2187,[1]Municipios!$B:$B,[1]Municipios!$C:$C)</f>
        <v>Norte</v>
      </c>
      <c r="C2187" t="str">
        <f>_xlfn.XLOOKUP(A2187,[1]Municipios!$B:$B,[1]Municipios!$D:$D)</f>
        <v>Norte Do Paraná</v>
      </c>
      <c r="D2187">
        <v>2025</v>
      </c>
      <c r="E2187" t="s">
        <v>232</v>
      </c>
      <c r="F2187">
        <v>0.69230000000000003</v>
      </c>
      <c r="G2187">
        <v>40.200000000000003</v>
      </c>
    </row>
    <row r="2188" spans="1:7" x14ac:dyDescent="0.25">
      <c r="A2188" t="s">
        <v>283</v>
      </c>
      <c r="B2188" t="str">
        <f>_xlfn.XLOOKUP(A2188,[1]Municipios!$B:$B,[1]Municipios!$C:$C)</f>
        <v>Norte</v>
      </c>
      <c r="C2188" t="str">
        <f>_xlfn.XLOOKUP(A2188,[1]Municipios!$B:$B,[1]Municipios!$D:$D)</f>
        <v>Norte Do Paraná</v>
      </c>
      <c r="D2188">
        <v>2025</v>
      </c>
      <c r="E2188" t="s">
        <v>233</v>
      </c>
      <c r="F2188">
        <v>0.5</v>
      </c>
      <c r="G2188">
        <v>40.200000000000003</v>
      </c>
    </row>
    <row r="2189" spans="1:7" x14ac:dyDescent="0.25">
      <c r="A2189" t="s">
        <v>283</v>
      </c>
      <c r="B2189" t="str">
        <f>_xlfn.XLOOKUP(A2189,[1]Municipios!$B:$B,[1]Municipios!$C:$C)</f>
        <v>Norte</v>
      </c>
      <c r="C2189" t="str">
        <f>_xlfn.XLOOKUP(A2189,[1]Municipios!$B:$B,[1]Municipios!$D:$D)</f>
        <v>Norte Do Paraná</v>
      </c>
      <c r="D2189">
        <v>2025</v>
      </c>
      <c r="E2189" t="s">
        <v>215</v>
      </c>
      <c r="F2189">
        <v>0.39999999999999997</v>
      </c>
      <c r="G2189">
        <v>40.200000000000003</v>
      </c>
    </row>
    <row r="2190" spans="1:7" x14ac:dyDescent="0.25">
      <c r="A2190" t="s">
        <v>283</v>
      </c>
      <c r="B2190" t="str">
        <f>_xlfn.XLOOKUP(A2190,[1]Municipios!$B:$B,[1]Municipios!$C:$C)</f>
        <v>Norte</v>
      </c>
      <c r="C2190" t="str">
        <f>_xlfn.XLOOKUP(A2190,[1]Municipios!$B:$B,[1]Municipios!$D:$D)</f>
        <v>Norte Do Paraná</v>
      </c>
      <c r="D2190">
        <v>2025</v>
      </c>
      <c r="E2190" t="s">
        <v>234</v>
      </c>
      <c r="F2190">
        <v>0.33329999999999999</v>
      </c>
      <c r="G2190">
        <v>40.200000000000003</v>
      </c>
    </row>
    <row r="2191" spans="1:7" x14ac:dyDescent="0.25">
      <c r="A2191" t="s">
        <v>283</v>
      </c>
      <c r="B2191" t="str">
        <f>_xlfn.XLOOKUP(A2191,[1]Municipios!$B:$B,[1]Municipios!$C:$C)</f>
        <v>Norte</v>
      </c>
      <c r="C2191" t="str">
        <f>_xlfn.XLOOKUP(A2191,[1]Municipios!$B:$B,[1]Municipios!$D:$D)</f>
        <v>Norte Do Paraná</v>
      </c>
      <c r="D2191">
        <v>2025</v>
      </c>
      <c r="E2191" t="s">
        <v>235</v>
      </c>
      <c r="F2191">
        <v>0.57150000000000001</v>
      </c>
      <c r="G2191">
        <v>40.200000000000003</v>
      </c>
    </row>
    <row r="2192" spans="1:7" x14ac:dyDescent="0.25">
      <c r="A2192" t="s">
        <v>283</v>
      </c>
      <c r="B2192" t="str">
        <f>_xlfn.XLOOKUP(A2192,[1]Municipios!$B:$B,[1]Municipios!$C:$C)</f>
        <v>Norte</v>
      </c>
      <c r="C2192" t="str">
        <f>_xlfn.XLOOKUP(A2192,[1]Municipios!$B:$B,[1]Municipios!$D:$D)</f>
        <v>Norte Do Paraná</v>
      </c>
      <c r="D2192">
        <v>2025</v>
      </c>
      <c r="E2192" t="s">
        <v>236</v>
      </c>
      <c r="F2192">
        <v>7.690000000000001E-2</v>
      </c>
      <c r="G2192">
        <v>40.200000000000003</v>
      </c>
    </row>
    <row r="2193" spans="1:7" x14ac:dyDescent="0.25">
      <c r="A2193" t="s">
        <v>283</v>
      </c>
      <c r="B2193" t="str">
        <f>_xlfn.XLOOKUP(A2193,[1]Municipios!$B:$B,[1]Municipios!$C:$C)</f>
        <v>Norte</v>
      </c>
      <c r="C2193" t="str">
        <f>_xlfn.XLOOKUP(A2193,[1]Municipios!$B:$B,[1]Municipios!$D:$D)</f>
        <v>Norte Do Paraná</v>
      </c>
      <c r="D2193">
        <v>2025</v>
      </c>
      <c r="E2193" t="s">
        <v>237</v>
      </c>
      <c r="F2193">
        <v>0</v>
      </c>
      <c r="G2193">
        <v>40.200000000000003</v>
      </c>
    </row>
    <row r="2194" spans="1:7" x14ac:dyDescent="0.25">
      <c r="A2194" t="s">
        <v>601</v>
      </c>
      <c r="B2194" t="str">
        <f>_xlfn.XLOOKUP(A2194,[1]Municipios!$B:$B,[1]Municipios!$C:$C)</f>
        <v>Noroeste</v>
      </c>
      <c r="C2194" t="str">
        <f>_xlfn.XLOOKUP(A2194,[1]Municipios!$B:$B,[1]Municipios!$D:$D)</f>
        <v>Costa Noroeste</v>
      </c>
      <c r="D2194">
        <v>2025</v>
      </c>
      <c r="E2194" t="s">
        <v>231</v>
      </c>
      <c r="F2194">
        <v>0.22219999999999998</v>
      </c>
      <c r="G2194">
        <v>32.57</v>
      </c>
    </row>
    <row r="2195" spans="1:7" x14ac:dyDescent="0.25">
      <c r="A2195" t="s">
        <v>601</v>
      </c>
      <c r="B2195" t="str">
        <f>_xlfn.XLOOKUP(A2195,[1]Municipios!$B:$B,[1]Municipios!$C:$C)</f>
        <v>Noroeste</v>
      </c>
      <c r="C2195" t="str">
        <f>_xlfn.XLOOKUP(A2195,[1]Municipios!$B:$B,[1]Municipios!$D:$D)</f>
        <v>Costa Noroeste</v>
      </c>
      <c r="D2195">
        <v>2025</v>
      </c>
      <c r="E2195" t="s">
        <v>232</v>
      </c>
      <c r="F2195">
        <v>0.69220000000000004</v>
      </c>
      <c r="G2195">
        <v>32.57</v>
      </c>
    </row>
    <row r="2196" spans="1:7" x14ac:dyDescent="0.25">
      <c r="A2196" t="s">
        <v>601</v>
      </c>
      <c r="B2196" t="str">
        <f>_xlfn.XLOOKUP(A2196,[1]Municipios!$B:$B,[1]Municipios!$C:$C)</f>
        <v>Noroeste</v>
      </c>
      <c r="C2196" t="str">
        <f>_xlfn.XLOOKUP(A2196,[1]Municipios!$B:$B,[1]Municipios!$D:$D)</f>
        <v>Costa Noroeste</v>
      </c>
      <c r="D2196">
        <v>2025</v>
      </c>
      <c r="E2196" t="s">
        <v>233</v>
      </c>
      <c r="F2196">
        <v>0.625</v>
      </c>
      <c r="G2196">
        <v>32.57</v>
      </c>
    </row>
    <row r="2197" spans="1:7" x14ac:dyDescent="0.25">
      <c r="A2197" t="s">
        <v>601</v>
      </c>
      <c r="B2197" t="str">
        <f>_xlfn.XLOOKUP(A2197,[1]Municipios!$B:$B,[1]Municipios!$C:$C)</f>
        <v>Noroeste</v>
      </c>
      <c r="C2197" t="str">
        <f>_xlfn.XLOOKUP(A2197,[1]Municipios!$B:$B,[1]Municipios!$D:$D)</f>
        <v>Costa Noroeste</v>
      </c>
      <c r="D2197">
        <v>2025</v>
      </c>
      <c r="E2197" t="s">
        <v>215</v>
      </c>
      <c r="F2197">
        <v>0.5</v>
      </c>
      <c r="G2197">
        <v>32.57</v>
      </c>
    </row>
    <row r="2198" spans="1:7" x14ac:dyDescent="0.25">
      <c r="A2198" t="s">
        <v>601</v>
      </c>
      <c r="B2198" t="str">
        <f>_xlfn.XLOOKUP(A2198,[1]Municipios!$B:$B,[1]Municipios!$C:$C)</f>
        <v>Noroeste</v>
      </c>
      <c r="C2198" t="str">
        <f>_xlfn.XLOOKUP(A2198,[1]Municipios!$B:$B,[1]Municipios!$D:$D)</f>
        <v>Costa Noroeste</v>
      </c>
      <c r="D2198">
        <v>2025</v>
      </c>
      <c r="E2198" t="s">
        <v>234</v>
      </c>
      <c r="F2198">
        <v>0.44450000000000001</v>
      </c>
      <c r="G2198">
        <v>32.57</v>
      </c>
    </row>
    <row r="2199" spans="1:7" x14ac:dyDescent="0.25">
      <c r="A2199" t="s">
        <v>601</v>
      </c>
      <c r="B2199" t="str">
        <f>_xlfn.XLOOKUP(A2199,[1]Municipios!$B:$B,[1]Municipios!$C:$C)</f>
        <v>Noroeste</v>
      </c>
      <c r="C2199" t="str">
        <f>_xlfn.XLOOKUP(A2199,[1]Municipios!$B:$B,[1]Municipios!$D:$D)</f>
        <v>Costa Noroeste</v>
      </c>
      <c r="D2199">
        <v>2025</v>
      </c>
      <c r="E2199" t="s">
        <v>235</v>
      </c>
      <c r="F2199">
        <v>0.1429</v>
      </c>
      <c r="G2199">
        <v>32.57</v>
      </c>
    </row>
    <row r="2200" spans="1:7" x14ac:dyDescent="0.25">
      <c r="A2200" t="s">
        <v>601</v>
      </c>
      <c r="B2200" t="str">
        <f>_xlfn.XLOOKUP(A2200,[1]Municipios!$B:$B,[1]Municipios!$C:$C)</f>
        <v>Noroeste</v>
      </c>
      <c r="C2200" t="str">
        <f>_xlfn.XLOOKUP(A2200,[1]Municipios!$B:$B,[1]Municipios!$D:$D)</f>
        <v>Costa Noroeste</v>
      </c>
      <c r="D2200">
        <v>2025</v>
      </c>
      <c r="E2200" t="s">
        <v>236</v>
      </c>
      <c r="F2200">
        <v>0</v>
      </c>
      <c r="G2200">
        <v>32.57</v>
      </c>
    </row>
    <row r="2201" spans="1:7" x14ac:dyDescent="0.25">
      <c r="A2201" t="s">
        <v>601</v>
      </c>
      <c r="B2201" t="str">
        <f>_xlfn.XLOOKUP(A2201,[1]Municipios!$B:$B,[1]Municipios!$C:$C)</f>
        <v>Noroeste</v>
      </c>
      <c r="C2201" t="str">
        <f>_xlfn.XLOOKUP(A2201,[1]Municipios!$B:$B,[1]Municipios!$D:$D)</f>
        <v>Costa Noroeste</v>
      </c>
      <c r="D2201">
        <v>2025</v>
      </c>
      <c r="E2201" t="s">
        <v>237</v>
      </c>
      <c r="F2201">
        <v>0</v>
      </c>
      <c r="G2201">
        <v>32.57</v>
      </c>
    </row>
    <row r="2202" spans="1:7" x14ac:dyDescent="0.25">
      <c r="A2202" t="s">
        <v>390</v>
      </c>
      <c r="B2202" t="str">
        <f>_xlfn.XLOOKUP(A2202,[1]Municipios!$B:$B,[1]Municipios!$C:$C)</f>
        <v>Sul</v>
      </c>
      <c r="C2202" t="str">
        <f>_xlfn.XLOOKUP(A2202,[1]Municipios!$B:$B,[1]Municipios!$D:$D)</f>
        <v>Sudoeste La Frontera</v>
      </c>
      <c r="D2202">
        <v>2025</v>
      </c>
      <c r="E2202" t="s">
        <v>231</v>
      </c>
      <c r="F2202">
        <v>0.88890000000000002</v>
      </c>
      <c r="G2202">
        <v>87.27</v>
      </c>
    </row>
    <row r="2203" spans="1:7" x14ac:dyDescent="0.25">
      <c r="A2203" t="s">
        <v>390</v>
      </c>
      <c r="B2203" t="str">
        <f>_xlfn.XLOOKUP(A2203,[1]Municipios!$B:$B,[1]Municipios!$C:$C)</f>
        <v>Sul</v>
      </c>
      <c r="C2203" t="str">
        <f>_xlfn.XLOOKUP(A2203,[1]Municipios!$B:$B,[1]Municipios!$D:$D)</f>
        <v>Sudoeste La Frontera</v>
      </c>
      <c r="D2203">
        <v>2025</v>
      </c>
      <c r="E2203" t="s">
        <v>232</v>
      </c>
      <c r="F2203">
        <v>0.84619999999999995</v>
      </c>
      <c r="G2203">
        <v>87.27</v>
      </c>
    </row>
    <row r="2204" spans="1:7" x14ac:dyDescent="0.25">
      <c r="A2204" t="s">
        <v>390</v>
      </c>
      <c r="B2204" t="str">
        <f>_xlfn.XLOOKUP(A2204,[1]Municipios!$B:$B,[1]Municipios!$C:$C)</f>
        <v>Sul</v>
      </c>
      <c r="C2204" t="str">
        <f>_xlfn.XLOOKUP(A2204,[1]Municipios!$B:$B,[1]Municipios!$D:$D)</f>
        <v>Sudoeste La Frontera</v>
      </c>
      <c r="D2204">
        <v>2025</v>
      </c>
      <c r="E2204" t="s">
        <v>233</v>
      </c>
      <c r="F2204">
        <v>0.875</v>
      </c>
      <c r="G2204">
        <v>87.27</v>
      </c>
    </row>
    <row r="2205" spans="1:7" x14ac:dyDescent="0.25">
      <c r="A2205" t="s">
        <v>390</v>
      </c>
      <c r="B2205" t="str">
        <f>_xlfn.XLOOKUP(A2205,[1]Municipios!$B:$B,[1]Municipios!$C:$C)</f>
        <v>Sul</v>
      </c>
      <c r="C2205" t="str">
        <f>_xlfn.XLOOKUP(A2205,[1]Municipios!$B:$B,[1]Municipios!$D:$D)</f>
        <v>Sudoeste La Frontera</v>
      </c>
      <c r="D2205">
        <v>2025</v>
      </c>
      <c r="E2205" t="s">
        <v>215</v>
      </c>
      <c r="F2205">
        <v>1</v>
      </c>
      <c r="G2205">
        <v>87.27</v>
      </c>
    </row>
    <row r="2206" spans="1:7" x14ac:dyDescent="0.25">
      <c r="A2206" t="s">
        <v>390</v>
      </c>
      <c r="B2206" t="str">
        <f>_xlfn.XLOOKUP(A2206,[1]Municipios!$B:$B,[1]Municipios!$C:$C)</f>
        <v>Sul</v>
      </c>
      <c r="C2206" t="str">
        <f>_xlfn.XLOOKUP(A2206,[1]Municipios!$B:$B,[1]Municipios!$D:$D)</f>
        <v>Sudoeste La Frontera</v>
      </c>
      <c r="D2206">
        <v>2025</v>
      </c>
      <c r="E2206" t="s">
        <v>234</v>
      </c>
      <c r="F2206">
        <v>1</v>
      </c>
      <c r="G2206">
        <v>87.27</v>
      </c>
    </row>
    <row r="2207" spans="1:7" x14ac:dyDescent="0.25">
      <c r="A2207" t="s">
        <v>390</v>
      </c>
      <c r="B2207" t="str">
        <f>_xlfn.XLOOKUP(A2207,[1]Municipios!$B:$B,[1]Municipios!$C:$C)</f>
        <v>Sul</v>
      </c>
      <c r="C2207" t="str">
        <f>_xlfn.XLOOKUP(A2207,[1]Municipios!$B:$B,[1]Municipios!$D:$D)</f>
        <v>Sudoeste La Frontera</v>
      </c>
      <c r="D2207">
        <v>2025</v>
      </c>
      <c r="E2207" t="s">
        <v>235</v>
      </c>
      <c r="F2207">
        <v>1</v>
      </c>
      <c r="G2207">
        <v>87.27</v>
      </c>
    </row>
    <row r="2208" spans="1:7" x14ac:dyDescent="0.25">
      <c r="A2208" t="s">
        <v>390</v>
      </c>
      <c r="B2208" t="str">
        <f>_xlfn.XLOOKUP(A2208,[1]Municipios!$B:$B,[1]Municipios!$C:$C)</f>
        <v>Sul</v>
      </c>
      <c r="C2208" t="str">
        <f>_xlfn.XLOOKUP(A2208,[1]Municipios!$B:$B,[1]Municipios!$D:$D)</f>
        <v>Sudoeste La Frontera</v>
      </c>
      <c r="D2208">
        <v>2025</v>
      </c>
      <c r="E2208" t="s">
        <v>236</v>
      </c>
      <c r="F2208">
        <v>0.30770000000000003</v>
      </c>
      <c r="G2208">
        <v>87.27</v>
      </c>
    </row>
    <row r="2209" spans="1:7" x14ac:dyDescent="0.25">
      <c r="A2209" t="s">
        <v>390</v>
      </c>
      <c r="B2209" t="str">
        <f>_xlfn.XLOOKUP(A2209,[1]Municipios!$B:$B,[1]Municipios!$C:$C)</f>
        <v>Sul</v>
      </c>
      <c r="C2209" t="str">
        <f>_xlfn.XLOOKUP(A2209,[1]Municipios!$B:$B,[1]Municipios!$D:$D)</f>
        <v>Sudoeste La Frontera</v>
      </c>
      <c r="D2209">
        <v>2025</v>
      </c>
      <c r="E2209" t="s">
        <v>237</v>
      </c>
      <c r="F2209">
        <v>1</v>
      </c>
      <c r="G2209">
        <v>87.27</v>
      </c>
    </row>
    <row r="2210" spans="1:7" x14ac:dyDescent="0.25">
      <c r="A2210" t="s">
        <v>278</v>
      </c>
      <c r="B2210" t="str">
        <f>_xlfn.XLOOKUP(A2210,[1]Municipios!$B:$B,[1]Municipios!$C:$C)</f>
        <v>Centro</v>
      </c>
      <c r="C2210" t="str">
        <f>_xlfn.XLOOKUP(A2210,[1]Municipios!$B:$B,[1]Municipios!$D:$D)</f>
        <v>Campos Gerais</v>
      </c>
      <c r="D2210">
        <v>2025</v>
      </c>
      <c r="E2210" t="s">
        <v>231</v>
      </c>
      <c r="F2210">
        <v>0.66669999999999996</v>
      </c>
      <c r="G2210">
        <v>94.15</v>
      </c>
    </row>
    <row r="2211" spans="1:7" x14ac:dyDescent="0.25">
      <c r="A2211" t="s">
        <v>278</v>
      </c>
      <c r="B2211" t="str">
        <f>_xlfn.XLOOKUP(A2211,[1]Municipios!$B:$B,[1]Municipios!$C:$C)</f>
        <v>Centro</v>
      </c>
      <c r="C2211" t="str">
        <f>_xlfn.XLOOKUP(A2211,[1]Municipios!$B:$B,[1]Municipios!$D:$D)</f>
        <v>Campos Gerais</v>
      </c>
      <c r="D2211">
        <v>2025</v>
      </c>
      <c r="E2211" t="s">
        <v>232</v>
      </c>
      <c r="F2211">
        <v>1</v>
      </c>
      <c r="G2211">
        <v>94.15</v>
      </c>
    </row>
    <row r="2212" spans="1:7" x14ac:dyDescent="0.25">
      <c r="A2212" t="s">
        <v>278</v>
      </c>
      <c r="B2212" t="str">
        <f>_xlfn.XLOOKUP(A2212,[1]Municipios!$B:$B,[1]Municipios!$C:$C)</f>
        <v>Centro</v>
      </c>
      <c r="C2212" t="str">
        <f>_xlfn.XLOOKUP(A2212,[1]Municipios!$B:$B,[1]Municipios!$D:$D)</f>
        <v>Campos Gerais</v>
      </c>
      <c r="D2212">
        <v>2025</v>
      </c>
      <c r="E2212" t="s">
        <v>233</v>
      </c>
      <c r="F2212">
        <v>1</v>
      </c>
      <c r="G2212">
        <v>94.15</v>
      </c>
    </row>
    <row r="2213" spans="1:7" x14ac:dyDescent="0.25">
      <c r="A2213" t="s">
        <v>278</v>
      </c>
      <c r="B2213" t="str">
        <f>_xlfn.XLOOKUP(A2213,[1]Municipios!$B:$B,[1]Municipios!$C:$C)</f>
        <v>Centro</v>
      </c>
      <c r="C2213" t="str">
        <f>_xlfn.XLOOKUP(A2213,[1]Municipios!$B:$B,[1]Municipios!$D:$D)</f>
        <v>Campos Gerais</v>
      </c>
      <c r="D2213">
        <v>2025</v>
      </c>
      <c r="E2213" t="s">
        <v>215</v>
      </c>
      <c r="F2213">
        <v>1</v>
      </c>
      <c r="G2213">
        <v>94.15</v>
      </c>
    </row>
    <row r="2214" spans="1:7" x14ac:dyDescent="0.25">
      <c r="A2214" t="s">
        <v>278</v>
      </c>
      <c r="B2214" t="str">
        <f>_xlfn.XLOOKUP(A2214,[1]Municipios!$B:$B,[1]Municipios!$C:$C)</f>
        <v>Centro</v>
      </c>
      <c r="C2214" t="str">
        <f>_xlfn.XLOOKUP(A2214,[1]Municipios!$B:$B,[1]Municipios!$D:$D)</f>
        <v>Campos Gerais</v>
      </c>
      <c r="D2214">
        <v>2025</v>
      </c>
      <c r="E2214" t="s">
        <v>234</v>
      </c>
      <c r="F2214">
        <v>1</v>
      </c>
      <c r="G2214">
        <v>94.15</v>
      </c>
    </row>
    <row r="2215" spans="1:7" x14ac:dyDescent="0.25">
      <c r="A2215" t="s">
        <v>278</v>
      </c>
      <c r="B2215" t="str">
        <f>_xlfn.XLOOKUP(A2215,[1]Municipios!$B:$B,[1]Municipios!$C:$C)</f>
        <v>Centro</v>
      </c>
      <c r="C2215" t="str">
        <f>_xlfn.XLOOKUP(A2215,[1]Municipios!$B:$B,[1]Municipios!$D:$D)</f>
        <v>Campos Gerais</v>
      </c>
      <c r="D2215">
        <v>2025</v>
      </c>
      <c r="E2215" t="s">
        <v>235</v>
      </c>
      <c r="F2215">
        <v>1</v>
      </c>
      <c r="G2215">
        <v>94.15</v>
      </c>
    </row>
    <row r="2216" spans="1:7" x14ac:dyDescent="0.25">
      <c r="A2216" t="s">
        <v>278</v>
      </c>
      <c r="B2216" t="str">
        <f>_xlfn.XLOOKUP(A2216,[1]Municipios!$B:$B,[1]Municipios!$C:$C)</f>
        <v>Centro</v>
      </c>
      <c r="C2216" t="str">
        <f>_xlfn.XLOOKUP(A2216,[1]Municipios!$B:$B,[1]Municipios!$D:$D)</f>
        <v>Campos Gerais</v>
      </c>
      <c r="D2216">
        <v>2025</v>
      </c>
      <c r="E2216" t="s">
        <v>236</v>
      </c>
      <c r="F2216">
        <v>0.84620000000000006</v>
      </c>
      <c r="G2216">
        <v>94.15</v>
      </c>
    </row>
    <row r="2217" spans="1:7" x14ac:dyDescent="0.25">
      <c r="A2217" t="s">
        <v>278</v>
      </c>
      <c r="B2217" t="str">
        <f>_xlfn.XLOOKUP(A2217,[1]Municipios!$B:$B,[1]Municipios!$C:$C)</f>
        <v>Centro</v>
      </c>
      <c r="C2217" t="str">
        <f>_xlfn.XLOOKUP(A2217,[1]Municipios!$B:$B,[1]Municipios!$D:$D)</f>
        <v>Campos Gerais</v>
      </c>
      <c r="D2217">
        <v>2025</v>
      </c>
      <c r="E2217" t="s">
        <v>237</v>
      </c>
      <c r="F2217">
        <v>1</v>
      </c>
      <c r="G2217">
        <v>94.15</v>
      </c>
    </row>
    <row r="2218" spans="1:7" x14ac:dyDescent="0.25">
      <c r="A2218" t="s">
        <v>382</v>
      </c>
      <c r="B2218" t="str">
        <f>_xlfn.XLOOKUP(A2218,[1]Municipios!$B:$B,[1]Municipios!$C:$C)</f>
        <v>Leste</v>
      </c>
      <c r="C2218" t="str">
        <f>_xlfn.XLOOKUP(A2218,[1]Municipios!$B:$B,[1]Municipios!$D:$D)</f>
        <v>Litoral</v>
      </c>
      <c r="D2218">
        <v>2025</v>
      </c>
      <c r="E2218" t="s">
        <v>231</v>
      </c>
      <c r="F2218">
        <v>0.66669999999999996</v>
      </c>
      <c r="G2218">
        <v>82.38</v>
      </c>
    </row>
    <row r="2219" spans="1:7" x14ac:dyDescent="0.25">
      <c r="A2219" t="s">
        <v>382</v>
      </c>
      <c r="B2219" t="str">
        <f>_xlfn.XLOOKUP(A2219,[1]Municipios!$B:$B,[1]Municipios!$C:$C)</f>
        <v>Leste</v>
      </c>
      <c r="C2219" t="str">
        <f>_xlfn.XLOOKUP(A2219,[1]Municipios!$B:$B,[1]Municipios!$D:$D)</f>
        <v>Litoral</v>
      </c>
      <c r="D2219">
        <v>2025</v>
      </c>
      <c r="E2219" t="s">
        <v>232</v>
      </c>
      <c r="F2219">
        <v>0.92310000000000003</v>
      </c>
      <c r="G2219">
        <v>82.38</v>
      </c>
    </row>
    <row r="2220" spans="1:7" x14ac:dyDescent="0.25">
      <c r="A2220" t="s">
        <v>382</v>
      </c>
      <c r="B2220" t="str">
        <f>_xlfn.XLOOKUP(A2220,[1]Municipios!$B:$B,[1]Municipios!$C:$C)</f>
        <v>Leste</v>
      </c>
      <c r="C2220" t="str">
        <f>_xlfn.XLOOKUP(A2220,[1]Municipios!$B:$B,[1]Municipios!$D:$D)</f>
        <v>Litoral</v>
      </c>
      <c r="D2220">
        <v>2025</v>
      </c>
      <c r="E2220" t="s">
        <v>233</v>
      </c>
      <c r="F2220">
        <v>0.875</v>
      </c>
      <c r="G2220">
        <v>82.38</v>
      </c>
    </row>
    <row r="2221" spans="1:7" x14ac:dyDescent="0.25">
      <c r="A2221" t="s">
        <v>382</v>
      </c>
      <c r="B2221" t="str">
        <f>_xlfn.XLOOKUP(A2221,[1]Municipios!$B:$B,[1]Municipios!$C:$C)</f>
        <v>Leste</v>
      </c>
      <c r="C2221" t="str">
        <f>_xlfn.XLOOKUP(A2221,[1]Municipios!$B:$B,[1]Municipios!$D:$D)</f>
        <v>Litoral</v>
      </c>
      <c r="D2221">
        <v>2025</v>
      </c>
      <c r="E2221" t="s">
        <v>215</v>
      </c>
      <c r="F2221">
        <v>0.95000000000000007</v>
      </c>
      <c r="G2221">
        <v>82.38</v>
      </c>
    </row>
    <row r="2222" spans="1:7" x14ac:dyDescent="0.25">
      <c r="A2222" t="s">
        <v>382</v>
      </c>
      <c r="B2222" t="str">
        <f>_xlfn.XLOOKUP(A2222,[1]Municipios!$B:$B,[1]Municipios!$C:$C)</f>
        <v>Leste</v>
      </c>
      <c r="C2222" t="str">
        <f>_xlfn.XLOOKUP(A2222,[1]Municipios!$B:$B,[1]Municipios!$D:$D)</f>
        <v>Litoral</v>
      </c>
      <c r="D2222">
        <v>2025</v>
      </c>
      <c r="E2222" t="s">
        <v>234</v>
      </c>
      <c r="F2222">
        <v>0.77780000000000005</v>
      </c>
      <c r="G2222">
        <v>82.38</v>
      </c>
    </row>
    <row r="2223" spans="1:7" x14ac:dyDescent="0.25">
      <c r="A2223" t="s">
        <v>382</v>
      </c>
      <c r="B2223" t="str">
        <f>_xlfn.XLOOKUP(A2223,[1]Municipios!$B:$B,[1]Municipios!$C:$C)</f>
        <v>Leste</v>
      </c>
      <c r="C2223" t="str">
        <f>_xlfn.XLOOKUP(A2223,[1]Municipios!$B:$B,[1]Municipios!$D:$D)</f>
        <v>Litoral</v>
      </c>
      <c r="D2223">
        <v>2025</v>
      </c>
      <c r="E2223" t="s">
        <v>235</v>
      </c>
      <c r="F2223">
        <v>1</v>
      </c>
      <c r="G2223">
        <v>82.38</v>
      </c>
    </row>
    <row r="2224" spans="1:7" x14ac:dyDescent="0.25">
      <c r="A2224" t="s">
        <v>382</v>
      </c>
      <c r="B2224" t="str">
        <f>_xlfn.XLOOKUP(A2224,[1]Municipios!$B:$B,[1]Municipios!$C:$C)</f>
        <v>Leste</v>
      </c>
      <c r="C2224" t="str">
        <f>_xlfn.XLOOKUP(A2224,[1]Municipios!$B:$B,[1]Municipios!$D:$D)</f>
        <v>Litoral</v>
      </c>
      <c r="D2224">
        <v>2025</v>
      </c>
      <c r="E2224" t="s">
        <v>236</v>
      </c>
      <c r="F2224">
        <v>0.38469999999999999</v>
      </c>
      <c r="G2224">
        <v>82.38</v>
      </c>
    </row>
    <row r="2225" spans="1:7" x14ac:dyDescent="0.25">
      <c r="A2225" t="s">
        <v>382</v>
      </c>
      <c r="B2225" t="str">
        <f>_xlfn.XLOOKUP(A2225,[1]Municipios!$B:$B,[1]Municipios!$C:$C)</f>
        <v>Leste</v>
      </c>
      <c r="C2225" t="str">
        <f>_xlfn.XLOOKUP(A2225,[1]Municipios!$B:$B,[1]Municipios!$D:$D)</f>
        <v>Litoral</v>
      </c>
      <c r="D2225">
        <v>2025</v>
      </c>
      <c r="E2225" t="s">
        <v>237</v>
      </c>
      <c r="F2225">
        <v>1</v>
      </c>
      <c r="G2225">
        <v>82.38</v>
      </c>
    </row>
    <row r="2226" spans="1:7" x14ac:dyDescent="0.25">
      <c r="A2226" t="s">
        <v>476</v>
      </c>
      <c r="B2226" t="str">
        <f>_xlfn.XLOOKUP(A2226,[1]Municipios!$B:$B,[1]Municipios!$C:$C)</f>
        <v>Norte</v>
      </c>
      <c r="C2226" t="str">
        <f>_xlfn.XLOOKUP(A2226,[1]Municipios!$B:$B,[1]Municipios!$D:$D)</f>
        <v>Vale do Paranapanema</v>
      </c>
      <c r="D2226">
        <v>2025</v>
      </c>
      <c r="E2226" t="s">
        <v>231</v>
      </c>
      <c r="F2226">
        <v>0.88890000000000002</v>
      </c>
      <c r="G2226">
        <v>82.22</v>
      </c>
    </row>
    <row r="2227" spans="1:7" x14ac:dyDescent="0.25">
      <c r="A2227" t="s">
        <v>476</v>
      </c>
      <c r="B2227" t="str">
        <f>_xlfn.XLOOKUP(A2227,[1]Municipios!$B:$B,[1]Municipios!$C:$C)</f>
        <v>Norte</v>
      </c>
      <c r="C2227" t="str">
        <f>_xlfn.XLOOKUP(A2227,[1]Municipios!$B:$B,[1]Municipios!$D:$D)</f>
        <v>Vale do Paranapanema</v>
      </c>
      <c r="D2227">
        <v>2025</v>
      </c>
      <c r="E2227" t="s">
        <v>232</v>
      </c>
      <c r="F2227">
        <v>0.76929999999999998</v>
      </c>
      <c r="G2227">
        <v>82.22</v>
      </c>
    </row>
    <row r="2228" spans="1:7" x14ac:dyDescent="0.25">
      <c r="A2228" t="s">
        <v>476</v>
      </c>
      <c r="B2228" t="str">
        <f>_xlfn.XLOOKUP(A2228,[1]Municipios!$B:$B,[1]Municipios!$C:$C)</f>
        <v>Norte</v>
      </c>
      <c r="C2228" t="str">
        <f>_xlfn.XLOOKUP(A2228,[1]Municipios!$B:$B,[1]Municipios!$D:$D)</f>
        <v>Vale do Paranapanema</v>
      </c>
      <c r="D2228">
        <v>2025</v>
      </c>
      <c r="E2228" t="s">
        <v>233</v>
      </c>
      <c r="F2228">
        <v>0.875</v>
      </c>
      <c r="G2228">
        <v>82.22</v>
      </c>
    </row>
    <row r="2229" spans="1:7" x14ac:dyDescent="0.25">
      <c r="A2229" t="s">
        <v>476</v>
      </c>
      <c r="B2229" t="str">
        <f>_xlfn.XLOOKUP(A2229,[1]Municipios!$B:$B,[1]Municipios!$C:$C)</f>
        <v>Norte</v>
      </c>
      <c r="C2229" t="str">
        <f>_xlfn.XLOOKUP(A2229,[1]Municipios!$B:$B,[1]Municipios!$D:$D)</f>
        <v>Vale do Paranapanema</v>
      </c>
      <c r="D2229">
        <v>2025</v>
      </c>
      <c r="E2229" t="s">
        <v>215</v>
      </c>
      <c r="F2229">
        <v>1</v>
      </c>
      <c r="G2229">
        <v>82.22</v>
      </c>
    </row>
    <row r="2230" spans="1:7" x14ac:dyDescent="0.25">
      <c r="A2230" t="s">
        <v>476</v>
      </c>
      <c r="B2230" t="str">
        <f>_xlfn.XLOOKUP(A2230,[1]Municipios!$B:$B,[1]Municipios!$C:$C)</f>
        <v>Norte</v>
      </c>
      <c r="C2230" t="str">
        <f>_xlfn.XLOOKUP(A2230,[1]Municipios!$B:$B,[1]Municipios!$D:$D)</f>
        <v>Vale do Paranapanema</v>
      </c>
      <c r="D2230">
        <v>2025</v>
      </c>
      <c r="E2230" t="s">
        <v>234</v>
      </c>
      <c r="F2230">
        <v>0.66659999999999997</v>
      </c>
      <c r="G2230">
        <v>82.22</v>
      </c>
    </row>
    <row r="2231" spans="1:7" x14ac:dyDescent="0.25">
      <c r="A2231" t="s">
        <v>476</v>
      </c>
      <c r="B2231" t="str">
        <f>_xlfn.XLOOKUP(A2231,[1]Municipios!$B:$B,[1]Municipios!$C:$C)</f>
        <v>Norte</v>
      </c>
      <c r="C2231" t="str">
        <f>_xlfn.XLOOKUP(A2231,[1]Municipios!$B:$B,[1]Municipios!$D:$D)</f>
        <v>Vale do Paranapanema</v>
      </c>
      <c r="D2231">
        <v>2025</v>
      </c>
      <c r="E2231" t="s">
        <v>235</v>
      </c>
      <c r="F2231">
        <v>1</v>
      </c>
      <c r="G2231">
        <v>82.22</v>
      </c>
    </row>
    <row r="2232" spans="1:7" x14ac:dyDescent="0.25">
      <c r="A2232" t="s">
        <v>476</v>
      </c>
      <c r="B2232" t="str">
        <f>_xlfn.XLOOKUP(A2232,[1]Municipios!$B:$B,[1]Municipios!$C:$C)</f>
        <v>Norte</v>
      </c>
      <c r="C2232" t="str">
        <f>_xlfn.XLOOKUP(A2232,[1]Municipios!$B:$B,[1]Municipios!$D:$D)</f>
        <v>Vale do Paranapanema</v>
      </c>
      <c r="D2232">
        <v>2025</v>
      </c>
      <c r="E2232" t="s">
        <v>236</v>
      </c>
      <c r="F2232">
        <v>0.46159999999999995</v>
      </c>
      <c r="G2232">
        <v>82.22</v>
      </c>
    </row>
    <row r="2233" spans="1:7" x14ac:dyDescent="0.25">
      <c r="A2233" t="s">
        <v>476</v>
      </c>
      <c r="B2233" t="str">
        <f>_xlfn.XLOOKUP(A2233,[1]Municipios!$B:$B,[1]Municipios!$C:$C)</f>
        <v>Norte</v>
      </c>
      <c r="C2233" t="str">
        <f>_xlfn.XLOOKUP(A2233,[1]Municipios!$B:$B,[1]Municipios!$D:$D)</f>
        <v>Vale do Paranapanema</v>
      </c>
      <c r="D2233">
        <v>2025</v>
      </c>
      <c r="E2233" t="s">
        <v>237</v>
      </c>
      <c r="F2233">
        <v>1</v>
      </c>
      <c r="G2233">
        <v>82.22</v>
      </c>
    </row>
    <row r="2234" spans="1:7" x14ac:dyDescent="0.25">
      <c r="A2234" t="s">
        <v>279</v>
      </c>
      <c r="B2234" t="str">
        <f>_xlfn.XLOOKUP(A2234,[1]Municipios!$B:$B,[1]Municipios!$C:$C)</f>
        <v>Centro</v>
      </c>
      <c r="C2234" t="str">
        <f>_xlfn.XLOOKUP(A2234,[1]Municipios!$B:$B,[1]Municipios!$D:$D)</f>
        <v>Campos Gerais</v>
      </c>
      <c r="D2234">
        <v>2025</v>
      </c>
      <c r="E2234" t="s">
        <v>231</v>
      </c>
      <c r="F2234">
        <v>0.88890000000000002</v>
      </c>
      <c r="G2234">
        <v>82.93</v>
      </c>
    </row>
    <row r="2235" spans="1:7" x14ac:dyDescent="0.25">
      <c r="A2235" t="s">
        <v>279</v>
      </c>
      <c r="B2235" t="str">
        <f>_xlfn.XLOOKUP(A2235,[1]Municipios!$B:$B,[1]Municipios!$C:$C)</f>
        <v>Centro</v>
      </c>
      <c r="C2235" t="str">
        <f>_xlfn.XLOOKUP(A2235,[1]Municipios!$B:$B,[1]Municipios!$D:$D)</f>
        <v>Campos Gerais</v>
      </c>
      <c r="D2235">
        <v>2025</v>
      </c>
      <c r="E2235" t="s">
        <v>232</v>
      </c>
      <c r="F2235">
        <v>1</v>
      </c>
      <c r="G2235">
        <v>82.93</v>
      </c>
    </row>
    <row r="2236" spans="1:7" x14ac:dyDescent="0.25">
      <c r="A2236" t="s">
        <v>279</v>
      </c>
      <c r="B2236" t="str">
        <f>_xlfn.XLOOKUP(A2236,[1]Municipios!$B:$B,[1]Municipios!$C:$C)</f>
        <v>Centro</v>
      </c>
      <c r="C2236" t="str">
        <f>_xlfn.XLOOKUP(A2236,[1]Municipios!$B:$B,[1]Municipios!$D:$D)</f>
        <v>Campos Gerais</v>
      </c>
      <c r="D2236">
        <v>2025</v>
      </c>
      <c r="E2236" t="s">
        <v>233</v>
      </c>
      <c r="F2236">
        <v>0.75</v>
      </c>
      <c r="G2236">
        <v>82.93</v>
      </c>
    </row>
    <row r="2237" spans="1:7" x14ac:dyDescent="0.25">
      <c r="A2237" t="s">
        <v>279</v>
      </c>
      <c r="B2237" t="str">
        <f>_xlfn.XLOOKUP(A2237,[1]Municipios!$B:$B,[1]Municipios!$C:$C)</f>
        <v>Centro</v>
      </c>
      <c r="C2237" t="str">
        <f>_xlfn.XLOOKUP(A2237,[1]Municipios!$B:$B,[1]Municipios!$D:$D)</f>
        <v>Campos Gerais</v>
      </c>
      <c r="D2237">
        <v>2025</v>
      </c>
      <c r="E2237" t="s">
        <v>215</v>
      </c>
      <c r="F2237">
        <v>0.79999999999999993</v>
      </c>
      <c r="G2237">
        <v>82.93</v>
      </c>
    </row>
    <row r="2238" spans="1:7" x14ac:dyDescent="0.25">
      <c r="A2238" t="s">
        <v>279</v>
      </c>
      <c r="B2238" t="str">
        <f>_xlfn.XLOOKUP(A2238,[1]Municipios!$B:$B,[1]Municipios!$C:$C)</f>
        <v>Centro</v>
      </c>
      <c r="C2238" t="str">
        <f>_xlfn.XLOOKUP(A2238,[1]Municipios!$B:$B,[1]Municipios!$D:$D)</f>
        <v>Campos Gerais</v>
      </c>
      <c r="D2238">
        <v>2025</v>
      </c>
      <c r="E2238" t="s">
        <v>234</v>
      </c>
      <c r="F2238">
        <v>0.77780000000000005</v>
      </c>
      <c r="G2238">
        <v>82.93</v>
      </c>
    </row>
    <row r="2239" spans="1:7" x14ac:dyDescent="0.25">
      <c r="A2239" t="s">
        <v>279</v>
      </c>
      <c r="B2239" t="str">
        <f>_xlfn.XLOOKUP(A2239,[1]Municipios!$B:$B,[1]Municipios!$C:$C)</f>
        <v>Centro</v>
      </c>
      <c r="C2239" t="str">
        <f>_xlfn.XLOOKUP(A2239,[1]Municipios!$B:$B,[1]Municipios!$D:$D)</f>
        <v>Campos Gerais</v>
      </c>
      <c r="D2239">
        <v>2025</v>
      </c>
      <c r="E2239" t="s">
        <v>235</v>
      </c>
      <c r="F2239">
        <v>1</v>
      </c>
      <c r="G2239">
        <v>82.93</v>
      </c>
    </row>
    <row r="2240" spans="1:7" x14ac:dyDescent="0.25">
      <c r="A2240" t="s">
        <v>279</v>
      </c>
      <c r="B2240" t="str">
        <f>_xlfn.XLOOKUP(A2240,[1]Municipios!$B:$B,[1]Municipios!$C:$C)</f>
        <v>Centro</v>
      </c>
      <c r="C2240" t="str">
        <f>_xlfn.XLOOKUP(A2240,[1]Municipios!$B:$B,[1]Municipios!$D:$D)</f>
        <v>Campos Gerais</v>
      </c>
      <c r="D2240">
        <v>2025</v>
      </c>
      <c r="E2240" t="s">
        <v>236</v>
      </c>
      <c r="F2240">
        <v>0.30770000000000003</v>
      </c>
      <c r="G2240">
        <v>82.93</v>
      </c>
    </row>
    <row r="2241" spans="1:7" x14ac:dyDescent="0.25">
      <c r="A2241" t="s">
        <v>279</v>
      </c>
      <c r="B2241" t="str">
        <f>_xlfn.XLOOKUP(A2241,[1]Municipios!$B:$B,[1]Municipios!$C:$C)</f>
        <v>Centro</v>
      </c>
      <c r="C2241" t="str">
        <f>_xlfn.XLOOKUP(A2241,[1]Municipios!$B:$B,[1]Municipios!$D:$D)</f>
        <v>Campos Gerais</v>
      </c>
      <c r="D2241">
        <v>2025</v>
      </c>
      <c r="E2241" t="s">
        <v>237</v>
      </c>
      <c r="F2241">
        <v>1</v>
      </c>
      <c r="G2241">
        <v>82.93</v>
      </c>
    </row>
    <row r="2242" spans="1:7" x14ac:dyDescent="0.25">
      <c r="A2242" t="s">
        <v>529</v>
      </c>
      <c r="B2242" t="str">
        <f>_xlfn.XLOOKUP(A2242,[1]Municipios!$B:$B,[1]Municipios!$C:$C)</f>
        <v>Oeste</v>
      </c>
      <c r="C2242" t="str">
        <f>_xlfn.XLOOKUP(A2242,[1]Municipios!$B:$B,[1]Municipios!$D:$D)</f>
        <v>Cantuquiriguaçu</v>
      </c>
      <c r="D2242">
        <v>2025</v>
      </c>
      <c r="E2242" t="s">
        <v>231</v>
      </c>
      <c r="F2242">
        <v>0.66669999999999996</v>
      </c>
      <c r="G2242">
        <v>55.06</v>
      </c>
    </row>
    <row r="2243" spans="1:7" x14ac:dyDescent="0.25">
      <c r="A2243" t="s">
        <v>529</v>
      </c>
      <c r="B2243" t="str">
        <f>_xlfn.XLOOKUP(A2243,[1]Municipios!$B:$B,[1]Municipios!$C:$C)</f>
        <v>Oeste</v>
      </c>
      <c r="C2243" t="str">
        <f>_xlfn.XLOOKUP(A2243,[1]Municipios!$B:$B,[1]Municipios!$D:$D)</f>
        <v>Cantuquiriguaçu</v>
      </c>
      <c r="D2243">
        <v>2025</v>
      </c>
      <c r="E2243" t="s">
        <v>232</v>
      </c>
      <c r="F2243">
        <v>0.76919999999999999</v>
      </c>
      <c r="G2243">
        <v>55.06</v>
      </c>
    </row>
    <row r="2244" spans="1:7" x14ac:dyDescent="0.25">
      <c r="A2244" t="s">
        <v>529</v>
      </c>
      <c r="B2244" t="str">
        <f>_xlfn.XLOOKUP(A2244,[1]Municipios!$B:$B,[1]Municipios!$C:$C)</f>
        <v>Oeste</v>
      </c>
      <c r="C2244" t="str">
        <f>_xlfn.XLOOKUP(A2244,[1]Municipios!$B:$B,[1]Municipios!$D:$D)</f>
        <v>Cantuquiriguaçu</v>
      </c>
      <c r="D2244">
        <v>2025</v>
      </c>
      <c r="E2244" t="s">
        <v>233</v>
      </c>
      <c r="F2244">
        <v>0.625</v>
      </c>
      <c r="G2244">
        <v>55.06</v>
      </c>
    </row>
    <row r="2245" spans="1:7" x14ac:dyDescent="0.25">
      <c r="A2245" t="s">
        <v>529</v>
      </c>
      <c r="B2245" t="str">
        <f>_xlfn.XLOOKUP(A2245,[1]Municipios!$B:$B,[1]Municipios!$C:$C)</f>
        <v>Oeste</v>
      </c>
      <c r="C2245" t="str">
        <f>_xlfn.XLOOKUP(A2245,[1]Municipios!$B:$B,[1]Municipios!$D:$D)</f>
        <v>Cantuquiriguaçu</v>
      </c>
      <c r="D2245">
        <v>2025</v>
      </c>
      <c r="E2245" t="s">
        <v>215</v>
      </c>
      <c r="F2245">
        <v>0.75</v>
      </c>
      <c r="G2245">
        <v>55.06</v>
      </c>
    </row>
    <row r="2246" spans="1:7" x14ac:dyDescent="0.25">
      <c r="A2246" t="s">
        <v>529</v>
      </c>
      <c r="B2246" t="str">
        <f>_xlfn.XLOOKUP(A2246,[1]Municipios!$B:$B,[1]Municipios!$C:$C)</f>
        <v>Oeste</v>
      </c>
      <c r="C2246" t="str">
        <f>_xlfn.XLOOKUP(A2246,[1]Municipios!$B:$B,[1]Municipios!$D:$D)</f>
        <v>Cantuquiriguaçu</v>
      </c>
      <c r="D2246">
        <v>2025</v>
      </c>
      <c r="E2246" t="s">
        <v>234</v>
      </c>
      <c r="F2246">
        <v>0.55549999999999999</v>
      </c>
      <c r="G2246">
        <v>55.06</v>
      </c>
    </row>
    <row r="2247" spans="1:7" x14ac:dyDescent="0.25">
      <c r="A2247" t="s">
        <v>529</v>
      </c>
      <c r="B2247" t="str">
        <f>_xlfn.XLOOKUP(A2247,[1]Municipios!$B:$B,[1]Municipios!$C:$C)</f>
        <v>Oeste</v>
      </c>
      <c r="C2247" t="str">
        <f>_xlfn.XLOOKUP(A2247,[1]Municipios!$B:$B,[1]Municipios!$D:$D)</f>
        <v>Cantuquiriguaçu</v>
      </c>
      <c r="D2247">
        <v>2025</v>
      </c>
      <c r="E2247" t="s">
        <v>235</v>
      </c>
      <c r="F2247">
        <v>0.57130000000000003</v>
      </c>
      <c r="G2247">
        <v>55.06</v>
      </c>
    </row>
    <row r="2248" spans="1:7" x14ac:dyDescent="0.25">
      <c r="A2248" t="s">
        <v>529</v>
      </c>
      <c r="B2248" t="str">
        <f>_xlfn.XLOOKUP(A2248,[1]Municipios!$B:$B,[1]Municipios!$C:$C)</f>
        <v>Oeste</v>
      </c>
      <c r="C2248" t="str">
        <f>_xlfn.XLOOKUP(A2248,[1]Municipios!$B:$B,[1]Municipios!$D:$D)</f>
        <v>Cantuquiriguaçu</v>
      </c>
      <c r="D2248">
        <v>2025</v>
      </c>
      <c r="E2248" t="s">
        <v>236</v>
      </c>
      <c r="F2248">
        <v>0.38469999999999999</v>
      </c>
      <c r="G2248">
        <v>55.06</v>
      </c>
    </row>
    <row r="2249" spans="1:7" x14ac:dyDescent="0.25">
      <c r="A2249" t="s">
        <v>529</v>
      </c>
      <c r="B2249" t="str">
        <f>_xlfn.XLOOKUP(A2249,[1]Municipios!$B:$B,[1]Municipios!$C:$C)</f>
        <v>Oeste</v>
      </c>
      <c r="C2249" t="str">
        <f>_xlfn.XLOOKUP(A2249,[1]Municipios!$B:$B,[1]Municipios!$D:$D)</f>
        <v>Cantuquiriguaçu</v>
      </c>
      <c r="D2249">
        <v>2025</v>
      </c>
      <c r="E2249" t="s">
        <v>237</v>
      </c>
      <c r="F2249">
        <v>0</v>
      </c>
      <c r="G2249">
        <v>55.06</v>
      </c>
    </row>
    <row r="2250" spans="1:7" x14ac:dyDescent="0.25">
      <c r="A2250" t="s">
        <v>602</v>
      </c>
      <c r="B2250" t="str">
        <f>_xlfn.XLOOKUP(A2250,[1]Municipios!$B:$B,[1]Municipios!$C:$C)</f>
        <v>Noroeste</v>
      </c>
      <c r="C2250" t="str">
        <f>_xlfn.XLOOKUP(A2250,[1]Municipios!$B:$B,[1]Municipios!$D:$D)</f>
        <v>Costa Noroeste</v>
      </c>
      <c r="D2250">
        <v>2025</v>
      </c>
      <c r="E2250" t="s">
        <v>231</v>
      </c>
      <c r="F2250">
        <v>0</v>
      </c>
      <c r="G2250">
        <v>0</v>
      </c>
    </row>
    <row r="2251" spans="1:7" x14ac:dyDescent="0.25">
      <c r="A2251" t="s">
        <v>602</v>
      </c>
      <c r="B2251" t="str">
        <f>_xlfn.XLOOKUP(A2251,[1]Municipios!$B:$B,[1]Municipios!$C:$C)</f>
        <v>Noroeste</v>
      </c>
      <c r="C2251" t="str">
        <f>_xlfn.XLOOKUP(A2251,[1]Municipios!$B:$B,[1]Municipios!$D:$D)</f>
        <v>Costa Noroeste</v>
      </c>
      <c r="D2251">
        <v>2025</v>
      </c>
      <c r="E2251" t="s">
        <v>232</v>
      </c>
      <c r="F2251">
        <v>0.30760000000000004</v>
      </c>
      <c r="G2251">
        <v>0</v>
      </c>
    </row>
    <row r="2252" spans="1:7" x14ac:dyDescent="0.25">
      <c r="A2252" t="s">
        <v>602</v>
      </c>
      <c r="B2252" t="str">
        <f>_xlfn.XLOOKUP(A2252,[1]Municipios!$B:$B,[1]Municipios!$C:$C)</f>
        <v>Noroeste</v>
      </c>
      <c r="C2252" t="str">
        <f>_xlfn.XLOOKUP(A2252,[1]Municipios!$B:$B,[1]Municipios!$D:$D)</f>
        <v>Costa Noroeste</v>
      </c>
      <c r="D2252">
        <v>2025</v>
      </c>
      <c r="E2252" t="s">
        <v>233</v>
      </c>
      <c r="F2252">
        <v>0</v>
      </c>
      <c r="G2252">
        <v>0</v>
      </c>
    </row>
    <row r="2253" spans="1:7" x14ac:dyDescent="0.25">
      <c r="A2253" t="s">
        <v>602</v>
      </c>
      <c r="B2253" t="str">
        <f>_xlfn.XLOOKUP(A2253,[1]Municipios!$B:$B,[1]Municipios!$C:$C)</f>
        <v>Noroeste</v>
      </c>
      <c r="C2253" t="str">
        <f>_xlfn.XLOOKUP(A2253,[1]Municipios!$B:$B,[1]Municipios!$D:$D)</f>
        <v>Costa Noroeste</v>
      </c>
      <c r="D2253">
        <v>2025</v>
      </c>
      <c r="E2253" t="s">
        <v>215</v>
      </c>
      <c r="F2253">
        <v>0</v>
      </c>
      <c r="G2253">
        <v>0</v>
      </c>
    </row>
    <row r="2254" spans="1:7" x14ac:dyDescent="0.25">
      <c r="A2254" t="s">
        <v>602</v>
      </c>
      <c r="B2254" t="str">
        <f>_xlfn.XLOOKUP(A2254,[1]Municipios!$B:$B,[1]Municipios!$C:$C)</f>
        <v>Noroeste</v>
      </c>
      <c r="C2254" t="str">
        <f>_xlfn.XLOOKUP(A2254,[1]Municipios!$B:$B,[1]Municipios!$D:$D)</f>
        <v>Costa Noroeste</v>
      </c>
      <c r="D2254">
        <v>2025</v>
      </c>
      <c r="E2254" t="s">
        <v>234</v>
      </c>
      <c r="F2254">
        <v>0</v>
      </c>
      <c r="G2254">
        <v>0</v>
      </c>
    </row>
    <row r="2255" spans="1:7" x14ac:dyDescent="0.25">
      <c r="A2255" t="s">
        <v>602</v>
      </c>
      <c r="B2255" t="str">
        <f>_xlfn.XLOOKUP(A2255,[1]Municipios!$B:$B,[1]Municipios!$C:$C)</f>
        <v>Noroeste</v>
      </c>
      <c r="C2255" t="str">
        <f>_xlfn.XLOOKUP(A2255,[1]Municipios!$B:$B,[1]Municipios!$D:$D)</f>
        <v>Costa Noroeste</v>
      </c>
      <c r="D2255">
        <v>2025</v>
      </c>
      <c r="E2255" t="s">
        <v>235</v>
      </c>
      <c r="F2255">
        <v>0.1429</v>
      </c>
      <c r="G2255">
        <v>0</v>
      </c>
    </row>
    <row r="2256" spans="1:7" x14ac:dyDescent="0.25">
      <c r="A2256" t="s">
        <v>602</v>
      </c>
      <c r="B2256" t="str">
        <f>_xlfn.XLOOKUP(A2256,[1]Municipios!$B:$B,[1]Municipios!$C:$C)</f>
        <v>Noroeste</v>
      </c>
      <c r="C2256" t="str">
        <f>_xlfn.XLOOKUP(A2256,[1]Municipios!$B:$B,[1]Municipios!$D:$D)</f>
        <v>Costa Noroeste</v>
      </c>
      <c r="D2256">
        <v>2025</v>
      </c>
      <c r="E2256" t="s">
        <v>236</v>
      </c>
      <c r="F2256">
        <v>0</v>
      </c>
      <c r="G2256">
        <v>0</v>
      </c>
    </row>
    <row r="2257" spans="1:7" x14ac:dyDescent="0.25">
      <c r="A2257" t="s">
        <v>602</v>
      </c>
      <c r="B2257" t="str">
        <f>_xlfn.XLOOKUP(A2257,[1]Municipios!$B:$B,[1]Municipios!$C:$C)</f>
        <v>Noroeste</v>
      </c>
      <c r="C2257" t="str">
        <f>_xlfn.XLOOKUP(A2257,[1]Municipios!$B:$B,[1]Municipios!$D:$D)</f>
        <v>Costa Noroeste</v>
      </c>
      <c r="D2257">
        <v>2025</v>
      </c>
      <c r="E2257" t="s">
        <v>237</v>
      </c>
      <c r="F2257">
        <v>0</v>
      </c>
      <c r="G2257">
        <v>0</v>
      </c>
    </row>
    <row r="2258" spans="1:7" x14ac:dyDescent="0.25">
      <c r="A2258" t="s">
        <v>298</v>
      </c>
      <c r="B2258" t="str">
        <f>_xlfn.XLOOKUP(A2258,[1]Municipios!$B:$B,[1]Municipios!$C:$C)</f>
        <v>Sul</v>
      </c>
      <c r="C2258" t="str">
        <f>_xlfn.XLOOKUP(A2258,[1]Municipios!$B:$B,[1]Municipios!$D:$D)</f>
        <v>Sul do Paraná</v>
      </c>
      <c r="D2258">
        <v>2025</v>
      </c>
      <c r="E2258" t="s">
        <v>231</v>
      </c>
      <c r="F2258">
        <v>0</v>
      </c>
      <c r="G2258">
        <v>44.48</v>
      </c>
    </row>
    <row r="2259" spans="1:7" x14ac:dyDescent="0.25">
      <c r="A2259" t="s">
        <v>298</v>
      </c>
      <c r="B2259" t="str">
        <f>_xlfn.XLOOKUP(A2259,[1]Municipios!$B:$B,[1]Municipios!$C:$C)</f>
        <v>Sul</v>
      </c>
      <c r="C2259" t="str">
        <f>_xlfn.XLOOKUP(A2259,[1]Municipios!$B:$B,[1]Municipios!$D:$D)</f>
        <v>Sul do Paraná</v>
      </c>
      <c r="D2259">
        <v>2025</v>
      </c>
      <c r="E2259" t="s">
        <v>232</v>
      </c>
      <c r="F2259">
        <v>0.92310000000000003</v>
      </c>
      <c r="G2259">
        <v>44.48</v>
      </c>
    </row>
    <row r="2260" spans="1:7" x14ac:dyDescent="0.25">
      <c r="A2260" t="s">
        <v>298</v>
      </c>
      <c r="B2260" t="str">
        <f>_xlfn.XLOOKUP(A2260,[1]Municipios!$B:$B,[1]Municipios!$C:$C)</f>
        <v>Sul</v>
      </c>
      <c r="C2260" t="str">
        <f>_xlfn.XLOOKUP(A2260,[1]Municipios!$B:$B,[1]Municipios!$D:$D)</f>
        <v>Sul do Paraná</v>
      </c>
      <c r="D2260">
        <v>2025</v>
      </c>
      <c r="E2260" t="s">
        <v>233</v>
      </c>
      <c r="F2260">
        <v>0.625</v>
      </c>
      <c r="G2260">
        <v>44.48</v>
      </c>
    </row>
    <row r="2261" spans="1:7" x14ac:dyDescent="0.25">
      <c r="A2261" t="s">
        <v>298</v>
      </c>
      <c r="B2261" t="str">
        <f>_xlfn.XLOOKUP(A2261,[1]Municipios!$B:$B,[1]Municipios!$C:$C)</f>
        <v>Sul</v>
      </c>
      <c r="C2261" t="str">
        <f>_xlfn.XLOOKUP(A2261,[1]Municipios!$B:$B,[1]Municipios!$D:$D)</f>
        <v>Sul do Paraná</v>
      </c>
      <c r="D2261">
        <v>2025</v>
      </c>
      <c r="E2261" t="s">
        <v>215</v>
      </c>
      <c r="F2261">
        <v>0.19999999999999998</v>
      </c>
      <c r="G2261">
        <v>44.48</v>
      </c>
    </row>
    <row r="2262" spans="1:7" x14ac:dyDescent="0.25">
      <c r="A2262" t="s">
        <v>298</v>
      </c>
      <c r="B2262" t="str">
        <f>_xlfn.XLOOKUP(A2262,[1]Municipios!$B:$B,[1]Municipios!$C:$C)</f>
        <v>Sul</v>
      </c>
      <c r="C2262" t="str">
        <f>_xlfn.XLOOKUP(A2262,[1]Municipios!$B:$B,[1]Municipios!$D:$D)</f>
        <v>Sul do Paraná</v>
      </c>
      <c r="D2262">
        <v>2025</v>
      </c>
      <c r="E2262" t="s">
        <v>234</v>
      </c>
      <c r="F2262">
        <v>0.66659999999999997</v>
      </c>
      <c r="G2262">
        <v>44.48</v>
      </c>
    </row>
    <row r="2263" spans="1:7" x14ac:dyDescent="0.25">
      <c r="A2263" t="s">
        <v>298</v>
      </c>
      <c r="B2263" t="str">
        <f>_xlfn.XLOOKUP(A2263,[1]Municipios!$B:$B,[1]Municipios!$C:$C)</f>
        <v>Sul</v>
      </c>
      <c r="C2263" t="str">
        <f>_xlfn.XLOOKUP(A2263,[1]Municipios!$B:$B,[1]Municipios!$D:$D)</f>
        <v>Sul do Paraná</v>
      </c>
      <c r="D2263">
        <v>2025</v>
      </c>
      <c r="E2263" t="s">
        <v>235</v>
      </c>
      <c r="F2263">
        <v>0.42849999999999999</v>
      </c>
      <c r="G2263">
        <v>44.48</v>
      </c>
    </row>
    <row r="2264" spans="1:7" x14ac:dyDescent="0.25">
      <c r="A2264" t="s">
        <v>298</v>
      </c>
      <c r="B2264" t="str">
        <f>_xlfn.XLOOKUP(A2264,[1]Municipios!$B:$B,[1]Municipios!$C:$C)</f>
        <v>Sul</v>
      </c>
      <c r="C2264" t="str">
        <f>_xlfn.XLOOKUP(A2264,[1]Municipios!$B:$B,[1]Municipios!$D:$D)</f>
        <v>Sul do Paraná</v>
      </c>
      <c r="D2264">
        <v>2025</v>
      </c>
      <c r="E2264" t="s">
        <v>236</v>
      </c>
      <c r="F2264">
        <v>7.6999999999999999E-2</v>
      </c>
      <c r="G2264">
        <v>44.48</v>
      </c>
    </row>
    <row r="2265" spans="1:7" x14ac:dyDescent="0.25">
      <c r="A2265" t="s">
        <v>298</v>
      </c>
      <c r="B2265" t="str">
        <f>_xlfn.XLOOKUP(A2265,[1]Municipios!$B:$B,[1]Municipios!$C:$C)</f>
        <v>Sul</v>
      </c>
      <c r="C2265" t="str">
        <f>_xlfn.XLOOKUP(A2265,[1]Municipios!$B:$B,[1]Municipios!$D:$D)</f>
        <v>Sul do Paraná</v>
      </c>
      <c r="D2265">
        <v>2025</v>
      </c>
      <c r="E2265" t="s">
        <v>237</v>
      </c>
      <c r="F2265">
        <v>0.5</v>
      </c>
      <c r="G2265">
        <v>44.48</v>
      </c>
    </row>
    <row r="2266" spans="1:7" x14ac:dyDescent="0.25">
      <c r="A2266" t="s">
        <v>477</v>
      </c>
      <c r="B2266" t="str">
        <f>_xlfn.XLOOKUP(A2266,[1]Municipios!$B:$B,[1]Municipios!$C:$C)</f>
        <v>Norte</v>
      </c>
      <c r="C2266" t="str">
        <f>_xlfn.XLOOKUP(A2266,[1]Municipios!$B:$B,[1]Municipios!$D:$D)</f>
        <v>Vale do Paranapanema</v>
      </c>
      <c r="D2266">
        <v>2025</v>
      </c>
      <c r="E2266" t="s">
        <v>231</v>
      </c>
      <c r="F2266">
        <v>0.77779999999999994</v>
      </c>
      <c r="G2266">
        <v>61.91</v>
      </c>
    </row>
    <row r="2267" spans="1:7" x14ac:dyDescent="0.25">
      <c r="A2267" t="s">
        <v>477</v>
      </c>
      <c r="B2267" t="str">
        <f>_xlfn.XLOOKUP(A2267,[1]Municipios!$B:$B,[1]Municipios!$C:$C)</f>
        <v>Norte</v>
      </c>
      <c r="C2267" t="str">
        <f>_xlfn.XLOOKUP(A2267,[1]Municipios!$B:$B,[1]Municipios!$D:$D)</f>
        <v>Vale do Paranapanema</v>
      </c>
      <c r="D2267">
        <v>2025</v>
      </c>
      <c r="E2267" t="s">
        <v>232</v>
      </c>
      <c r="F2267">
        <v>0.69240000000000002</v>
      </c>
      <c r="G2267">
        <v>61.91</v>
      </c>
    </row>
    <row r="2268" spans="1:7" x14ac:dyDescent="0.25">
      <c r="A2268" t="s">
        <v>477</v>
      </c>
      <c r="B2268" t="str">
        <f>_xlfn.XLOOKUP(A2268,[1]Municipios!$B:$B,[1]Municipios!$C:$C)</f>
        <v>Norte</v>
      </c>
      <c r="C2268" t="str">
        <f>_xlfn.XLOOKUP(A2268,[1]Municipios!$B:$B,[1]Municipios!$D:$D)</f>
        <v>Vale do Paranapanema</v>
      </c>
      <c r="D2268">
        <v>2025</v>
      </c>
      <c r="E2268" t="s">
        <v>233</v>
      </c>
      <c r="F2268">
        <v>0.625</v>
      </c>
      <c r="G2268">
        <v>61.91</v>
      </c>
    </row>
    <row r="2269" spans="1:7" x14ac:dyDescent="0.25">
      <c r="A2269" t="s">
        <v>477</v>
      </c>
      <c r="B2269" t="str">
        <f>_xlfn.XLOOKUP(A2269,[1]Municipios!$B:$B,[1]Municipios!$C:$C)</f>
        <v>Norte</v>
      </c>
      <c r="C2269" t="str">
        <f>_xlfn.XLOOKUP(A2269,[1]Municipios!$B:$B,[1]Municipios!$D:$D)</f>
        <v>Vale do Paranapanema</v>
      </c>
      <c r="D2269">
        <v>2025</v>
      </c>
      <c r="E2269" t="s">
        <v>215</v>
      </c>
      <c r="F2269">
        <v>0.85</v>
      </c>
      <c r="G2269">
        <v>61.91</v>
      </c>
    </row>
    <row r="2270" spans="1:7" x14ac:dyDescent="0.25">
      <c r="A2270" t="s">
        <v>477</v>
      </c>
      <c r="B2270" t="str">
        <f>_xlfn.XLOOKUP(A2270,[1]Municipios!$B:$B,[1]Municipios!$C:$C)</f>
        <v>Norte</v>
      </c>
      <c r="C2270" t="str">
        <f>_xlfn.XLOOKUP(A2270,[1]Municipios!$B:$B,[1]Municipios!$D:$D)</f>
        <v>Vale do Paranapanema</v>
      </c>
      <c r="D2270">
        <v>2025</v>
      </c>
      <c r="E2270" t="s">
        <v>234</v>
      </c>
      <c r="F2270">
        <v>0.66659999999999997</v>
      </c>
      <c r="G2270">
        <v>61.91</v>
      </c>
    </row>
    <row r="2271" spans="1:7" x14ac:dyDescent="0.25">
      <c r="A2271" t="s">
        <v>477</v>
      </c>
      <c r="B2271" t="str">
        <f>_xlfn.XLOOKUP(A2271,[1]Municipios!$B:$B,[1]Municipios!$C:$C)</f>
        <v>Norte</v>
      </c>
      <c r="C2271" t="str">
        <f>_xlfn.XLOOKUP(A2271,[1]Municipios!$B:$B,[1]Municipios!$D:$D)</f>
        <v>Vale do Paranapanema</v>
      </c>
      <c r="D2271">
        <v>2025</v>
      </c>
      <c r="E2271" t="s">
        <v>235</v>
      </c>
      <c r="F2271">
        <v>0.57150000000000001</v>
      </c>
      <c r="G2271">
        <v>61.91</v>
      </c>
    </row>
    <row r="2272" spans="1:7" x14ac:dyDescent="0.25">
      <c r="A2272" t="s">
        <v>477</v>
      </c>
      <c r="B2272" t="str">
        <f>_xlfn.XLOOKUP(A2272,[1]Municipios!$B:$B,[1]Municipios!$C:$C)</f>
        <v>Norte</v>
      </c>
      <c r="C2272" t="str">
        <f>_xlfn.XLOOKUP(A2272,[1]Municipios!$B:$B,[1]Municipios!$D:$D)</f>
        <v>Vale do Paranapanema</v>
      </c>
      <c r="D2272">
        <v>2025</v>
      </c>
      <c r="E2272" t="s">
        <v>236</v>
      </c>
      <c r="F2272">
        <v>0.23080000000000001</v>
      </c>
      <c r="G2272">
        <v>61.91</v>
      </c>
    </row>
    <row r="2273" spans="1:7" x14ac:dyDescent="0.25">
      <c r="A2273" t="s">
        <v>477</v>
      </c>
      <c r="B2273" t="str">
        <f>_xlfn.XLOOKUP(A2273,[1]Municipios!$B:$B,[1]Municipios!$C:$C)</f>
        <v>Norte</v>
      </c>
      <c r="C2273" t="str">
        <f>_xlfn.XLOOKUP(A2273,[1]Municipios!$B:$B,[1]Municipios!$D:$D)</f>
        <v>Vale do Paranapanema</v>
      </c>
      <c r="D2273">
        <v>2025</v>
      </c>
      <c r="E2273" t="s">
        <v>237</v>
      </c>
      <c r="F2273">
        <v>0.5</v>
      </c>
      <c r="G2273">
        <v>61.91</v>
      </c>
    </row>
    <row r="2274" spans="1:7" x14ac:dyDescent="0.25">
      <c r="A2274" t="s">
        <v>391</v>
      </c>
      <c r="B2274" t="str">
        <f>_xlfn.XLOOKUP(A2274,[1]Municipios!$B:$B,[1]Municipios!$C:$C)</f>
        <v>Sul</v>
      </c>
      <c r="C2274" t="str">
        <f>_xlfn.XLOOKUP(A2274,[1]Municipios!$B:$B,[1]Municipios!$D:$D)</f>
        <v>Sudoeste La Frontera</v>
      </c>
      <c r="D2274">
        <v>2025</v>
      </c>
      <c r="E2274" t="s">
        <v>231</v>
      </c>
      <c r="F2274">
        <v>0.66669999999999996</v>
      </c>
      <c r="G2274">
        <v>79.91</v>
      </c>
    </row>
    <row r="2275" spans="1:7" x14ac:dyDescent="0.25">
      <c r="A2275" t="s">
        <v>391</v>
      </c>
      <c r="B2275" t="str">
        <f>_xlfn.XLOOKUP(A2275,[1]Municipios!$B:$B,[1]Municipios!$C:$C)</f>
        <v>Sul</v>
      </c>
      <c r="C2275" t="str">
        <f>_xlfn.XLOOKUP(A2275,[1]Municipios!$B:$B,[1]Municipios!$D:$D)</f>
        <v>Sudoeste La Frontera</v>
      </c>
      <c r="D2275">
        <v>2025</v>
      </c>
      <c r="E2275" t="s">
        <v>232</v>
      </c>
      <c r="F2275">
        <v>0.84619999999999995</v>
      </c>
      <c r="G2275">
        <v>79.91</v>
      </c>
    </row>
    <row r="2276" spans="1:7" x14ac:dyDescent="0.25">
      <c r="A2276" t="s">
        <v>391</v>
      </c>
      <c r="B2276" t="str">
        <f>_xlfn.XLOOKUP(A2276,[1]Municipios!$B:$B,[1]Municipios!$C:$C)</f>
        <v>Sul</v>
      </c>
      <c r="C2276" t="str">
        <f>_xlfn.XLOOKUP(A2276,[1]Municipios!$B:$B,[1]Municipios!$D:$D)</f>
        <v>Sudoeste La Frontera</v>
      </c>
      <c r="D2276">
        <v>2025</v>
      </c>
      <c r="E2276" t="s">
        <v>233</v>
      </c>
      <c r="F2276">
        <v>0.875</v>
      </c>
      <c r="G2276">
        <v>79.91</v>
      </c>
    </row>
    <row r="2277" spans="1:7" x14ac:dyDescent="0.25">
      <c r="A2277" t="s">
        <v>391</v>
      </c>
      <c r="B2277" t="str">
        <f>_xlfn.XLOOKUP(A2277,[1]Municipios!$B:$B,[1]Municipios!$C:$C)</f>
        <v>Sul</v>
      </c>
      <c r="C2277" t="str">
        <f>_xlfn.XLOOKUP(A2277,[1]Municipios!$B:$B,[1]Municipios!$D:$D)</f>
        <v>Sudoeste La Frontera</v>
      </c>
      <c r="D2277">
        <v>2025</v>
      </c>
      <c r="E2277" t="s">
        <v>215</v>
      </c>
      <c r="F2277">
        <v>1</v>
      </c>
      <c r="G2277">
        <v>79.91</v>
      </c>
    </row>
    <row r="2278" spans="1:7" x14ac:dyDescent="0.25">
      <c r="A2278" t="s">
        <v>391</v>
      </c>
      <c r="B2278" t="str">
        <f>_xlfn.XLOOKUP(A2278,[1]Municipios!$B:$B,[1]Municipios!$C:$C)</f>
        <v>Sul</v>
      </c>
      <c r="C2278" t="str">
        <f>_xlfn.XLOOKUP(A2278,[1]Municipios!$B:$B,[1]Municipios!$D:$D)</f>
        <v>Sudoeste La Frontera</v>
      </c>
      <c r="D2278">
        <v>2025</v>
      </c>
      <c r="E2278" t="s">
        <v>234</v>
      </c>
      <c r="F2278">
        <v>0.77780000000000005</v>
      </c>
      <c r="G2278">
        <v>79.91</v>
      </c>
    </row>
    <row r="2279" spans="1:7" x14ac:dyDescent="0.25">
      <c r="A2279" t="s">
        <v>391</v>
      </c>
      <c r="B2279" t="str">
        <f>_xlfn.XLOOKUP(A2279,[1]Municipios!$B:$B,[1]Municipios!$C:$C)</f>
        <v>Sul</v>
      </c>
      <c r="C2279" t="str">
        <f>_xlfn.XLOOKUP(A2279,[1]Municipios!$B:$B,[1]Municipios!$D:$D)</f>
        <v>Sudoeste La Frontera</v>
      </c>
      <c r="D2279">
        <v>2025</v>
      </c>
      <c r="E2279" t="s">
        <v>235</v>
      </c>
      <c r="F2279">
        <v>1</v>
      </c>
      <c r="G2279">
        <v>79.91</v>
      </c>
    </row>
    <row r="2280" spans="1:7" x14ac:dyDescent="0.25">
      <c r="A2280" t="s">
        <v>391</v>
      </c>
      <c r="B2280" t="str">
        <f>_xlfn.XLOOKUP(A2280,[1]Municipios!$B:$B,[1]Municipios!$C:$C)</f>
        <v>Sul</v>
      </c>
      <c r="C2280" t="str">
        <f>_xlfn.XLOOKUP(A2280,[1]Municipios!$B:$B,[1]Municipios!$D:$D)</f>
        <v>Sudoeste La Frontera</v>
      </c>
      <c r="D2280">
        <v>2025</v>
      </c>
      <c r="E2280" t="s">
        <v>236</v>
      </c>
      <c r="F2280">
        <v>0.23080000000000001</v>
      </c>
      <c r="G2280">
        <v>79.91</v>
      </c>
    </row>
    <row r="2281" spans="1:7" x14ac:dyDescent="0.25">
      <c r="A2281" t="s">
        <v>391</v>
      </c>
      <c r="B2281" t="str">
        <f>_xlfn.XLOOKUP(A2281,[1]Municipios!$B:$B,[1]Municipios!$C:$C)</f>
        <v>Sul</v>
      </c>
      <c r="C2281" t="str">
        <f>_xlfn.XLOOKUP(A2281,[1]Municipios!$B:$B,[1]Municipios!$D:$D)</f>
        <v>Sudoeste La Frontera</v>
      </c>
      <c r="D2281">
        <v>2025</v>
      </c>
      <c r="E2281" t="s">
        <v>237</v>
      </c>
      <c r="F2281">
        <v>1</v>
      </c>
      <c r="G2281">
        <v>79.91</v>
      </c>
    </row>
    <row r="2282" spans="1:7" x14ac:dyDescent="0.25">
      <c r="A2282" t="s">
        <v>603</v>
      </c>
      <c r="B2282" t="str">
        <f>_xlfn.XLOOKUP(A2282,[1]Municipios!$B:$B,[1]Municipios!$C:$C)</f>
        <v>Noroeste</v>
      </c>
      <c r="C2282" t="str">
        <f>_xlfn.XLOOKUP(A2282,[1]Municipios!$B:$B,[1]Municipios!$D:$D)</f>
        <v>Terra Roxa</v>
      </c>
      <c r="D2282">
        <v>2025</v>
      </c>
      <c r="E2282" t="s">
        <v>231</v>
      </c>
      <c r="F2282">
        <v>0.55549999999999988</v>
      </c>
      <c r="G2282">
        <v>58.54</v>
      </c>
    </row>
    <row r="2283" spans="1:7" x14ac:dyDescent="0.25">
      <c r="A2283" t="s">
        <v>603</v>
      </c>
      <c r="B2283" t="str">
        <f>_xlfn.XLOOKUP(A2283,[1]Municipios!$B:$B,[1]Municipios!$C:$C)</f>
        <v>Noroeste</v>
      </c>
      <c r="C2283" t="str">
        <f>_xlfn.XLOOKUP(A2283,[1]Municipios!$B:$B,[1]Municipios!$D:$D)</f>
        <v>Terra Roxa</v>
      </c>
      <c r="D2283">
        <v>2025</v>
      </c>
      <c r="E2283" t="s">
        <v>232</v>
      </c>
      <c r="F2283">
        <v>0.76919999999999999</v>
      </c>
      <c r="G2283">
        <v>58.54</v>
      </c>
    </row>
    <row r="2284" spans="1:7" x14ac:dyDescent="0.25">
      <c r="A2284" t="s">
        <v>603</v>
      </c>
      <c r="B2284" t="str">
        <f>_xlfn.XLOOKUP(A2284,[1]Municipios!$B:$B,[1]Municipios!$C:$C)</f>
        <v>Noroeste</v>
      </c>
      <c r="C2284" t="str">
        <f>_xlfn.XLOOKUP(A2284,[1]Municipios!$B:$B,[1]Municipios!$D:$D)</f>
        <v>Terra Roxa</v>
      </c>
      <c r="D2284">
        <v>2025</v>
      </c>
      <c r="E2284" t="s">
        <v>233</v>
      </c>
      <c r="F2284">
        <v>0.875</v>
      </c>
      <c r="G2284">
        <v>58.54</v>
      </c>
    </row>
    <row r="2285" spans="1:7" x14ac:dyDescent="0.25">
      <c r="A2285" t="s">
        <v>603</v>
      </c>
      <c r="B2285" t="str">
        <f>_xlfn.XLOOKUP(A2285,[1]Municipios!$B:$B,[1]Municipios!$C:$C)</f>
        <v>Noroeste</v>
      </c>
      <c r="C2285" t="str">
        <f>_xlfn.XLOOKUP(A2285,[1]Municipios!$B:$B,[1]Municipios!$D:$D)</f>
        <v>Terra Roxa</v>
      </c>
      <c r="D2285">
        <v>2025</v>
      </c>
      <c r="E2285" t="s">
        <v>215</v>
      </c>
      <c r="F2285">
        <v>0</v>
      </c>
      <c r="G2285">
        <v>58.54</v>
      </c>
    </row>
    <row r="2286" spans="1:7" x14ac:dyDescent="0.25">
      <c r="A2286" t="s">
        <v>603</v>
      </c>
      <c r="B2286" t="str">
        <f>_xlfn.XLOOKUP(A2286,[1]Municipios!$B:$B,[1]Municipios!$C:$C)</f>
        <v>Noroeste</v>
      </c>
      <c r="C2286" t="str">
        <f>_xlfn.XLOOKUP(A2286,[1]Municipios!$B:$B,[1]Municipios!$D:$D)</f>
        <v>Terra Roxa</v>
      </c>
      <c r="D2286">
        <v>2025</v>
      </c>
      <c r="E2286" t="s">
        <v>234</v>
      </c>
      <c r="F2286">
        <v>0.66669999999999996</v>
      </c>
      <c r="G2286">
        <v>58.54</v>
      </c>
    </row>
    <row r="2287" spans="1:7" x14ac:dyDescent="0.25">
      <c r="A2287" t="s">
        <v>603</v>
      </c>
      <c r="B2287" t="str">
        <f>_xlfn.XLOOKUP(A2287,[1]Municipios!$B:$B,[1]Municipios!$C:$C)</f>
        <v>Noroeste</v>
      </c>
      <c r="C2287" t="str">
        <f>_xlfn.XLOOKUP(A2287,[1]Municipios!$B:$B,[1]Municipios!$D:$D)</f>
        <v>Terra Roxa</v>
      </c>
      <c r="D2287">
        <v>2025</v>
      </c>
      <c r="E2287" t="s">
        <v>235</v>
      </c>
      <c r="F2287">
        <v>0.85710000000000008</v>
      </c>
      <c r="G2287">
        <v>58.54</v>
      </c>
    </row>
    <row r="2288" spans="1:7" x14ac:dyDescent="0.25">
      <c r="A2288" t="s">
        <v>603</v>
      </c>
      <c r="B2288" t="str">
        <f>_xlfn.XLOOKUP(A2288,[1]Municipios!$B:$B,[1]Municipios!$C:$C)</f>
        <v>Noroeste</v>
      </c>
      <c r="C2288" t="str">
        <f>_xlfn.XLOOKUP(A2288,[1]Municipios!$B:$B,[1]Municipios!$D:$D)</f>
        <v>Terra Roxa</v>
      </c>
      <c r="D2288">
        <v>2025</v>
      </c>
      <c r="E2288" t="s">
        <v>236</v>
      </c>
      <c r="F2288">
        <v>0</v>
      </c>
      <c r="G2288">
        <v>58.54</v>
      </c>
    </row>
    <row r="2289" spans="1:7" x14ac:dyDescent="0.25">
      <c r="A2289" t="s">
        <v>603</v>
      </c>
      <c r="B2289" t="str">
        <f>_xlfn.XLOOKUP(A2289,[1]Municipios!$B:$B,[1]Municipios!$C:$C)</f>
        <v>Noroeste</v>
      </c>
      <c r="C2289" t="str">
        <f>_xlfn.XLOOKUP(A2289,[1]Municipios!$B:$B,[1]Municipios!$D:$D)</f>
        <v>Terra Roxa</v>
      </c>
      <c r="D2289">
        <v>2025</v>
      </c>
      <c r="E2289" t="s">
        <v>237</v>
      </c>
      <c r="F2289">
        <v>1</v>
      </c>
      <c r="G2289">
        <v>58.54</v>
      </c>
    </row>
    <row r="2290" spans="1:7" x14ac:dyDescent="0.25">
      <c r="A2290" t="s">
        <v>478</v>
      </c>
      <c r="B2290" t="str">
        <f>_xlfn.XLOOKUP(A2290,[1]Municipios!$B:$B,[1]Municipios!$C:$C)</f>
        <v>Norte</v>
      </c>
      <c r="C2290" t="str">
        <f>_xlfn.XLOOKUP(A2290,[1]Municipios!$B:$B,[1]Municipios!$D:$D)</f>
        <v>Vale do Paranapanema</v>
      </c>
      <c r="D2290">
        <v>2025</v>
      </c>
      <c r="E2290" t="s">
        <v>231</v>
      </c>
      <c r="F2290">
        <v>1</v>
      </c>
      <c r="G2290">
        <v>86.06</v>
      </c>
    </row>
    <row r="2291" spans="1:7" x14ac:dyDescent="0.25">
      <c r="A2291" t="s">
        <v>478</v>
      </c>
      <c r="B2291" t="str">
        <f>_xlfn.XLOOKUP(A2291,[1]Municipios!$B:$B,[1]Municipios!$C:$C)</f>
        <v>Norte</v>
      </c>
      <c r="C2291" t="str">
        <f>_xlfn.XLOOKUP(A2291,[1]Municipios!$B:$B,[1]Municipios!$D:$D)</f>
        <v>Vale do Paranapanema</v>
      </c>
      <c r="D2291">
        <v>2025</v>
      </c>
      <c r="E2291" t="s">
        <v>232</v>
      </c>
      <c r="F2291">
        <v>0.92310000000000003</v>
      </c>
      <c r="G2291">
        <v>86.06</v>
      </c>
    </row>
    <row r="2292" spans="1:7" x14ac:dyDescent="0.25">
      <c r="A2292" t="s">
        <v>478</v>
      </c>
      <c r="B2292" t="str">
        <f>_xlfn.XLOOKUP(A2292,[1]Municipios!$B:$B,[1]Municipios!$C:$C)</f>
        <v>Norte</v>
      </c>
      <c r="C2292" t="str">
        <f>_xlfn.XLOOKUP(A2292,[1]Municipios!$B:$B,[1]Municipios!$D:$D)</f>
        <v>Vale do Paranapanema</v>
      </c>
      <c r="D2292">
        <v>2025</v>
      </c>
      <c r="E2292" t="s">
        <v>233</v>
      </c>
      <c r="F2292">
        <v>0.875</v>
      </c>
      <c r="G2292">
        <v>86.06</v>
      </c>
    </row>
    <row r="2293" spans="1:7" x14ac:dyDescent="0.25">
      <c r="A2293" t="s">
        <v>478</v>
      </c>
      <c r="B2293" t="str">
        <f>_xlfn.XLOOKUP(A2293,[1]Municipios!$B:$B,[1]Municipios!$C:$C)</f>
        <v>Norte</v>
      </c>
      <c r="C2293" t="str">
        <f>_xlfn.XLOOKUP(A2293,[1]Municipios!$B:$B,[1]Municipios!$D:$D)</f>
        <v>Vale do Paranapanema</v>
      </c>
      <c r="D2293">
        <v>2025</v>
      </c>
      <c r="E2293" t="s">
        <v>215</v>
      </c>
      <c r="F2293">
        <v>1</v>
      </c>
      <c r="G2293">
        <v>86.06</v>
      </c>
    </row>
    <row r="2294" spans="1:7" x14ac:dyDescent="0.25">
      <c r="A2294" t="s">
        <v>478</v>
      </c>
      <c r="B2294" t="str">
        <f>_xlfn.XLOOKUP(A2294,[1]Municipios!$B:$B,[1]Municipios!$C:$C)</f>
        <v>Norte</v>
      </c>
      <c r="C2294" t="str">
        <f>_xlfn.XLOOKUP(A2294,[1]Municipios!$B:$B,[1]Municipios!$D:$D)</f>
        <v>Vale do Paranapanema</v>
      </c>
      <c r="D2294">
        <v>2025</v>
      </c>
      <c r="E2294" t="s">
        <v>234</v>
      </c>
      <c r="F2294">
        <v>0.77780000000000005</v>
      </c>
      <c r="G2294">
        <v>86.06</v>
      </c>
    </row>
    <row r="2295" spans="1:7" x14ac:dyDescent="0.25">
      <c r="A2295" t="s">
        <v>478</v>
      </c>
      <c r="B2295" t="str">
        <f>_xlfn.XLOOKUP(A2295,[1]Municipios!$B:$B,[1]Municipios!$C:$C)</f>
        <v>Norte</v>
      </c>
      <c r="C2295" t="str">
        <f>_xlfn.XLOOKUP(A2295,[1]Municipios!$B:$B,[1]Municipios!$D:$D)</f>
        <v>Vale do Paranapanema</v>
      </c>
      <c r="D2295">
        <v>2025</v>
      </c>
      <c r="E2295" t="s">
        <v>235</v>
      </c>
      <c r="F2295">
        <v>1</v>
      </c>
      <c r="G2295">
        <v>86.06</v>
      </c>
    </row>
    <row r="2296" spans="1:7" x14ac:dyDescent="0.25">
      <c r="A2296" t="s">
        <v>478</v>
      </c>
      <c r="B2296" t="str">
        <f>_xlfn.XLOOKUP(A2296,[1]Municipios!$B:$B,[1]Municipios!$C:$C)</f>
        <v>Norte</v>
      </c>
      <c r="C2296" t="str">
        <f>_xlfn.XLOOKUP(A2296,[1]Municipios!$B:$B,[1]Municipios!$D:$D)</f>
        <v>Vale do Paranapanema</v>
      </c>
      <c r="D2296">
        <v>2025</v>
      </c>
      <c r="E2296" t="s">
        <v>236</v>
      </c>
      <c r="F2296">
        <v>0.30770000000000003</v>
      </c>
      <c r="G2296">
        <v>86.06</v>
      </c>
    </row>
    <row r="2297" spans="1:7" x14ac:dyDescent="0.25">
      <c r="A2297" t="s">
        <v>478</v>
      </c>
      <c r="B2297" t="str">
        <f>_xlfn.XLOOKUP(A2297,[1]Municipios!$B:$B,[1]Municipios!$C:$C)</f>
        <v>Norte</v>
      </c>
      <c r="C2297" t="str">
        <f>_xlfn.XLOOKUP(A2297,[1]Municipios!$B:$B,[1]Municipios!$D:$D)</f>
        <v>Vale do Paranapanema</v>
      </c>
      <c r="D2297">
        <v>2025</v>
      </c>
      <c r="E2297" t="s">
        <v>237</v>
      </c>
      <c r="F2297">
        <v>1</v>
      </c>
      <c r="G2297">
        <v>86.06</v>
      </c>
    </row>
    <row r="2298" spans="1:7" x14ac:dyDescent="0.25">
      <c r="A2298" t="s">
        <v>271</v>
      </c>
      <c r="B2298" t="str">
        <f>_xlfn.XLOOKUP(A2298,[1]Municipios!$B:$B,[1]Municipios!$C:$C)</f>
        <v>Centro</v>
      </c>
      <c r="C2298" t="str">
        <f>_xlfn.XLOOKUP(A2298,[1]Municipios!$B:$B,[1]Municipios!$D:$D)</f>
        <v>Vale Dos Pinheirais</v>
      </c>
      <c r="D2298">
        <v>2025</v>
      </c>
      <c r="E2298" t="s">
        <v>231</v>
      </c>
      <c r="F2298">
        <v>1</v>
      </c>
      <c r="G2298">
        <v>83.38</v>
      </c>
    </row>
    <row r="2299" spans="1:7" x14ac:dyDescent="0.25">
      <c r="A2299" t="s">
        <v>271</v>
      </c>
      <c r="B2299" t="str">
        <f>_xlfn.XLOOKUP(A2299,[1]Municipios!$B:$B,[1]Municipios!$C:$C)</f>
        <v>Centro</v>
      </c>
      <c r="C2299" t="str">
        <f>_xlfn.XLOOKUP(A2299,[1]Municipios!$B:$B,[1]Municipios!$D:$D)</f>
        <v>Vale Dos Pinheirais</v>
      </c>
      <c r="D2299">
        <v>2025</v>
      </c>
      <c r="E2299" t="s">
        <v>232</v>
      </c>
      <c r="F2299">
        <v>0.92310000000000003</v>
      </c>
      <c r="G2299">
        <v>83.38</v>
      </c>
    </row>
    <row r="2300" spans="1:7" x14ac:dyDescent="0.25">
      <c r="A2300" t="s">
        <v>271</v>
      </c>
      <c r="B2300" t="str">
        <f>_xlfn.XLOOKUP(A2300,[1]Municipios!$B:$B,[1]Municipios!$C:$C)</f>
        <v>Centro</v>
      </c>
      <c r="C2300" t="str">
        <f>_xlfn.XLOOKUP(A2300,[1]Municipios!$B:$B,[1]Municipios!$D:$D)</f>
        <v>Vale Dos Pinheirais</v>
      </c>
      <c r="D2300">
        <v>2025</v>
      </c>
      <c r="E2300" t="s">
        <v>233</v>
      </c>
      <c r="F2300">
        <v>0.875</v>
      </c>
      <c r="G2300">
        <v>83.38</v>
      </c>
    </row>
    <row r="2301" spans="1:7" x14ac:dyDescent="0.25">
      <c r="A2301" t="s">
        <v>271</v>
      </c>
      <c r="B2301" t="str">
        <f>_xlfn.XLOOKUP(A2301,[1]Municipios!$B:$B,[1]Municipios!$C:$C)</f>
        <v>Centro</v>
      </c>
      <c r="C2301" t="str">
        <f>_xlfn.XLOOKUP(A2301,[1]Municipios!$B:$B,[1]Municipios!$D:$D)</f>
        <v>Vale Dos Pinheirais</v>
      </c>
      <c r="D2301">
        <v>2025</v>
      </c>
      <c r="E2301" t="s">
        <v>215</v>
      </c>
      <c r="F2301">
        <v>0.70000000000000007</v>
      </c>
      <c r="G2301">
        <v>83.38</v>
      </c>
    </row>
    <row r="2302" spans="1:7" x14ac:dyDescent="0.25">
      <c r="A2302" t="s">
        <v>271</v>
      </c>
      <c r="B2302" t="str">
        <f>_xlfn.XLOOKUP(A2302,[1]Municipios!$B:$B,[1]Municipios!$C:$C)</f>
        <v>Centro</v>
      </c>
      <c r="C2302" t="str">
        <f>_xlfn.XLOOKUP(A2302,[1]Municipios!$B:$B,[1]Municipios!$D:$D)</f>
        <v>Vale Dos Pinheirais</v>
      </c>
      <c r="D2302">
        <v>2025</v>
      </c>
      <c r="E2302" t="s">
        <v>234</v>
      </c>
      <c r="F2302">
        <v>0.77770000000000006</v>
      </c>
      <c r="G2302">
        <v>83.38</v>
      </c>
    </row>
    <row r="2303" spans="1:7" x14ac:dyDescent="0.25">
      <c r="A2303" t="s">
        <v>271</v>
      </c>
      <c r="B2303" t="str">
        <f>_xlfn.XLOOKUP(A2303,[1]Municipios!$B:$B,[1]Municipios!$C:$C)</f>
        <v>Centro</v>
      </c>
      <c r="C2303" t="str">
        <f>_xlfn.XLOOKUP(A2303,[1]Municipios!$B:$B,[1]Municipios!$D:$D)</f>
        <v>Vale Dos Pinheirais</v>
      </c>
      <c r="D2303">
        <v>2025</v>
      </c>
      <c r="E2303" t="s">
        <v>235</v>
      </c>
      <c r="F2303">
        <v>1</v>
      </c>
      <c r="G2303">
        <v>83.38</v>
      </c>
    </row>
    <row r="2304" spans="1:7" x14ac:dyDescent="0.25">
      <c r="A2304" t="s">
        <v>271</v>
      </c>
      <c r="B2304" t="str">
        <f>_xlfn.XLOOKUP(A2304,[1]Municipios!$B:$B,[1]Municipios!$C:$C)</f>
        <v>Centro</v>
      </c>
      <c r="C2304" t="str">
        <f>_xlfn.XLOOKUP(A2304,[1]Municipios!$B:$B,[1]Municipios!$D:$D)</f>
        <v>Vale Dos Pinheirais</v>
      </c>
      <c r="D2304">
        <v>2025</v>
      </c>
      <c r="E2304" t="s">
        <v>236</v>
      </c>
      <c r="F2304">
        <v>0.38469999999999999</v>
      </c>
      <c r="G2304">
        <v>83.38</v>
      </c>
    </row>
    <row r="2305" spans="1:7" x14ac:dyDescent="0.25">
      <c r="A2305" t="s">
        <v>271</v>
      </c>
      <c r="B2305" t="str">
        <f>_xlfn.XLOOKUP(A2305,[1]Municipios!$B:$B,[1]Municipios!$C:$C)</f>
        <v>Centro</v>
      </c>
      <c r="C2305" t="str">
        <f>_xlfn.XLOOKUP(A2305,[1]Municipios!$B:$B,[1]Municipios!$D:$D)</f>
        <v>Vale Dos Pinheirais</v>
      </c>
      <c r="D2305">
        <v>2025</v>
      </c>
      <c r="E2305" t="s">
        <v>237</v>
      </c>
      <c r="F2305">
        <v>1</v>
      </c>
      <c r="G2305">
        <v>83.38</v>
      </c>
    </row>
    <row r="2306" spans="1:7" x14ac:dyDescent="0.25">
      <c r="A2306" t="s">
        <v>481</v>
      </c>
      <c r="B2306" t="str">
        <f>_xlfn.XLOOKUP(A2306,[1]Municipios!$B:$B,[1]Municipios!$C:$C)</f>
        <v>Noroeste</v>
      </c>
      <c r="C2306" t="str">
        <f>_xlfn.XLOOKUP(A2306,[1]Municipios!$B:$B,[1]Municipios!$D:$D)</f>
        <v>Centro Ocidental</v>
      </c>
      <c r="D2306">
        <v>2025</v>
      </c>
      <c r="E2306" t="s">
        <v>231</v>
      </c>
      <c r="F2306">
        <v>0.88890000000000002</v>
      </c>
      <c r="G2306">
        <v>55.84</v>
      </c>
    </row>
    <row r="2307" spans="1:7" x14ac:dyDescent="0.25">
      <c r="A2307" t="s">
        <v>481</v>
      </c>
      <c r="B2307" t="str">
        <f>_xlfn.XLOOKUP(A2307,[1]Municipios!$B:$B,[1]Municipios!$C:$C)</f>
        <v>Noroeste</v>
      </c>
      <c r="C2307" t="str">
        <f>_xlfn.XLOOKUP(A2307,[1]Municipios!$B:$B,[1]Municipios!$D:$D)</f>
        <v>Centro Ocidental</v>
      </c>
      <c r="D2307">
        <v>2025</v>
      </c>
      <c r="E2307" t="s">
        <v>232</v>
      </c>
      <c r="F2307">
        <v>0.53849999999999998</v>
      </c>
      <c r="G2307">
        <v>55.84</v>
      </c>
    </row>
    <row r="2308" spans="1:7" x14ac:dyDescent="0.25">
      <c r="A2308" t="s">
        <v>481</v>
      </c>
      <c r="B2308" t="str">
        <f>_xlfn.XLOOKUP(A2308,[1]Municipios!$B:$B,[1]Municipios!$C:$C)</f>
        <v>Noroeste</v>
      </c>
      <c r="C2308" t="str">
        <f>_xlfn.XLOOKUP(A2308,[1]Municipios!$B:$B,[1]Municipios!$D:$D)</f>
        <v>Centro Ocidental</v>
      </c>
      <c r="D2308">
        <v>2025</v>
      </c>
      <c r="E2308" t="s">
        <v>233</v>
      </c>
      <c r="F2308">
        <v>0.25</v>
      </c>
      <c r="G2308">
        <v>55.84</v>
      </c>
    </row>
    <row r="2309" spans="1:7" x14ac:dyDescent="0.25">
      <c r="A2309" t="s">
        <v>481</v>
      </c>
      <c r="B2309" t="str">
        <f>_xlfn.XLOOKUP(A2309,[1]Municipios!$B:$B,[1]Municipios!$C:$C)</f>
        <v>Noroeste</v>
      </c>
      <c r="C2309" t="str">
        <f>_xlfn.XLOOKUP(A2309,[1]Municipios!$B:$B,[1]Municipios!$D:$D)</f>
        <v>Centro Ocidental</v>
      </c>
      <c r="D2309">
        <v>2025</v>
      </c>
      <c r="E2309" t="s">
        <v>215</v>
      </c>
      <c r="F2309">
        <v>0.85</v>
      </c>
      <c r="G2309">
        <v>55.84</v>
      </c>
    </row>
    <row r="2310" spans="1:7" x14ac:dyDescent="0.25">
      <c r="A2310" t="s">
        <v>481</v>
      </c>
      <c r="B2310" t="str">
        <f>_xlfn.XLOOKUP(A2310,[1]Municipios!$B:$B,[1]Municipios!$C:$C)</f>
        <v>Noroeste</v>
      </c>
      <c r="C2310" t="str">
        <f>_xlfn.XLOOKUP(A2310,[1]Municipios!$B:$B,[1]Municipios!$D:$D)</f>
        <v>Centro Ocidental</v>
      </c>
      <c r="D2310">
        <v>2025</v>
      </c>
      <c r="E2310" t="s">
        <v>234</v>
      </c>
      <c r="F2310">
        <v>0.66669999999999996</v>
      </c>
      <c r="G2310">
        <v>55.84</v>
      </c>
    </row>
    <row r="2311" spans="1:7" x14ac:dyDescent="0.25">
      <c r="A2311" t="s">
        <v>481</v>
      </c>
      <c r="B2311" t="str">
        <f>_xlfn.XLOOKUP(A2311,[1]Municipios!$B:$B,[1]Municipios!$C:$C)</f>
        <v>Noroeste</v>
      </c>
      <c r="C2311" t="str">
        <f>_xlfn.XLOOKUP(A2311,[1]Municipios!$B:$B,[1]Municipios!$D:$D)</f>
        <v>Centro Ocidental</v>
      </c>
      <c r="D2311">
        <v>2025</v>
      </c>
      <c r="E2311" t="s">
        <v>235</v>
      </c>
      <c r="F2311">
        <v>0.42859999999999998</v>
      </c>
      <c r="G2311">
        <v>55.84</v>
      </c>
    </row>
    <row r="2312" spans="1:7" x14ac:dyDescent="0.25">
      <c r="A2312" t="s">
        <v>481</v>
      </c>
      <c r="B2312" t="str">
        <f>_xlfn.XLOOKUP(A2312,[1]Municipios!$B:$B,[1]Municipios!$C:$C)</f>
        <v>Noroeste</v>
      </c>
      <c r="C2312" t="str">
        <f>_xlfn.XLOOKUP(A2312,[1]Municipios!$B:$B,[1]Municipios!$D:$D)</f>
        <v>Centro Ocidental</v>
      </c>
      <c r="D2312">
        <v>2025</v>
      </c>
      <c r="E2312" t="s">
        <v>236</v>
      </c>
      <c r="F2312">
        <v>0.154</v>
      </c>
      <c r="G2312">
        <v>55.84</v>
      </c>
    </row>
    <row r="2313" spans="1:7" x14ac:dyDescent="0.25">
      <c r="A2313" t="s">
        <v>481</v>
      </c>
      <c r="B2313" t="str">
        <f>_xlfn.XLOOKUP(A2313,[1]Municipios!$B:$B,[1]Municipios!$C:$C)</f>
        <v>Noroeste</v>
      </c>
      <c r="C2313" t="str">
        <f>_xlfn.XLOOKUP(A2313,[1]Municipios!$B:$B,[1]Municipios!$D:$D)</f>
        <v>Centro Ocidental</v>
      </c>
      <c r="D2313">
        <v>2025</v>
      </c>
      <c r="E2313" t="s">
        <v>237</v>
      </c>
      <c r="F2313">
        <v>0.5</v>
      </c>
      <c r="G2313">
        <v>55.84</v>
      </c>
    </row>
    <row r="2314" spans="1:7" x14ac:dyDescent="0.25">
      <c r="A2314" t="s">
        <v>352</v>
      </c>
      <c r="B2314" t="str">
        <f>_xlfn.XLOOKUP(A2314,[1]Municipios!$B:$B,[1]Municipios!$C:$C)</f>
        <v>Norte</v>
      </c>
      <c r="C2314" t="str">
        <f>_xlfn.XLOOKUP(A2314,[1]Municipios!$B:$B,[1]Municipios!$D:$D)</f>
        <v>Norte Pioneiro</v>
      </c>
      <c r="D2314">
        <v>2025</v>
      </c>
      <c r="E2314" t="s">
        <v>231</v>
      </c>
      <c r="F2314">
        <v>0.66669999999999996</v>
      </c>
      <c r="G2314">
        <v>83.94</v>
      </c>
    </row>
    <row r="2315" spans="1:7" x14ac:dyDescent="0.25">
      <c r="A2315" t="s">
        <v>352</v>
      </c>
      <c r="B2315" t="str">
        <f>_xlfn.XLOOKUP(A2315,[1]Municipios!$B:$B,[1]Municipios!$C:$C)</f>
        <v>Norte</v>
      </c>
      <c r="C2315" t="str">
        <f>_xlfn.XLOOKUP(A2315,[1]Municipios!$B:$B,[1]Municipios!$D:$D)</f>
        <v>Norte Pioneiro</v>
      </c>
      <c r="D2315">
        <v>2025</v>
      </c>
      <c r="E2315" t="s">
        <v>232</v>
      </c>
      <c r="F2315">
        <v>0.76929999999999998</v>
      </c>
      <c r="G2315">
        <v>83.94</v>
      </c>
    </row>
    <row r="2316" spans="1:7" x14ac:dyDescent="0.25">
      <c r="A2316" t="s">
        <v>352</v>
      </c>
      <c r="B2316" t="str">
        <f>_xlfn.XLOOKUP(A2316,[1]Municipios!$B:$B,[1]Municipios!$C:$C)</f>
        <v>Norte</v>
      </c>
      <c r="C2316" t="str">
        <f>_xlfn.XLOOKUP(A2316,[1]Municipios!$B:$B,[1]Municipios!$D:$D)</f>
        <v>Norte Pioneiro</v>
      </c>
      <c r="D2316">
        <v>2025</v>
      </c>
      <c r="E2316" t="s">
        <v>233</v>
      </c>
      <c r="F2316">
        <v>0.875</v>
      </c>
      <c r="G2316">
        <v>83.94</v>
      </c>
    </row>
    <row r="2317" spans="1:7" x14ac:dyDescent="0.25">
      <c r="A2317" t="s">
        <v>352</v>
      </c>
      <c r="B2317" t="str">
        <f>_xlfn.XLOOKUP(A2317,[1]Municipios!$B:$B,[1]Municipios!$C:$C)</f>
        <v>Norte</v>
      </c>
      <c r="C2317" t="str">
        <f>_xlfn.XLOOKUP(A2317,[1]Municipios!$B:$B,[1]Municipios!$D:$D)</f>
        <v>Norte Pioneiro</v>
      </c>
      <c r="D2317">
        <v>2025</v>
      </c>
      <c r="E2317" t="s">
        <v>215</v>
      </c>
      <c r="F2317">
        <v>0.9</v>
      </c>
      <c r="G2317">
        <v>83.94</v>
      </c>
    </row>
    <row r="2318" spans="1:7" x14ac:dyDescent="0.25">
      <c r="A2318" t="s">
        <v>352</v>
      </c>
      <c r="B2318" t="str">
        <f>_xlfn.XLOOKUP(A2318,[1]Municipios!$B:$B,[1]Municipios!$C:$C)</f>
        <v>Norte</v>
      </c>
      <c r="C2318" t="str">
        <f>_xlfn.XLOOKUP(A2318,[1]Municipios!$B:$B,[1]Municipios!$D:$D)</f>
        <v>Norte Pioneiro</v>
      </c>
      <c r="D2318">
        <v>2025</v>
      </c>
      <c r="E2318" t="s">
        <v>234</v>
      </c>
      <c r="F2318">
        <v>0.77780000000000005</v>
      </c>
      <c r="G2318">
        <v>83.94</v>
      </c>
    </row>
    <row r="2319" spans="1:7" x14ac:dyDescent="0.25">
      <c r="A2319" t="s">
        <v>352</v>
      </c>
      <c r="B2319" t="str">
        <f>_xlfn.XLOOKUP(A2319,[1]Municipios!$B:$B,[1]Municipios!$C:$C)</f>
        <v>Norte</v>
      </c>
      <c r="C2319" t="str">
        <f>_xlfn.XLOOKUP(A2319,[1]Municipios!$B:$B,[1]Municipios!$D:$D)</f>
        <v>Norte Pioneiro</v>
      </c>
      <c r="D2319">
        <v>2025</v>
      </c>
      <c r="E2319" t="s">
        <v>235</v>
      </c>
      <c r="F2319">
        <v>1</v>
      </c>
      <c r="G2319">
        <v>83.94</v>
      </c>
    </row>
    <row r="2320" spans="1:7" x14ac:dyDescent="0.25">
      <c r="A2320" t="s">
        <v>352</v>
      </c>
      <c r="B2320" t="str">
        <f>_xlfn.XLOOKUP(A2320,[1]Municipios!$B:$B,[1]Municipios!$C:$C)</f>
        <v>Norte</v>
      </c>
      <c r="C2320" t="str">
        <f>_xlfn.XLOOKUP(A2320,[1]Municipios!$B:$B,[1]Municipios!$D:$D)</f>
        <v>Norte Pioneiro</v>
      </c>
      <c r="D2320">
        <v>2025</v>
      </c>
      <c r="E2320" t="s">
        <v>236</v>
      </c>
      <c r="F2320">
        <v>0.76929999999999987</v>
      </c>
      <c r="G2320">
        <v>83.94</v>
      </c>
    </row>
    <row r="2321" spans="1:7" x14ac:dyDescent="0.25">
      <c r="A2321" t="s">
        <v>352</v>
      </c>
      <c r="B2321" t="str">
        <f>_xlfn.XLOOKUP(A2321,[1]Municipios!$B:$B,[1]Municipios!$C:$C)</f>
        <v>Norte</v>
      </c>
      <c r="C2321" t="str">
        <f>_xlfn.XLOOKUP(A2321,[1]Municipios!$B:$B,[1]Municipios!$D:$D)</f>
        <v>Norte Pioneiro</v>
      </c>
      <c r="D2321">
        <v>2025</v>
      </c>
      <c r="E2321" t="s">
        <v>237</v>
      </c>
      <c r="F2321">
        <v>1</v>
      </c>
      <c r="G2321">
        <v>83.94</v>
      </c>
    </row>
    <row r="2322" spans="1:7" x14ac:dyDescent="0.25">
      <c r="A2322" t="s">
        <v>335</v>
      </c>
      <c r="B2322" t="str">
        <f>_xlfn.XLOOKUP(A2322,[1]Municipios!$B:$B,[1]Municipios!$C:$C)</f>
        <v>Leste</v>
      </c>
      <c r="C2322" t="str">
        <f>_xlfn.XLOOKUP(A2322,[1]Municipios!$B:$B,[1]Municipios!$D:$D)</f>
        <v>RMC</v>
      </c>
      <c r="D2322">
        <v>2025</v>
      </c>
      <c r="E2322" t="s">
        <v>231</v>
      </c>
      <c r="F2322">
        <v>0.55559999999999998</v>
      </c>
      <c r="G2322">
        <v>71.53</v>
      </c>
    </row>
    <row r="2323" spans="1:7" x14ac:dyDescent="0.25">
      <c r="A2323" t="s">
        <v>335</v>
      </c>
      <c r="B2323" t="str">
        <f>_xlfn.XLOOKUP(A2323,[1]Municipios!$B:$B,[1]Municipios!$C:$C)</f>
        <v>Leste</v>
      </c>
      <c r="C2323" t="str">
        <f>_xlfn.XLOOKUP(A2323,[1]Municipios!$B:$B,[1]Municipios!$D:$D)</f>
        <v>RMC</v>
      </c>
      <c r="D2323">
        <v>2025</v>
      </c>
      <c r="E2323" t="s">
        <v>232</v>
      </c>
      <c r="F2323">
        <v>0.76929999999999998</v>
      </c>
      <c r="G2323">
        <v>71.53</v>
      </c>
    </row>
    <row r="2324" spans="1:7" x14ac:dyDescent="0.25">
      <c r="A2324" t="s">
        <v>335</v>
      </c>
      <c r="B2324" t="str">
        <f>_xlfn.XLOOKUP(A2324,[1]Municipios!$B:$B,[1]Municipios!$C:$C)</f>
        <v>Leste</v>
      </c>
      <c r="C2324" t="str">
        <f>_xlfn.XLOOKUP(A2324,[1]Municipios!$B:$B,[1]Municipios!$D:$D)</f>
        <v>RMC</v>
      </c>
      <c r="D2324">
        <v>2025</v>
      </c>
      <c r="E2324" t="s">
        <v>233</v>
      </c>
      <c r="F2324">
        <v>0.875</v>
      </c>
      <c r="G2324">
        <v>71.53</v>
      </c>
    </row>
    <row r="2325" spans="1:7" x14ac:dyDescent="0.25">
      <c r="A2325" t="s">
        <v>335</v>
      </c>
      <c r="B2325" t="str">
        <f>_xlfn.XLOOKUP(A2325,[1]Municipios!$B:$B,[1]Municipios!$C:$C)</f>
        <v>Leste</v>
      </c>
      <c r="C2325" t="str">
        <f>_xlfn.XLOOKUP(A2325,[1]Municipios!$B:$B,[1]Municipios!$D:$D)</f>
        <v>RMC</v>
      </c>
      <c r="D2325">
        <v>2025</v>
      </c>
      <c r="E2325" t="s">
        <v>215</v>
      </c>
      <c r="F2325">
        <v>0.75</v>
      </c>
      <c r="G2325">
        <v>71.53</v>
      </c>
    </row>
    <row r="2326" spans="1:7" x14ac:dyDescent="0.25">
      <c r="A2326" t="s">
        <v>335</v>
      </c>
      <c r="B2326" t="str">
        <f>_xlfn.XLOOKUP(A2326,[1]Municipios!$B:$B,[1]Municipios!$C:$C)</f>
        <v>Leste</v>
      </c>
      <c r="C2326" t="str">
        <f>_xlfn.XLOOKUP(A2326,[1]Municipios!$B:$B,[1]Municipios!$D:$D)</f>
        <v>RMC</v>
      </c>
      <c r="D2326">
        <v>2025</v>
      </c>
      <c r="E2326" t="s">
        <v>234</v>
      </c>
      <c r="F2326">
        <v>0.66659999999999997</v>
      </c>
      <c r="G2326">
        <v>71.53</v>
      </c>
    </row>
    <row r="2327" spans="1:7" x14ac:dyDescent="0.25">
      <c r="A2327" t="s">
        <v>335</v>
      </c>
      <c r="B2327" t="str">
        <f>_xlfn.XLOOKUP(A2327,[1]Municipios!$B:$B,[1]Municipios!$C:$C)</f>
        <v>Leste</v>
      </c>
      <c r="C2327" t="str">
        <f>_xlfn.XLOOKUP(A2327,[1]Municipios!$B:$B,[1]Municipios!$D:$D)</f>
        <v>RMC</v>
      </c>
      <c r="D2327">
        <v>2025</v>
      </c>
      <c r="E2327" t="s">
        <v>235</v>
      </c>
      <c r="F2327">
        <v>1</v>
      </c>
      <c r="G2327">
        <v>71.53</v>
      </c>
    </row>
    <row r="2328" spans="1:7" x14ac:dyDescent="0.25">
      <c r="A2328" t="s">
        <v>335</v>
      </c>
      <c r="B2328" t="str">
        <f>_xlfn.XLOOKUP(A2328,[1]Municipios!$B:$B,[1]Municipios!$C:$C)</f>
        <v>Leste</v>
      </c>
      <c r="C2328" t="str">
        <f>_xlfn.XLOOKUP(A2328,[1]Municipios!$B:$B,[1]Municipios!$D:$D)</f>
        <v>RMC</v>
      </c>
      <c r="D2328">
        <v>2025</v>
      </c>
      <c r="E2328" t="s">
        <v>236</v>
      </c>
      <c r="F2328">
        <v>0.154</v>
      </c>
      <c r="G2328">
        <v>71.53</v>
      </c>
    </row>
    <row r="2329" spans="1:7" x14ac:dyDescent="0.25">
      <c r="A2329" t="s">
        <v>335</v>
      </c>
      <c r="B2329" t="str">
        <f>_xlfn.XLOOKUP(A2329,[1]Municipios!$B:$B,[1]Municipios!$C:$C)</f>
        <v>Leste</v>
      </c>
      <c r="C2329" t="str">
        <f>_xlfn.XLOOKUP(A2329,[1]Municipios!$B:$B,[1]Municipios!$D:$D)</f>
        <v>RMC</v>
      </c>
      <c r="D2329">
        <v>2025</v>
      </c>
      <c r="E2329" t="s">
        <v>237</v>
      </c>
      <c r="F2329">
        <v>1</v>
      </c>
      <c r="G2329">
        <v>71.53</v>
      </c>
    </row>
    <row r="2330" spans="1:7" x14ac:dyDescent="0.25">
      <c r="A2330" t="s">
        <v>604</v>
      </c>
      <c r="B2330" t="str">
        <f>_xlfn.XLOOKUP(A2330,[1]Municipios!$B:$B,[1]Municipios!$C:$C)</f>
        <v>Oeste</v>
      </c>
      <c r="C2330" t="str">
        <f>_xlfn.XLOOKUP(A2330,[1]Municipios!$B:$B,[1]Municipios!$D:$D)</f>
        <v>Oeste Integrado</v>
      </c>
      <c r="D2330">
        <v>2025</v>
      </c>
      <c r="E2330" t="s">
        <v>231</v>
      </c>
      <c r="F2330">
        <v>0.77779999999999994</v>
      </c>
      <c r="G2330">
        <v>73.3</v>
      </c>
    </row>
    <row r="2331" spans="1:7" x14ac:dyDescent="0.25">
      <c r="A2331" t="s">
        <v>604</v>
      </c>
      <c r="B2331" t="str">
        <f>_xlfn.XLOOKUP(A2331,[1]Municipios!$B:$B,[1]Municipios!$C:$C)</f>
        <v>Oeste</v>
      </c>
      <c r="C2331" t="str">
        <f>_xlfn.XLOOKUP(A2331,[1]Municipios!$B:$B,[1]Municipios!$D:$D)</f>
        <v>Oeste Integrado</v>
      </c>
      <c r="D2331">
        <v>2025</v>
      </c>
      <c r="E2331" t="s">
        <v>232</v>
      </c>
      <c r="F2331">
        <v>0.76929999999999998</v>
      </c>
      <c r="G2331">
        <v>73.3</v>
      </c>
    </row>
    <row r="2332" spans="1:7" x14ac:dyDescent="0.25">
      <c r="A2332" t="s">
        <v>604</v>
      </c>
      <c r="B2332" t="str">
        <f>_xlfn.XLOOKUP(A2332,[1]Municipios!$B:$B,[1]Municipios!$C:$C)</f>
        <v>Oeste</v>
      </c>
      <c r="C2332" t="str">
        <f>_xlfn.XLOOKUP(A2332,[1]Municipios!$B:$B,[1]Municipios!$D:$D)</f>
        <v>Oeste Integrado</v>
      </c>
      <c r="D2332">
        <v>2025</v>
      </c>
      <c r="E2332" t="s">
        <v>233</v>
      </c>
      <c r="F2332">
        <v>1</v>
      </c>
      <c r="G2332">
        <v>73.3</v>
      </c>
    </row>
    <row r="2333" spans="1:7" x14ac:dyDescent="0.25">
      <c r="A2333" t="s">
        <v>604</v>
      </c>
      <c r="B2333" t="str">
        <f>_xlfn.XLOOKUP(A2333,[1]Municipios!$B:$B,[1]Municipios!$C:$C)</f>
        <v>Oeste</v>
      </c>
      <c r="C2333" t="str">
        <f>_xlfn.XLOOKUP(A2333,[1]Municipios!$B:$B,[1]Municipios!$D:$D)</f>
        <v>Oeste Integrado</v>
      </c>
      <c r="D2333">
        <v>2025</v>
      </c>
      <c r="E2333" t="s">
        <v>215</v>
      </c>
      <c r="F2333">
        <v>0.70000000000000007</v>
      </c>
      <c r="G2333">
        <v>73.3</v>
      </c>
    </row>
    <row r="2334" spans="1:7" x14ac:dyDescent="0.25">
      <c r="A2334" t="s">
        <v>604</v>
      </c>
      <c r="B2334" t="str">
        <f>_xlfn.XLOOKUP(A2334,[1]Municipios!$B:$B,[1]Municipios!$C:$C)</f>
        <v>Oeste</v>
      </c>
      <c r="C2334" t="str">
        <f>_xlfn.XLOOKUP(A2334,[1]Municipios!$B:$B,[1]Municipios!$D:$D)</f>
        <v>Oeste Integrado</v>
      </c>
      <c r="D2334">
        <v>2025</v>
      </c>
      <c r="E2334" t="s">
        <v>234</v>
      </c>
      <c r="F2334">
        <v>0.66669999999999996</v>
      </c>
      <c r="G2334">
        <v>73.3</v>
      </c>
    </row>
    <row r="2335" spans="1:7" x14ac:dyDescent="0.25">
      <c r="A2335" t="s">
        <v>604</v>
      </c>
      <c r="B2335" t="str">
        <f>_xlfn.XLOOKUP(A2335,[1]Municipios!$B:$B,[1]Municipios!$C:$C)</f>
        <v>Oeste</v>
      </c>
      <c r="C2335" t="str">
        <f>_xlfn.XLOOKUP(A2335,[1]Municipios!$B:$B,[1]Municipios!$D:$D)</f>
        <v>Oeste Integrado</v>
      </c>
      <c r="D2335">
        <v>2025</v>
      </c>
      <c r="E2335" t="s">
        <v>235</v>
      </c>
      <c r="F2335">
        <v>1</v>
      </c>
      <c r="G2335">
        <v>73.3</v>
      </c>
    </row>
    <row r="2336" spans="1:7" x14ac:dyDescent="0.25">
      <c r="A2336" t="s">
        <v>604</v>
      </c>
      <c r="B2336" t="str">
        <f>_xlfn.XLOOKUP(A2336,[1]Municipios!$B:$B,[1]Municipios!$C:$C)</f>
        <v>Oeste</v>
      </c>
      <c r="C2336" t="str">
        <f>_xlfn.XLOOKUP(A2336,[1]Municipios!$B:$B,[1]Municipios!$D:$D)</f>
        <v>Oeste Integrado</v>
      </c>
      <c r="D2336">
        <v>2025</v>
      </c>
      <c r="E2336" t="s">
        <v>236</v>
      </c>
      <c r="F2336">
        <v>7.6999999999999999E-2</v>
      </c>
      <c r="G2336">
        <v>73.3</v>
      </c>
    </row>
    <row r="2337" spans="1:7" x14ac:dyDescent="0.25">
      <c r="A2337" t="s">
        <v>604</v>
      </c>
      <c r="B2337" t="str">
        <f>_xlfn.XLOOKUP(A2337,[1]Municipios!$B:$B,[1]Municipios!$C:$C)</f>
        <v>Oeste</v>
      </c>
      <c r="C2337" t="str">
        <f>_xlfn.XLOOKUP(A2337,[1]Municipios!$B:$B,[1]Municipios!$D:$D)</f>
        <v>Oeste Integrado</v>
      </c>
      <c r="D2337">
        <v>2025</v>
      </c>
      <c r="E2337" t="s">
        <v>237</v>
      </c>
      <c r="F2337">
        <v>1</v>
      </c>
      <c r="G2337">
        <v>73.3</v>
      </c>
    </row>
    <row r="2338" spans="1:7" x14ac:dyDescent="0.25">
      <c r="A2338" t="s">
        <v>530</v>
      </c>
      <c r="B2338" t="str">
        <f>_xlfn.XLOOKUP(A2338,[1]Municipios!$B:$B,[1]Municipios!$C:$C)</f>
        <v>Oeste</v>
      </c>
      <c r="C2338" t="str">
        <f>_xlfn.XLOOKUP(A2338,[1]Municipios!$B:$B,[1]Municipios!$D:$D)</f>
        <v>Cantuquiriguaçu</v>
      </c>
      <c r="D2338">
        <v>2025</v>
      </c>
      <c r="E2338" t="s">
        <v>231</v>
      </c>
      <c r="F2338">
        <v>0.77779999999999994</v>
      </c>
      <c r="G2338">
        <v>83.14</v>
      </c>
    </row>
    <row r="2339" spans="1:7" x14ac:dyDescent="0.25">
      <c r="A2339" t="s">
        <v>530</v>
      </c>
      <c r="B2339" t="str">
        <f>_xlfn.XLOOKUP(A2339,[1]Municipios!$B:$B,[1]Municipios!$C:$C)</f>
        <v>Oeste</v>
      </c>
      <c r="C2339" t="str">
        <f>_xlfn.XLOOKUP(A2339,[1]Municipios!$B:$B,[1]Municipios!$D:$D)</f>
        <v>Cantuquiriguaçu</v>
      </c>
      <c r="D2339">
        <v>2025</v>
      </c>
      <c r="E2339" t="s">
        <v>232</v>
      </c>
      <c r="F2339">
        <v>0.69240000000000002</v>
      </c>
      <c r="G2339">
        <v>83.14</v>
      </c>
    </row>
    <row r="2340" spans="1:7" x14ac:dyDescent="0.25">
      <c r="A2340" t="s">
        <v>530</v>
      </c>
      <c r="B2340" t="str">
        <f>_xlfn.XLOOKUP(A2340,[1]Municipios!$B:$B,[1]Municipios!$C:$C)</f>
        <v>Oeste</v>
      </c>
      <c r="C2340" t="str">
        <f>_xlfn.XLOOKUP(A2340,[1]Municipios!$B:$B,[1]Municipios!$D:$D)</f>
        <v>Cantuquiriguaçu</v>
      </c>
      <c r="D2340">
        <v>2025</v>
      </c>
      <c r="E2340" t="s">
        <v>233</v>
      </c>
      <c r="F2340">
        <v>1</v>
      </c>
      <c r="G2340">
        <v>83.14</v>
      </c>
    </row>
    <row r="2341" spans="1:7" x14ac:dyDescent="0.25">
      <c r="A2341" t="s">
        <v>530</v>
      </c>
      <c r="B2341" t="str">
        <f>_xlfn.XLOOKUP(A2341,[1]Municipios!$B:$B,[1]Municipios!$C:$C)</f>
        <v>Oeste</v>
      </c>
      <c r="C2341" t="str">
        <f>_xlfn.XLOOKUP(A2341,[1]Municipios!$B:$B,[1]Municipios!$D:$D)</f>
        <v>Cantuquiriguaçu</v>
      </c>
      <c r="D2341">
        <v>2025</v>
      </c>
      <c r="E2341" t="s">
        <v>215</v>
      </c>
      <c r="F2341">
        <v>0.85</v>
      </c>
      <c r="G2341">
        <v>83.14</v>
      </c>
    </row>
    <row r="2342" spans="1:7" x14ac:dyDescent="0.25">
      <c r="A2342" t="s">
        <v>530</v>
      </c>
      <c r="B2342" t="str">
        <f>_xlfn.XLOOKUP(A2342,[1]Municipios!$B:$B,[1]Municipios!$C:$C)</f>
        <v>Oeste</v>
      </c>
      <c r="C2342" t="str">
        <f>_xlfn.XLOOKUP(A2342,[1]Municipios!$B:$B,[1]Municipios!$D:$D)</f>
        <v>Cantuquiriguaçu</v>
      </c>
      <c r="D2342">
        <v>2025</v>
      </c>
      <c r="E2342" t="s">
        <v>234</v>
      </c>
      <c r="F2342">
        <v>0.77770000000000006</v>
      </c>
      <c r="G2342">
        <v>83.14</v>
      </c>
    </row>
    <row r="2343" spans="1:7" x14ac:dyDescent="0.25">
      <c r="A2343" t="s">
        <v>530</v>
      </c>
      <c r="B2343" t="str">
        <f>_xlfn.XLOOKUP(A2343,[1]Municipios!$B:$B,[1]Municipios!$C:$C)</f>
        <v>Oeste</v>
      </c>
      <c r="C2343" t="str">
        <f>_xlfn.XLOOKUP(A2343,[1]Municipios!$B:$B,[1]Municipios!$D:$D)</f>
        <v>Cantuquiriguaçu</v>
      </c>
      <c r="D2343">
        <v>2025</v>
      </c>
      <c r="E2343" t="s">
        <v>235</v>
      </c>
      <c r="F2343">
        <v>1</v>
      </c>
      <c r="G2343">
        <v>83.14</v>
      </c>
    </row>
    <row r="2344" spans="1:7" x14ac:dyDescent="0.25">
      <c r="A2344" t="s">
        <v>530</v>
      </c>
      <c r="B2344" t="str">
        <f>_xlfn.XLOOKUP(A2344,[1]Municipios!$B:$B,[1]Municipios!$C:$C)</f>
        <v>Oeste</v>
      </c>
      <c r="C2344" t="str">
        <f>_xlfn.XLOOKUP(A2344,[1]Municipios!$B:$B,[1]Municipios!$D:$D)</f>
        <v>Cantuquiriguaçu</v>
      </c>
      <c r="D2344">
        <v>2025</v>
      </c>
      <c r="E2344" t="s">
        <v>236</v>
      </c>
      <c r="F2344">
        <v>0.69240000000000002</v>
      </c>
      <c r="G2344">
        <v>83.14</v>
      </c>
    </row>
    <row r="2345" spans="1:7" x14ac:dyDescent="0.25">
      <c r="A2345" t="s">
        <v>530</v>
      </c>
      <c r="B2345" t="str">
        <f>_xlfn.XLOOKUP(A2345,[1]Municipios!$B:$B,[1]Municipios!$C:$C)</f>
        <v>Oeste</v>
      </c>
      <c r="C2345" t="str">
        <f>_xlfn.XLOOKUP(A2345,[1]Municipios!$B:$B,[1]Municipios!$D:$D)</f>
        <v>Cantuquiriguaçu</v>
      </c>
      <c r="D2345">
        <v>2025</v>
      </c>
      <c r="E2345" t="s">
        <v>237</v>
      </c>
      <c r="F2345">
        <v>1</v>
      </c>
      <c r="G2345">
        <v>83.14</v>
      </c>
    </row>
    <row r="2346" spans="1:7" x14ac:dyDescent="0.25">
      <c r="A2346" t="s">
        <v>605</v>
      </c>
      <c r="B2346" t="str">
        <f>_xlfn.XLOOKUP(A2346,[1]Municipios!$B:$B,[1]Municipios!$C:$C)</f>
        <v>Noroeste</v>
      </c>
      <c r="C2346" t="str">
        <f>_xlfn.XLOOKUP(A2346,[1]Municipios!$B:$B,[1]Municipios!$D:$D)</f>
        <v>Costa Noroeste</v>
      </c>
      <c r="D2346">
        <v>2025</v>
      </c>
      <c r="E2346" t="s">
        <v>231</v>
      </c>
      <c r="F2346">
        <v>0.77779999999999994</v>
      </c>
      <c r="G2346">
        <v>75.12</v>
      </c>
    </row>
    <row r="2347" spans="1:7" x14ac:dyDescent="0.25">
      <c r="A2347" t="s">
        <v>605</v>
      </c>
      <c r="B2347" t="str">
        <f>_xlfn.XLOOKUP(A2347,[1]Municipios!$B:$B,[1]Municipios!$C:$C)</f>
        <v>Noroeste</v>
      </c>
      <c r="C2347" t="str">
        <f>_xlfn.XLOOKUP(A2347,[1]Municipios!$B:$B,[1]Municipios!$D:$D)</f>
        <v>Costa Noroeste</v>
      </c>
      <c r="D2347">
        <v>2025</v>
      </c>
      <c r="E2347" t="s">
        <v>232</v>
      </c>
      <c r="F2347">
        <v>0.69240000000000002</v>
      </c>
      <c r="G2347">
        <v>75.12</v>
      </c>
    </row>
    <row r="2348" spans="1:7" x14ac:dyDescent="0.25">
      <c r="A2348" t="s">
        <v>605</v>
      </c>
      <c r="B2348" t="str">
        <f>_xlfn.XLOOKUP(A2348,[1]Municipios!$B:$B,[1]Municipios!$C:$C)</f>
        <v>Noroeste</v>
      </c>
      <c r="C2348" t="str">
        <f>_xlfn.XLOOKUP(A2348,[1]Municipios!$B:$B,[1]Municipios!$D:$D)</f>
        <v>Costa Noroeste</v>
      </c>
      <c r="D2348">
        <v>2025</v>
      </c>
      <c r="E2348" t="s">
        <v>233</v>
      </c>
      <c r="F2348">
        <v>1</v>
      </c>
      <c r="G2348">
        <v>75.12</v>
      </c>
    </row>
    <row r="2349" spans="1:7" x14ac:dyDescent="0.25">
      <c r="A2349" t="s">
        <v>605</v>
      </c>
      <c r="B2349" t="str">
        <f>_xlfn.XLOOKUP(A2349,[1]Municipios!$B:$B,[1]Municipios!$C:$C)</f>
        <v>Noroeste</v>
      </c>
      <c r="C2349" t="str">
        <f>_xlfn.XLOOKUP(A2349,[1]Municipios!$B:$B,[1]Municipios!$D:$D)</f>
        <v>Costa Noroeste</v>
      </c>
      <c r="D2349">
        <v>2025</v>
      </c>
      <c r="E2349" t="s">
        <v>215</v>
      </c>
      <c r="F2349">
        <v>0.79999999999999993</v>
      </c>
      <c r="G2349">
        <v>75.12</v>
      </c>
    </row>
    <row r="2350" spans="1:7" x14ac:dyDescent="0.25">
      <c r="A2350" t="s">
        <v>605</v>
      </c>
      <c r="B2350" t="str">
        <f>_xlfn.XLOOKUP(A2350,[1]Municipios!$B:$B,[1]Municipios!$C:$C)</f>
        <v>Noroeste</v>
      </c>
      <c r="C2350" t="str">
        <f>_xlfn.XLOOKUP(A2350,[1]Municipios!$B:$B,[1]Municipios!$D:$D)</f>
        <v>Costa Noroeste</v>
      </c>
      <c r="D2350">
        <v>2025</v>
      </c>
      <c r="E2350" t="s">
        <v>234</v>
      </c>
      <c r="F2350">
        <v>0.66659999999999997</v>
      </c>
      <c r="G2350">
        <v>75.12</v>
      </c>
    </row>
    <row r="2351" spans="1:7" x14ac:dyDescent="0.25">
      <c r="A2351" t="s">
        <v>605</v>
      </c>
      <c r="B2351" t="str">
        <f>_xlfn.XLOOKUP(A2351,[1]Municipios!$B:$B,[1]Municipios!$C:$C)</f>
        <v>Noroeste</v>
      </c>
      <c r="C2351" t="str">
        <f>_xlfn.XLOOKUP(A2351,[1]Municipios!$B:$B,[1]Municipios!$D:$D)</f>
        <v>Costa Noroeste</v>
      </c>
      <c r="D2351">
        <v>2025</v>
      </c>
      <c r="E2351" t="s">
        <v>235</v>
      </c>
      <c r="F2351">
        <v>1</v>
      </c>
      <c r="G2351">
        <v>75.12</v>
      </c>
    </row>
    <row r="2352" spans="1:7" x14ac:dyDescent="0.25">
      <c r="A2352" t="s">
        <v>605</v>
      </c>
      <c r="B2352" t="str">
        <f>_xlfn.XLOOKUP(A2352,[1]Municipios!$B:$B,[1]Municipios!$C:$C)</f>
        <v>Noroeste</v>
      </c>
      <c r="C2352" t="str">
        <f>_xlfn.XLOOKUP(A2352,[1]Municipios!$B:$B,[1]Municipios!$D:$D)</f>
        <v>Costa Noroeste</v>
      </c>
      <c r="D2352">
        <v>2025</v>
      </c>
      <c r="E2352" t="s">
        <v>236</v>
      </c>
      <c r="F2352">
        <v>0.23089999999999999</v>
      </c>
      <c r="G2352">
        <v>75.12</v>
      </c>
    </row>
    <row r="2353" spans="1:7" x14ac:dyDescent="0.25">
      <c r="A2353" t="s">
        <v>605</v>
      </c>
      <c r="B2353" t="str">
        <f>_xlfn.XLOOKUP(A2353,[1]Municipios!$B:$B,[1]Municipios!$C:$C)</f>
        <v>Noroeste</v>
      </c>
      <c r="C2353" t="str">
        <f>_xlfn.XLOOKUP(A2353,[1]Municipios!$B:$B,[1]Municipios!$D:$D)</f>
        <v>Costa Noroeste</v>
      </c>
      <c r="D2353">
        <v>2025</v>
      </c>
      <c r="E2353" t="s">
        <v>237</v>
      </c>
      <c r="F2353">
        <v>1</v>
      </c>
      <c r="G2353">
        <v>75.12</v>
      </c>
    </row>
    <row r="2354" spans="1:7" x14ac:dyDescent="0.25">
      <c r="A2354" t="s">
        <v>482</v>
      </c>
      <c r="B2354" t="str">
        <f>_xlfn.XLOOKUP(A2354,[1]Municipios!$B:$B,[1]Municipios!$C:$C)</f>
        <v>Noroeste</v>
      </c>
      <c r="C2354" t="str">
        <f>_xlfn.XLOOKUP(A2354,[1]Municipios!$B:$B,[1]Municipios!$D:$D)</f>
        <v>Centro Ocidental</v>
      </c>
      <c r="D2354">
        <v>2025</v>
      </c>
      <c r="E2354" t="s">
        <v>231</v>
      </c>
      <c r="F2354">
        <v>0.77779999999999994</v>
      </c>
      <c r="G2354">
        <v>64.48</v>
      </c>
    </row>
    <row r="2355" spans="1:7" x14ac:dyDescent="0.25">
      <c r="A2355" t="s">
        <v>482</v>
      </c>
      <c r="B2355" t="str">
        <f>_xlfn.XLOOKUP(A2355,[1]Municipios!$B:$B,[1]Municipios!$C:$C)</f>
        <v>Noroeste</v>
      </c>
      <c r="C2355" t="str">
        <f>_xlfn.XLOOKUP(A2355,[1]Municipios!$B:$B,[1]Municipios!$D:$D)</f>
        <v>Centro Ocidental</v>
      </c>
      <c r="D2355">
        <v>2025</v>
      </c>
      <c r="E2355" t="s">
        <v>232</v>
      </c>
      <c r="F2355">
        <v>0.69230000000000003</v>
      </c>
      <c r="G2355">
        <v>64.48</v>
      </c>
    </row>
    <row r="2356" spans="1:7" x14ac:dyDescent="0.25">
      <c r="A2356" t="s">
        <v>482</v>
      </c>
      <c r="B2356" t="str">
        <f>_xlfn.XLOOKUP(A2356,[1]Municipios!$B:$B,[1]Municipios!$C:$C)</f>
        <v>Noroeste</v>
      </c>
      <c r="C2356" t="str">
        <f>_xlfn.XLOOKUP(A2356,[1]Municipios!$B:$B,[1]Municipios!$D:$D)</f>
        <v>Centro Ocidental</v>
      </c>
      <c r="D2356">
        <v>2025</v>
      </c>
      <c r="E2356" t="s">
        <v>233</v>
      </c>
      <c r="F2356">
        <v>0.75</v>
      </c>
      <c r="G2356">
        <v>64.48</v>
      </c>
    </row>
    <row r="2357" spans="1:7" x14ac:dyDescent="0.25">
      <c r="A2357" t="s">
        <v>482</v>
      </c>
      <c r="B2357" t="str">
        <f>_xlfn.XLOOKUP(A2357,[1]Municipios!$B:$B,[1]Municipios!$C:$C)</f>
        <v>Noroeste</v>
      </c>
      <c r="C2357" t="str">
        <f>_xlfn.XLOOKUP(A2357,[1]Municipios!$B:$B,[1]Municipios!$D:$D)</f>
        <v>Centro Ocidental</v>
      </c>
      <c r="D2357">
        <v>2025</v>
      </c>
      <c r="E2357" t="s">
        <v>215</v>
      </c>
      <c r="F2357">
        <v>0.35000000000000003</v>
      </c>
      <c r="G2357">
        <v>64.48</v>
      </c>
    </row>
    <row r="2358" spans="1:7" x14ac:dyDescent="0.25">
      <c r="A2358" t="s">
        <v>482</v>
      </c>
      <c r="B2358" t="str">
        <f>_xlfn.XLOOKUP(A2358,[1]Municipios!$B:$B,[1]Municipios!$C:$C)</f>
        <v>Noroeste</v>
      </c>
      <c r="C2358" t="str">
        <f>_xlfn.XLOOKUP(A2358,[1]Municipios!$B:$B,[1]Municipios!$D:$D)</f>
        <v>Centro Ocidental</v>
      </c>
      <c r="D2358">
        <v>2025</v>
      </c>
      <c r="E2358" t="s">
        <v>234</v>
      </c>
      <c r="F2358">
        <v>0.66669999999999996</v>
      </c>
      <c r="G2358">
        <v>64.48</v>
      </c>
    </row>
    <row r="2359" spans="1:7" x14ac:dyDescent="0.25">
      <c r="A2359" t="s">
        <v>482</v>
      </c>
      <c r="B2359" t="str">
        <f>_xlfn.XLOOKUP(A2359,[1]Municipios!$B:$B,[1]Municipios!$C:$C)</f>
        <v>Noroeste</v>
      </c>
      <c r="C2359" t="str">
        <f>_xlfn.XLOOKUP(A2359,[1]Municipios!$B:$B,[1]Municipios!$D:$D)</f>
        <v>Centro Ocidental</v>
      </c>
      <c r="D2359">
        <v>2025</v>
      </c>
      <c r="E2359" t="s">
        <v>235</v>
      </c>
      <c r="F2359">
        <v>0.85720000000000007</v>
      </c>
      <c r="G2359">
        <v>64.48</v>
      </c>
    </row>
    <row r="2360" spans="1:7" x14ac:dyDescent="0.25">
      <c r="A2360" t="s">
        <v>482</v>
      </c>
      <c r="B2360" t="str">
        <f>_xlfn.XLOOKUP(A2360,[1]Municipios!$B:$B,[1]Municipios!$C:$C)</f>
        <v>Noroeste</v>
      </c>
      <c r="C2360" t="str">
        <f>_xlfn.XLOOKUP(A2360,[1]Municipios!$B:$B,[1]Municipios!$D:$D)</f>
        <v>Centro Ocidental</v>
      </c>
      <c r="D2360">
        <v>2025</v>
      </c>
      <c r="E2360" t="s">
        <v>236</v>
      </c>
      <c r="F2360">
        <v>7.6999999999999999E-2</v>
      </c>
      <c r="G2360">
        <v>64.48</v>
      </c>
    </row>
    <row r="2361" spans="1:7" x14ac:dyDescent="0.25">
      <c r="A2361" t="s">
        <v>482</v>
      </c>
      <c r="B2361" t="str">
        <f>_xlfn.XLOOKUP(A2361,[1]Municipios!$B:$B,[1]Municipios!$C:$C)</f>
        <v>Noroeste</v>
      </c>
      <c r="C2361" t="str">
        <f>_xlfn.XLOOKUP(A2361,[1]Municipios!$B:$B,[1]Municipios!$D:$D)</f>
        <v>Centro Ocidental</v>
      </c>
      <c r="D2361">
        <v>2025</v>
      </c>
      <c r="E2361" t="s">
        <v>237</v>
      </c>
      <c r="F2361">
        <v>1</v>
      </c>
      <c r="G2361">
        <v>64.48</v>
      </c>
    </row>
    <row r="2362" spans="1:7" x14ac:dyDescent="0.25">
      <c r="A2362" t="s">
        <v>606</v>
      </c>
      <c r="B2362" t="str">
        <f>_xlfn.XLOOKUP(A2362,[1]Municipios!$B:$B,[1]Municipios!$C:$C)</f>
        <v>Leste</v>
      </c>
      <c r="C2362" t="str">
        <f>_xlfn.XLOOKUP(A2362,[1]Municipios!$B:$B,[1]Municipios!$D:$D)</f>
        <v>Gralha Azul</v>
      </c>
      <c r="D2362">
        <v>2025</v>
      </c>
      <c r="E2362" t="s">
        <v>231</v>
      </c>
      <c r="F2362">
        <v>0.55559999999999998</v>
      </c>
      <c r="G2362">
        <v>66.39</v>
      </c>
    </row>
    <row r="2363" spans="1:7" x14ac:dyDescent="0.25">
      <c r="A2363" t="s">
        <v>606</v>
      </c>
      <c r="B2363" t="str">
        <f>_xlfn.XLOOKUP(A2363,[1]Municipios!$B:$B,[1]Municipios!$C:$C)</f>
        <v>Leste</v>
      </c>
      <c r="C2363" t="str">
        <f>_xlfn.XLOOKUP(A2363,[1]Municipios!$B:$B,[1]Municipios!$D:$D)</f>
        <v>Gralha Azul</v>
      </c>
      <c r="D2363">
        <v>2025</v>
      </c>
      <c r="E2363" t="s">
        <v>232</v>
      </c>
      <c r="F2363">
        <v>0.69240000000000002</v>
      </c>
      <c r="G2363">
        <v>66.39</v>
      </c>
    </row>
    <row r="2364" spans="1:7" x14ac:dyDescent="0.25">
      <c r="A2364" t="s">
        <v>606</v>
      </c>
      <c r="B2364" t="str">
        <f>_xlfn.XLOOKUP(A2364,[1]Municipios!$B:$B,[1]Municipios!$C:$C)</f>
        <v>Leste</v>
      </c>
      <c r="C2364" t="str">
        <f>_xlfn.XLOOKUP(A2364,[1]Municipios!$B:$B,[1]Municipios!$D:$D)</f>
        <v>Gralha Azul</v>
      </c>
      <c r="D2364">
        <v>2025</v>
      </c>
      <c r="E2364" t="s">
        <v>233</v>
      </c>
      <c r="F2364">
        <v>0.5</v>
      </c>
      <c r="G2364">
        <v>66.39</v>
      </c>
    </row>
    <row r="2365" spans="1:7" x14ac:dyDescent="0.25">
      <c r="A2365" t="s">
        <v>606</v>
      </c>
      <c r="B2365" t="str">
        <f>_xlfn.XLOOKUP(A2365,[1]Municipios!$B:$B,[1]Municipios!$C:$C)</f>
        <v>Leste</v>
      </c>
      <c r="C2365" t="str">
        <f>_xlfn.XLOOKUP(A2365,[1]Municipios!$B:$B,[1]Municipios!$D:$D)</f>
        <v>Gralha Azul</v>
      </c>
      <c r="D2365">
        <v>2025</v>
      </c>
      <c r="E2365" t="s">
        <v>215</v>
      </c>
      <c r="F2365">
        <v>1</v>
      </c>
      <c r="G2365">
        <v>66.39</v>
      </c>
    </row>
    <row r="2366" spans="1:7" x14ac:dyDescent="0.25">
      <c r="A2366" t="s">
        <v>606</v>
      </c>
      <c r="B2366" t="str">
        <f>_xlfn.XLOOKUP(A2366,[1]Municipios!$B:$B,[1]Municipios!$C:$C)</f>
        <v>Leste</v>
      </c>
      <c r="C2366" t="str">
        <f>_xlfn.XLOOKUP(A2366,[1]Municipios!$B:$B,[1]Municipios!$D:$D)</f>
        <v>Gralha Azul</v>
      </c>
      <c r="D2366">
        <v>2025</v>
      </c>
      <c r="E2366" t="s">
        <v>234</v>
      </c>
      <c r="F2366">
        <v>1</v>
      </c>
      <c r="G2366">
        <v>66.39</v>
      </c>
    </row>
    <row r="2367" spans="1:7" x14ac:dyDescent="0.25">
      <c r="A2367" t="s">
        <v>606</v>
      </c>
      <c r="B2367" t="str">
        <f>_xlfn.XLOOKUP(A2367,[1]Municipios!$B:$B,[1]Municipios!$C:$C)</f>
        <v>Leste</v>
      </c>
      <c r="C2367" t="str">
        <f>_xlfn.XLOOKUP(A2367,[1]Municipios!$B:$B,[1]Municipios!$D:$D)</f>
        <v>Gralha Azul</v>
      </c>
      <c r="D2367">
        <v>2025</v>
      </c>
      <c r="E2367" t="s">
        <v>235</v>
      </c>
      <c r="F2367">
        <v>0.71439999999999992</v>
      </c>
      <c r="G2367">
        <v>66.39</v>
      </c>
    </row>
    <row r="2368" spans="1:7" x14ac:dyDescent="0.25">
      <c r="A2368" t="s">
        <v>606</v>
      </c>
      <c r="B2368" t="str">
        <f>_xlfn.XLOOKUP(A2368,[1]Municipios!$B:$B,[1]Municipios!$C:$C)</f>
        <v>Leste</v>
      </c>
      <c r="C2368" t="str">
        <f>_xlfn.XLOOKUP(A2368,[1]Municipios!$B:$B,[1]Municipios!$D:$D)</f>
        <v>Gralha Azul</v>
      </c>
      <c r="D2368">
        <v>2025</v>
      </c>
      <c r="E2368" t="s">
        <v>236</v>
      </c>
      <c r="F2368">
        <v>7.6999999999999999E-2</v>
      </c>
      <c r="G2368">
        <v>66.39</v>
      </c>
    </row>
    <row r="2369" spans="1:7" x14ac:dyDescent="0.25">
      <c r="A2369" t="s">
        <v>606</v>
      </c>
      <c r="B2369" t="str">
        <f>_xlfn.XLOOKUP(A2369,[1]Municipios!$B:$B,[1]Municipios!$C:$C)</f>
        <v>Leste</v>
      </c>
      <c r="C2369" t="str">
        <f>_xlfn.XLOOKUP(A2369,[1]Municipios!$B:$B,[1]Municipios!$D:$D)</f>
        <v>Gralha Azul</v>
      </c>
      <c r="D2369">
        <v>2025</v>
      </c>
      <c r="E2369" t="s">
        <v>237</v>
      </c>
      <c r="F2369">
        <v>0.5</v>
      </c>
      <c r="G2369">
        <v>66.39</v>
      </c>
    </row>
    <row r="2370" spans="1:7" x14ac:dyDescent="0.25">
      <c r="A2370" t="s">
        <v>459</v>
      </c>
      <c r="B2370" t="str">
        <f>_xlfn.XLOOKUP(A2370,[1]Municipios!$B:$B,[1]Municipios!$C:$C)</f>
        <v>Oeste</v>
      </c>
      <c r="C2370" t="str">
        <f>_xlfn.XLOOKUP(A2370,[1]Municipios!$B:$B,[1]Municipios!$D:$D)</f>
        <v>Oeste Integrado</v>
      </c>
      <c r="D2370">
        <v>2025</v>
      </c>
      <c r="E2370" t="s">
        <v>231</v>
      </c>
      <c r="F2370">
        <v>0</v>
      </c>
      <c r="G2370">
        <v>30.63</v>
      </c>
    </row>
    <row r="2371" spans="1:7" x14ac:dyDescent="0.25">
      <c r="A2371" t="s">
        <v>459</v>
      </c>
      <c r="B2371" t="str">
        <f>_xlfn.XLOOKUP(A2371,[1]Municipios!$B:$B,[1]Municipios!$C:$C)</f>
        <v>Oeste</v>
      </c>
      <c r="C2371" t="str">
        <f>_xlfn.XLOOKUP(A2371,[1]Municipios!$B:$B,[1]Municipios!$D:$D)</f>
        <v>Oeste Integrado</v>
      </c>
      <c r="D2371">
        <v>2025</v>
      </c>
      <c r="E2371" t="s">
        <v>232</v>
      </c>
      <c r="F2371">
        <v>0.3846</v>
      </c>
      <c r="G2371">
        <v>30.63</v>
      </c>
    </row>
    <row r="2372" spans="1:7" x14ac:dyDescent="0.25">
      <c r="A2372" t="s">
        <v>459</v>
      </c>
      <c r="B2372" t="str">
        <f>_xlfn.XLOOKUP(A2372,[1]Municipios!$B:$B,[1]Municipios!$C:$C)</f>
        <v>Oeste</v>
      </c>
      <c r="C2372" t="str">
        <f>_xlfn.XLOOKUP(A2372,[1]Municipios!$B:$B,[1]Municipios!$D:$D)</f>
        <v>Oeste Integrado</v>
      </c>
      <c r="D2372">
        <v>2025</v>
      </c>
      <c r="E2372" t="s">
        <v>233</v>
      </c>
      <c r="F2372">
        <v>0.25</v>
      </c>
      <c r="G2372">
        <v>30.63</v>
      </c>
    </row>
    <row r="2373" spans="1:7" x14ac:dyDescent="0.25">
      <c r="A2373" t="s">
        <v>459</v>
      </c>
      <c r="B2373" t="str">
        <f>_xlfn.XLOOKUP(A2373,[1]Municipios!$B:$B,[1]Municipios!$C:$C)</f>
        <v>Oeste</v>
      </c>
      <c r="C2373" t="str">
        <f>_xlfn.XLOOKUP(A2373,[1]Municipios!$B:$B,[1]Municipios!$D:$D)</f>
        <v>Oeste Integrado</v>
      </c>
      <c r="D2373">
        <v>2025</v>
      </c>
      <c r="E2373" t="s">
        <v>215</v>
      </c>
      <c r="F2373">
        <v>0</v>
      </c>
      <c r="G2373">
        <v>30.63</v>
      </c>
    </row>
    <row r="2374" spans="1:7" x14ac:dyDescent="0.25">
      <c r="A2374" t="s">
        <v>459</v>
      </c>
      <c r="B2374" t="str">
        <f>_xlfn.XLOOKUP(A2374,[1]Municipios!$B:$B,[1]Municipios!$C:$C)</f>
        <v>Oeste</v>
      </c>
      <c r="C2374" t="str">
        <f>_xlfn.XLOOKUP(A2374,[1]Municipios!$B:$B,[1]Municipios!$D:$D)</f>
        <v>Oeste Integrado</v>
      </c>
      <c r="D2374">
        <v>2025</v>
      </c>
      <c r="E2374" t="s">
        <v>234</v>
      </c>
      <c r="F2374">
        <v>0.55559999999999998</v>
      </c>
      <c r="G2374">
        <v>30.63</v>
      </c>
    </row>
    <row r="2375" spans="1:7" x14ac:dyDescent="0.25">
      <c r="A2375" t="s">
        <v>459</v>
      </c>
      <c r="B2375" t="str">
        <f>_xlfn.XLOOKUP(A2375,[1]Municipios!$B:$B,[1]Municipios!$C:$C)</f>
        <v>Oeste</v>
      </c>
      <c r="C2375" t="str">
        <f>_xlfn.XLOOKUP(A2375,[1]Municipios!$B:$B,[1]Municipios!$D:$D)</f>
        <v>Oeste Integrado</v>
      </c>
      <c r="D2375">
        <v>2025</v>
      </c>
      <c r="E2375" t="s">
        <v>235</v>
      </c>
      <c r="F2375">
        <v>0.42869999999999997</v>
      </c>
      <c r="G2375">
        <v>30.63</v>
      </c>
    </row>
    <row r="2376" spans="1:7" x14ac:dyDescent="0.25">
      <c r="A2376" t="s">
        <v>459</v>
      </c>
      <c r="B2376" t="str">
        <f>_xlfn.XLOOKUP(A2376,[1]Municipios!$B:$B,[1]Municipios!$C:$C)</f>
        <v>Oeste</v>
      </c>
      <c r="C2376" t="str">
        <f>_xlfn.XLOOKUP(A2376,[1]Municipios!$B:$B,[1]Municipios!$D:$D)</f>
        <v>Oeste Integrado</v>
      </c>
      <c r="D2376">
        <v>2025</v>
      </c>
      <c r="E2376" t="s">
        <v>236</v>
      </c>
      <c r="F2376">
        <v>0.15390000000000001</v>
      </c>
      <c r="G2376">
        <v>30.63</v>
      </c>
    </row>
    <row r="2377" spans="1:7" x14ac:dyDescent="0.25">
      <c r="A2377" t="s">
        <v>459</v>
      </c>
      <c r="B2377" t="str">
        <f>_xlfn.XLOOKUP(A2377,[1]Municipios!$B:$B,[1]Municipios!$C:$C)</f>
        <v>Oeste</v>
      </c>
      <c r="C2377" t="str">
        <f>_xlfn.XLOOKUP(A2377,[1]Municipios!$B:$B,[1]Municipios!$D:$D)</f>
        <v>Oeste Integrado</v>
      </c>
      <c r="D2377">
        <v>2025</v>
      </c>
      <c r="E2377" t="s">
        <v>237</v>
      </c>
      <c r="F2377">
        <v>0.5</v>
      </c>
      <c r="G2377">
        <v>30.63</v>
      </c>
    </row>
    <row r="2378" spans="1:7" x14ac:dyDescent="0.25">
      <c r="A2378" t="s">
        <v>607</v>
      </c>
      <c r="B2378" t="str">
        <f>_xlfn.XLOOKUP(A2378,[1]Municipios!$B:$B,[1]Municipios!$C:$C)</f>
        <v>Norte</v>
      </c>
      <c r="C2378" t="str">
        <f>_xlfn.XLOOKUP(A2378,[1]Municipios!$B:$B,[1]Municipios!$D:$D)</f>
        <v>Norte Central</v>
      </c>
      <c r="D2378">
        <v>2025</v>
      </c>
      <c r="E2378" t="s">
        <v>231</v>
      </c>
      <c r="F2378">
        <v>0</v>
      </c>
      <c r="G2378">
        <v>27.31</v>
      </c>
    </row>
    <row r="2379" spans="1:7" x14ac:dyDescent="0.25">
      <c r="A2379" t="s">
        <v>607</v>
      </c>
      <c r="B2379" t="str">
        <f>_xlfn.XLOOKUP(A2379,[1]Municipios!$B:$B,[1]Municipios!$C:$C)</f>
        <v>Norte</v>
      </c>
      <c r="C2379" t="str">
        <f>_xlfn.XLOOKUP(A2379,[1]Municipios!$B:$B,[1]Municipios!$D:$D)</f>
        <v>Norte Central</v>
      </c>
      <c r="D2379">
        <v>2025</v>
      </c>
      <c r="E2379" t="s">
        <v>232</v>
      </c>
      <c r="F2379">
        <v>0.69230000000000003</v>
      </c>
      <c r="G2379">
        <v>27.31</v>
      </c>
    </row>
    <row r="2380" spans="1:7" x14ac:dyDescent="0.25">
      <c r="A2380" t="s">
        <v>607</v>
      </c>
      <c r="B2380" t="str">
        <f>_xlfn.XLOOKUP(A2380,[1]Municipios!$B:$B,[1]Municipios!$C:$C)</f>
        <v>Norte</v>
      </c>
      <c r="C2380" t="str">
        <f>_xlfn.XLOOKUP(A2380,[1]Municipios!$B:$B,[1]Municipios!$D:$D)</f>
        <v>Norte Central</v>
      </c>
      <c r="D2380">
        <v>2025</v>
      </c>
      <c r="E2380" t="s">
        <v>233</v>
      </c>
      <c r="F2380">
        <v>0.5</v>
      </c>
      <c r="G2380">
        <v>27.31</v>
      </c>
    </row>
    <row r="2381" spans="1:7" x14ac:dyDescent="0.25">
      <c r="A2381" t="s">
        <v>607</v>
      </c>
      <c r="B2381" t="str">
        <f>_xlfn.XLOOKUP(A2381,[1]Municipios!$B:$B,[1]Municipios!$C:$C)</f>
        <v>Norte</v>
      </c>
      <c r="C2381" t="str">
        <f>_xlfn.XLOOKUP(A2381,[1]Municipios!$B:$B,[1]Municipios!$D:$D)</f>
        <v>Norte Central</v>
      </c>
      <c r="D2381">
        <v>2025</v>
      </c>
      <c r="E2381" t="s">
        <v>215</v>
      </c>
      <c r="F2381">
        <v>0</v>
      </c>
      <c r="G2381">
        <v>27.31</v>
      </c>
    </row>
    <row r="2382" spans="1:7" x14ac:dyDescent="0.25">
      <c r="A2382" t="s">
        <v>607</v>
      </c>
      <c r="B2382" t="str">
        <f>_xlfn.XLOOKUP(A2382,[1]Municipios!$B:$B,[1]Municipios!$C:$C)</f>
        <v>Norte</v>
      </c>
      <c r="C2382" t="str">
        <f>_xlfn.XLOOKUP(A2382,[1]Municipios!$B:$B,[1]Municipios!$D:$D)</f>
        <v>Norte Central</v>
      </c>
      <c r="D2382">
        <v>2025</v>
      </c>
      <c r="E2382" t="s">
        <v>234</v>
      </c>
      <c r="F2382">
        <v>0.55549999999999999</v>
      </c>
      <c r="G2382">
        <v>27.31</v>
      </c>
    </row>
    <row r="2383" spans="1:7" x14ac:dyDescent="0.25">
      <c r="A2383" t="s">
        <v>607</v>
      </c>
      <c r="B2383" t="str">
        <f>_xlfn.XLOOKUP(A2383,[1]Municipios!$B:$B,[1]Municipios!$C:$C)</f>
        <v>Norte</v>
      </c>
      <c r="C2383" t="str">
        <f>_xlfn.XLOOKUP(A2383,[1]Municipios!$B:$B,[1]Municipios!$D:$D)</f>
        <v>Norte Central</v>
      </c>
      <c r="D2383">
        <v>2025</v>
      </c>
      <c r="E2383" t="s">
        <v>235</v>
      </c>
      <c r="F2383">
        <v>0.28570000000000001</v>
      </c>
      <c r="G2383">
        <v>27.31</v>
      </c>
    </row>
    <row r="2384" spans="1:7" x14ac:dyDescent="0.25">
      <c r="A2384" t="s">
        <v>607</v>
      </c>
      <c r="B2384" t="str">
        <f>_xlfn.XLOOKUP(A2384,[1]Municipios!$B:$B,[1]Municipios!$C:$C)</f>
        <v>Norte</v>
      </c>
      <c r="C2384" t="str">
        <f>_xlfn.XLOOKUP(A2384,[1]Municipios!$B:$B,[1]Municipios!$D:$D)</f>
        <v>Norte Central</v>
      </c>
      <c r="D2384">
        <v>2025</v>
      </c>
      <c r="E2384" t="s">
        <v>236</v>
      </c>
      <c r="F2384">
        <v>0</v>
      </c>
      <c r="G2384">
        <v>27.31</v>
      </c>
    </row>
    <row r="2385" spans="1:7" x14ac:dyDescent="0.25">
      <c r="A2385" t="s">
        <v>607</v>
      </c>
      <c r="B2385" t="str">
        <f>_xlfn.XLOOKUP(A2385,[1]Municipios!$B:$B,[1]Municipios!$C:$C)</f>
        <v>Norte</v>
      </c>
      <c r="C2385" t="str">
        <f>_xlfn.XLOOKUP(A2385,[1]Municipios!$B:$B,[1]Municipios!$D:$D)</f>
        <v>Norte Central</v>
      </c>
      <c r="D2385">
        <v>2025</v>
      </c>
      <c r="E2385" t="s">
        <v>237</v>
      </c>
      <c r="F2385">
        <v>0</v>
      </c>
      <c r="G2385">
        <v>27.31</v>
      </c>
    </row>
    <row r="2386" spans="1:7" x14ac:dyDescent="0.25">
      <c r="A2386" t="s">
        <v>483</v>
      </c>
      <c r="B2386" t="str">
        <f>_xlfn.XLOOKUP(A2386,[1]Municipios!$B:$B,[1]Municipios!$C:$C)</f>
        <v>Noroeste</v>
      </c>
      <c r="C2386" t="str">
        <f>_xlfn.XLOOKUP(A2386,[1]Municipios!$B:$B,[1]Municipios!$D:$D)</f>
        <v>Centro Ocidental</v>
      </c>
      <c r="D2386">
        <v>2025</v>
      </c>
      <c r="E2386" t="s">
        <v>231</v>
      </c>
      <c r="F2386">
        <v>0.22229999999999991</v>
      </c>
      <c r="G2386">
        <v>35.03</v>
      </c>
    </row>
    <row r="2387" spans="1:7" x14ac:dyDescent="0.25">
      <c r="A2387" t="s">
        <v>483</v>
      </c>
      <c r="B2387" t="str">
        <f>_xlfn.XLOOKUP(A2387,[1]Municipios!$B:$B,[1]Municipios!$C:$C)</f>
        <v>Noroeste</v>
      </c>
      <c r="C2387" t="str">
        <f>_xlfn.XLOOKUP(A2387,[1]Municipios!$B:$B,[1]Municipios!$D:$D)</f>
        <v>Centro Ocidental</v>
      </c>
      <c r="D2387">
        <v>2025</v>
      </c>
      <c r="E2387" t="s">
        <v>232</v>
      </c>
      <c r="F2387">
        <v>0.46159999999999995</v>
      </c>
      <c r="G2387">
        <v>35.03</v>
      </c>
    </row>
    <row r="2388" spans="1:7" x14ac:dyDescent="0.25">
      <c r="A2388" t="s">
        <v>483</v>
      </c>
      <c r="B2388" t="str">
        <f>_xlfn.XLOOKUP(A2388,[1]Municipios!$B:$B,[1]Municipios!$C:$C)</f>
        <v>Noroeste</v>
      </c>
      <c r="C2388" t="str">
        <f>_xlfn.XLOOKUP(A2388,[1]Municipios!$B:$B,[1]Municipios!$D:$D)</f>
        <v>Centro Ocidental</v>
      </c>
      <c r="D2388">
        <v>2025</v>
      </c>
      <c r="E2388" t="s">
        <v>233</v>
      </c>
      <c r="F2388">
        <v>0.125</v>
      </c>
      <c r="G2388">
        <v>35.03</v>
      </c>
    </row>
    <row r="2389" spans="1:7" x14ac:dyDescent="0.25">
      <c r="A2389" t="s">
        <v>483</v>
      </c>
      <c r="B2389" t="str">
        <f>_xlfn.XLOOKUP(A2389,[1]Municipios!$B:$B,[1]Municipios!$C:$C)</f>
        <v>Noroeste</v>
      </c>
      <c r="C2389" t="str">
        <f>_xlfn.XLOOKUP(A2389,[1]Municipios!$B:$B,[1]Municipios!$D:$D)</f>
        <v>Centro Ocidental</v>
      </c>
      <c r="D2389">
        <v>2025</v>
      </c>
      <c r="E2389" t="s">
        <v>215</v>
      </c>
      <c r="F2389">
        <v>0.35000000000000003</v>
      </c>
      <c r="G2389">
        <v>35.03</v>
      </c>
    </row>
    <row r="2390" spans="1:7" x14ac:dyDescent="0.25">
      <c r="A2390" t="s">
        <v>483</v>
      </c>
      <c r="B2390" t="str">
        <f>_xlfn.XLOOKUP(A2390,[1]Municipios!$B:$B,[1]Municipios!$C:$C)</f>
        <v>Noroeste</v>
      </c>
      <c r="C2390" t="str">
        <f>_xlfn.XLOOKUP(A2390,[1]Municipios!$B:$B,[1]Municipios!$D:$D)</f>
        <v>Centro Ocidental</v>
      </c>
      <c r="D2390">
        <v>2025</v>
      </c>
      <c r="E2390" t="s">
        <v>234</v>
      </c>
      <c r="F2390">
        <v>0.55549999999999999</v>
      </c>
      <c r="G2390">
        <v>35.03</v>
      </c>
    </row>
    <row r="2391" spans="1:7" x14ac:dyDescent="0.25">
      <c r="A2391" t="s">
        <v>483</v>
      </c>
      <c r="B2391" t="str">
        <f>_xlfn.XLOOKUP(A2391,[1]Municipios!$B:$B,[1]Municipios!$C:$C)</f>
        <v>Noroeste</v>
      </c>
      <c r="C2391" t="str">
        <f>_xlfn.XLOOKUP(A2391,[1]Municipios!$B:$B,[1]Municipios!$D:$D)</f>
        <v>Centro Ocidental</v>
      </c>
      <c r="D2391">
        <v>2025</v>
      </c>
      <c r="E2391" t="s">
        <v>235</v>
      </c>
      <c r="F2391">
        <v>0.28570000000000001</v>
      </c>
      <c r="G2391">
        <v>35.03</v>
      </c>
    </row>
    <row r="2392" spans="1:7" x14ac:dyDescent="0.25">
      <c r="A2392" t="s">
        <v>483</v>
      </c>
      <c r="B2392" t="str">
        <f>_xlfn.XLOOKUP(A2392,[1]Municipios!$B:$B,[1]Municipios!$C:$C)</f>
        <v>Noroeste</v>
      </c>
      <c r="C2392" t="str">
        <f>_xlfn.XLOOKUP(A2392,[1]Municipios!$B:$B,[1]Municipios!$D:$D)</f>
        <v>Centro Ocidental</v>
      </c>
      <c r="D2392">
        <v>2025</v>
      </c>
      <c r="E2392" t="s">
        <v>236</v>
      </c>
      <c r="F2392">
        <v>7.6999999999999999E-2</v>
      </c>
      <c r="G2392">
        <v>35.03</v>
      </c>
    </row>
    <row r="2393" spans="1:7" x14ac:dyDescent="0.25">
      <c r="A2393" t="s">
        <v>483</v>
      </c>
      <c r="B2393" t="str">
        <f>_xlfn.XLOOKUP(A2393,[1]Municipios!$B:$B,[1]Municipios!$C:$C)</f>
        <v>Noroeste</v>
      </c>
      <c r="C2393" t="str">
        <f>_xlfn.XLOOKUP(A2393,[1]Municipios!$B:$B,[1]Municipios!$D:$D)</f>
        <v>Centro Ocidental</v>
      </c>
      <c r="D2393">
        <v>2025</v>
      </c>
      <c r="E2393" t="s">
        <v>237</v>
      </c>
      <c r="F2393">
        <v>0.5</v>
      </c>
      <c r="G2393">
        <v>35.03</v>
      </c>
    </row>
    <row r="2394" spans="1:7" x14ac:dyDescent="0.25">
      <c r="A2394" t="s">
        <v>392</v>
      </c>
      <c r="B2394" t="str">
        <f>_xlfn.XLOOKUP(A2394,[1]Municipios!$B:$B,[1]Municipios!$C:$C)</f>
        <v>Sul</v>
      </c>
      <c r="C2394" t="str">
        <f>_xlfn.XLOOKUP(A2394,[1]Municipios!$B:$B,[1]Municipios!$D:$D)</f>
        <v>Sudoeste La Frontera</v>
      </c>
      <c r="D2394">
        <v>2025</v>
      </c>
      <c r="E2394" t="s">
        <v>231</v>
      </c>
      <c r="F2394">
        <v>0.66669999999999996</v>
      </c>
      <c r="G2394">
        <v>85.72</v>
      </c>
    </row>
    <row r="2395" spans="1:7" x14ac:dyDescent="0.25">
      <c r="A2395" t="s">
        <v>392</v>
      </c>
      <c r="B2395" t="str">
        <f>_xlfn.XLOOKUP(A2395,[1]Municipios!$B:$B,[1]Municipios!$C:$C)</f>
        <v>Sul</v>
      </c>
      <c r="C2395" t="str">
        <f>_xlfn.XLOOKUP(A2395,[1]Municipios!$B:$B,[1]Municipios!$D:$D)</f>
        <v>Sudoeste La Frontera</v>
      </c>
      <c r="D2395">
        <v>2025</v>
      </c>
      <c r="E2395" t="s">
        <v>232</v>
      </c>
      <c r="F2395">
        <v>0.76919999999999999</v>
      </c>
      <c r="G2395">
        <v>85.72</v>
      </c>
    </row>
    <row r="2396" spans="1:7" x14ac:dyDescent="0.25">
      <c r="A2396" t="s">
        <v>392</v>
      </c>
      <c r="B2396" t="str">
        <f>_xlfn.XLOOKUP(A2396,[1]Municipios!$B:$B,[1]Municipios!$C:$C)</f>
        <v>Sul</v>
      </c>
      <c r="C2396" t="str">
        <f>_xlfn.XLOOKUP(A2396,[1]Municipios!$B:$B,[1]Municipios!$D:$D)</f>
        <v>Sudoeste La Frontera</v>
      </c>
      <c r="D2396">
        <v>2025</v>
      </c>
      <c r="E2396" t="s">
        <v>233</v>
      </c>
      <c r="F2396">
        <v>1</v>
      </c>
      <c r="G2396">
        <v>85.72</v>
      </c>
    </row>
    <row r="2397" spans="1:7" x14ac:dyDescent="0.25">
      <c r="A2397" t="s">
        <v>392</v>
      </c>
      <c r="B2397" t="str">
        <f>_xlfn.XLOOKUP(A2397,[1]Municipios!$B:$B,[1]Municipios!$C:$C)</f>
        <v>Sul</v>
      </c>
      <c r="C2397" t="str">
        <f>_xlfn.XLOOKUP(A2397,[1]Municipios!$B:$B,[1]Municipios!$D:$D)</f>
        <v>Sudoeste La Frontera</v>
      </c>
      <c r="D2397">
        <v>2025</v>
      </c>
      <c r="E2397" t="s">
        <v>215</v>
      </c>
      <c r="F2397">
        <v>1</v>
      </c>
      <c r="G2397">
        <v>85.72</v>
      </c>
    </row>
    <row r="2398" spans="1:7" x14ac:dyDescent="0.25">
      <c r="A2398" t="s">
        <v>392</v>
      </c>
      <c r="B2398" t="str">
        <f>_xlfn.XLOOKUP(A2398,[1]Municipios!$B:$B,[1]Municipios!$C:$C)</f>
        <v>Sul</v>
      </c>
      <c r="C2398" t="str">
        <f>_xlfn.XLOOKUP(A2398,[1]Municipios!$B:$B,[1]Municipios!$D:$D)</f>
        <v>Sudoeste La Frontera</v>
      </c>
      <c r="D2398">
        <v>2025</v>
      </c>
      <c r="E2398" t="s">
        <v>234</v>
      </c>
      <c r="F2398">
        <v>0.66669999999999996</v>
      </c>
      <c r="G2398">
        <v>85.72</v>
      </c>
    </row>
    <row r="2399" spans="1:7" x14ac:dyDescent="0.25">
      <c r="A2399" t="s">
        <v>392</v>
      </c>
      <c r="B2399" t="str">
        <f>_xlfn.XLOOKUP(A2399,[1]Municipios!$B:$B,[1]Municipios!$C:$C)</f>
        <v>Sul</v>
      </c>
      <c r="C2399" t="str">
        <f>_xlfn.XLOOKUP(A2399,[1]Municipios!$B:$B,[1]Municipios!$D:$D)</f>
        <v>Sudoeste La Frontera</v>
      </c>
      <c r="D2399">
        <v>2025</v>
      </c>
      <c r="E2399" t="s">
        <v>235</v>
      </c>
      <c r="F2399">
        <v>1</v>
      </c>
      <c r="G2399">
        <v>85.72</v>
      </c>
    </row>
    <row r="2400" spans="1:7" x14ac:dyDescent="0.25">
      <c r="A2400" t="s">
        <v>392</v>
      </c>
      <c r="B2400" t="str">
        <f>_xlfn.XLOOKUP(A2400,[1]Municipios!$B:$B,[1]Municipios!$C:$C)</f>
        <v>Sul</v>
      </c>
      <c r="C2400" t="str">
        <f>_xlfn.XLOOKUP(A2400,[1]Municipios!$B:$B,[1]Municipios!$D:$D)</f>
        <v>Sudoeste La Frontera</v>
      </c>
      <c r="D2400">
        <v>2025</v>
      </c>
      <c r="E2400" t="s">
        <v>236</v>
      </c>
      <c r="F2400">
        <v>0.92309999999999992</v>
      </c>
      <c r="G2400">
        <v>85.72</v>
      </c>
    </row>
    <row r="2401" spans="1:7" x14ac:dyDescent="0.25">
      <c r="A2401" t="s">
        <v>392</v>
      </c>
      <c r="B2401" t="str">
        <f>_xlfn.XLOOKUP(A2401,[1]Municipios!$B:$B,[1]Municipios!$C:$C)</f>
        <v>Sul</v>
      </c>
      <c r="C2401" t="str">
        <f>_xlfn.XLOOKUP(A2401,[1]Municipios!$B:$B,[1]Municipios!$D:$D)</f>
        <v>Sudoeste La Frontera</v>
      </c>
      <c r="D2401">
        <v>2025</v>
      </c>
      <c r="E2401" t="s">
        <v>237</v>
      </c>
      <c r="F2401">
        <v>1</v>
      </c>
      <c r="G2401">
        <v>85.72</v>
      </c>
    </row>
    <row r="2402" spans="1:7" x14ac:dyDescent="0.25">
      <c r="A2402" t="s">
        <v>272</v>
      </c>
      <c r="B2402" t="str">
        <f>_xlfn.XLOOKUP(A2402,[1]Municipios!$B:$B,[1]Municipios!$C:$C)</f>
        <v>Centro</v>
      </c>
      <c r="C2402" t="str">
        <f>_xlfn.XLOOKUP(A2402,[1]Municipios!$B:$B,[1]Municipios!$D:$D)</f>
        <v>Vale Dos Pinheirais</v>
      </c>
      <c r="D2402">
        <v>2025</v>
      </c>
      <c r="E2402" t="s">
        <v>231</v>
      </c>
      <c r="F2402">
        <v>0.88879999999999992</v>
      </c>
      <c r="G2402">
        <v>59.58</v>
      </c>
    </row>
    <row r="2403" spans="1:7" x14ac:dyDescent="0.25">
      <c r="A2403" t="s">
        <v>272</v>
      </c>
      <c r="B2403" t="str">
        <f>_xlfn.XLOOKUP(A2403,[1]Municipios!$B:$B,[1]Municipios!$C:$C)</f>
        <v>Centro</v>
      </c>
      <c r="C2403" t="str">
        <f>_xlfn.XLOOKUP(A2403,[1]Municipios!$B:$B,[1]Municipios!$D:$D)</f>
        <v>Vale Dos Pinheirais</v>
      </c>
      <c r="D2403">
        <v>2025</v>
      </c>
      <c r="E2403" t="s">
        <v>232</v>
      </c>
      <c r="F2403">
        <v>0.84619999999999995</v>
      </c>
      <c r="G2403">
        <v>59.58</v>
      </c>
    </row>
    <row r="2404" spans="1:7" x14ac:dyDescent="0.25">
      <c r="A2404" t="s">
        <v>272</v>
      </c>
      <c r="B2404" t="str">
        <f>_xlfn.XLOOKUP(A2404,[1]Municipios!$B:$B,[1]Municipios!$C:$C)</f>
        <v>Centro</v>
      </c>
      <c r="C2404" t="str">
        <f>_xlfn.XLOOKUP(A2404,[1]Municipios!$B:$B,[1]Municipios!$D:$D)</f>
        <v>Vale Dos Pinheirais</v>
      </c>
      <c r="D2404">
        <v>2025</v>
      </c>
      <c r="E2404" t="s">
        <v>233</v>
      </c>
      <c r="F2404">
        <v>0.625</v>
      </c>
      <c r="G2404">
        <v>59.58</v>
      </c>
    </row>
    <row r="2405" spans="1:7" x14ac:dyDescent="0.25">
      <c r="A2405" t="s">
        <v>272</v>
      </c>
      <c r="B2405" t="str">
        <f>_xlfn.XLOOKUP(A2405,[1]Municipios!$B:$B,[1]Municipios!$C:$C)</f>
        <v>Centro</v>
      </c>
      <c r="C2405" t="str">
        <f>_xlfn.XLOOKUP(A2405,[1]Municipios!$B:$B,[1]Municipios!$D:$D)</f>
        <v>Vale Dos Pinheirais</v>
      </c>
      <c r="D2405">
        <v>2025</v>
      </c>
      <c r="E2405" t="s">
        <v>215</v>
      </c>
      <c r="F2405">
        <v>0</v>
      </c>
      <c r="G2405">
        <v>59.58</v>
      </c>
    </row>
    <row r="2406" spans="1:7" x14ac:dyDescent="0.25">
      <c r="A2406" t="s">
        <v>272</v>
      </c>
      <c r="B2406" t="str">
        <f>_xlfn.XLOOKUP(A2406,[1]Municipios!$B:$B,[1]Municipios!$C:$C)</f>
        <v>Centro</v>
      </c>
      <c r="C2406" t="str">
        <f>_xlfn.XLOOKUP(A2406,[1]Municipios!$B:$B,[1]Municipios!$D:$D)</f>
        <v>Vale Dos Pinheirais</v>
      </c>
      <c r="D2406">
        <v>2025</v>
      </c>
      <c r="E2406" t="s">
        <v>234</v>
      </c>
      <c r="F2406">
        <v>0.88880000000000003</v>
      </c>
      <c r="G2406">
        <v>59.58</v>
      </c>
    </row>
    <row r="2407" spans="1:7" x14ac:dyDescent="0.25">
      <c r="A2407" t="s">
        <v>272</v>
      </c>
      <c r="B2407" t="str">
        <f>_xlfn.XLOOKUP(A2407,[1]Municipios!$B:$B,[1]Municipios!$C:$C)</f>
        <v>Centro</v>
      </c>
      <c r="C2407" t="str">
        <f>_xlfn.XLOOKUP(A2407,[1]Municipios!$B:$B,[1]Municipios!$D:$D)</f>
        <v>Vale Dos Pinheirais</v>
      </c>
      <c r="D2407">
        <v>2025</v>
      </c>
      <c r="E2407" t="s">
        <v>235</v>
      </c>
      <c r="F2407">
        <v>0.71429999999999993</v>
      </c>
      <c r="G2407">
        <v>59.58</v>
      </c>
    </row>
    <row r="2408" spans="1:7" x14ac:dyDescent="0.25">
      <c r="A2408" t="s">
        <v>272</v>
      </c>
      <c r="B2408" t="str">
        <f>_xlfn.XLOOKUP(A2408,[1]Municipios!$B:$B,[1]Municipios!$C:$C)</f>
        <v>Centro</v>
      </c>
      <c r="C2408" t="str">
        <f>_xlfn.XLOOKUP(A2408,[1]Municipios!$B:$B,[1]Municipios!$D:$D)</f>
        <v>Vale Dos Pinheirais</v>
      </c>
      <c r="D2408">
        <v>2025</v>
      </c>
      <c r="E2408" t="s">
        <v>236</v>
      </c>
      <c r="F2408">
        <v>7.690000000000001E-2</v>
      </c>
      <c r="G2408">
        <v>59.58</v>
      </c>
    </row>
    <row r="2409" spans="1:7" x14ac:dyDescent="0.25">
      <c r="A2409" t="s">
        <v>272</v>
      </c>
      <c r="B2409" t="str">
        <f>_xlfn.XLOOKUP(A2409,[1]Municipios!$B:$B,[1]Municipios!$C:$C)</f>
        <v>Centro</v>
      </c>
      <c r="C2409" t="str">
        <f>_xlfn.XLOOKUP(A2409,[1]Municipios!$B:$B,[1]Municipios!$D:$D)</f>
        <v>Vale Dos Pinheirais</v>
      </c>
      <c r="D2409">
        <v>2025</v>
      </c>
      <c r="E2409" t="s">
        <v>237</v>
      </c>
      <c r="F2409">
        <v>0.5</v>
      </c>
      <c r="G2409">
        <v>59.58</v>
      </c>
    </row>
    <row r="2410" spans="1:7" x14ac:dyDescent="0.25">
      <c r="A2410" t="s">
        <v>262</v>
      </c>
      <c r="B2410" t="str">
        <f>_xlfn.XLOOKUP(A2410,[1]Municipios!$B:$B,[1]Municipios!$C:$C)</f>
        <v>Sul</v>
      </c>
      <c r="C2410" t="str">
        <f>_xlfn.XLOOKUP(A2410,[1]Municipios!$B:$B,[1]Municipios!$D:$D)</f>
        <v>Sudoeste Pioneiro</v>
      </c>
      <c r="D2410">
        <v>2025</v>
      </c>
      <c r="E2410" t="s">
        <v>231</v>
      </c>
      <c r="F2410">
        <v>0.77779999999999994</v>
      </c>
      <c r="G2410">
        <v>77.510000000000005</v>
      </c>
    </row>
    <row r="2411" spans="1:7" x14ac:dyDescent="0.25">
      <c r="A2411" t="s">
        <v>262</v>
      </c>
      <c r="B2411" t="str">
        <f>_xlfn.XLOOKUP(A2411,[1]Municipios!$B:$B,[1]Municipios!$C:$C)</f>
        <v>Sul</v>
      </c>
      <c r="C2411" t="str">
        <f>_xlfn.XLOOKUP(A2411,[1]Municipios!$B:$B,[1]Municipios!$D:$D)</f>
        <v>Sudoeste Pioneiro</v>
      </c>
      <c r="D2411">
        <v>2025</v>
      </c>
      <c r="E2411" t="s">
        <v>232</v>
      </c>
      <c r="F2411">
        <v>0.92310000000000003</v>
      </c>
      <c r="G2411">
        <v>77.510000000000005</v>
      </c>
    </row>
    <row r="2412" spans="1:7" x14ac:dyDescent="0.25">
      <c r="A2412" t="s">
        <v>262</v>
      </c>
      <c r="B2412" t="str">
        <f>_xlfn.XLOOKUP(A2412,[1]Municipios!$B:$B,[1]Municipios!$C:$C)</f>
        <v>Sul</v>
      </c>
      <c r="C2412" t="str">
        <f>_xlfn.XLOOKUP(A2412,[1]Municipios!$B:$B,[1]Municipios!$D:$D)</f>
        <v>Sudoeste Pioneiro</v>
      </c>
      <c r="D2412">
        <v>2025</v>
      </c>
      <c r="E2412" t="s">
        <v>233</v>
      </c>
      <c r="F2412">
        <v>0.75</v>
      </c>
      <c r="G2412">
        <v>77.510000000000005</v>
      </c>
    </row>
    <row r="2413" spans="1:7" x14ac:dyDescent="0.25">
      <c r="A2413" t="s">
        <v>262</v>
      </c>
      <c r="B2413" t="str">
        <f>_xlfn.XLOOKUP(A2413,[1]Municipios!$B:$B,[1]Municipios!$C:$C)</f>
        <v>Sul</v>
      </c>
      <c r="C2413" t="str">
        <f>_xlfn.XLOOKUP(A2413,[1]Municipios!$B:$B,[1]Municipios!$D:$D)</f>
        <v>Sudoeste Pioneiro</v>
      </c>
      <c r="D2413">
        <v>2025</v>
      </c>
      <c r="E2413" t="s">
        <v>215</v>
      </c>
      <c r="F2413">
        <v>0.79999999999999993</v>
      </c>
      <c r="G2413">
        <v>77.510000000000005</v>
      </c>
    </row>
    <row r="2414" spans="1:7" x14ac:dyDescent="0.25">
      <c r="A2414" t="s">
        <v>262</v>
      </c>
      <c r="B2414" t="str">
        <f>_xlfn.XLOOKUP(A2414,[1]Municipios!$B:$B,[1]Municipios!$C:$C)</f>
        <v>Sul</v>
      </c>
      <c r="C2414" t="str">
        <f>_xlfn.XLOOKUP(A2414,[1]Municipios!$B:$B,[1]Municipios!$D:$D)</f>
        <v>Sudoeste Pioneiro</v>
      </c>
      <c r="D2414">
        <v>2025</v>
      </c>
      <c r="E2414" t="s">
        <v>234</v>
      </c>
      <c r="F2414">
        <v>0.55549999999999999</v>
      </c>
      <c r="G2414">
        <v>77.510000000000005</v>
      </c>
    </row>
    <row r="2415" spans="1:7" x14ac:dyDescent="0.25">
      <c r="A2415" t="s">
        <v>262</v>
      </c>
      <c r="B2415" t="str">
        <f>_xlfn.XLOOKUP(A2415,[1]Municipios!$B:$B,[1]Municipios!$C:$C)</f>
        <v>Sul</v>
      </c>
      <c r="C2415" t="str">
        <f>_xlfn.XLOOKUP(A2415,[1]Municipios!$B:$B,[1]Municipios!$D:$D)</f>
        <v>Sudoeste Pioneiro</v>
      </c>
      <c r="D2415">
        <v>2025</v>
      </c>
      <c r="E2415" t="s">
        <v>235</v>
      </c>
      <c r="F2415">
        <v>1</v>
      </c>
      <c r="G2415">
        <v>77.510000000000005</v>
      </c>
    </row>
    <row r="2416" spans="1:7" x14ac:dyDescent="0.25">
      <c r="A2416" t="s">
        <v>262</v>
      </c>
      <c r="B2416" t="str">
        <f>_xlfn.XLOOKUP(A2416,[1]Municipios!$B:$B,[1]Municipios!$C:$C)</f>
        <v>Sul</v>
      </c>
      <c r="C2416" t="str">
        <f>_xlfn.XLOOKUP(A2416,[1]Municipios!$B:$B,[1]Municipios!$D:$D)</f>
        <v>Sudoeste Pioneiro</v>
      </c>
      <c r="D2416">
        <v>2025</v>
      </c>
      <c r="E2416" t="s">
        <v>236</v>
      </c>
      <c r="F2416">
        <v>0.3846</v>
      </c>
      <c r="G2416">
        <v>77.510000000000005</v>
      </c>
    </row>
    <row r="2417" spans="1:7" x14ac:dyDescent="0.25">
      <c r="A2417" t="s">
        <v>262</v>
      </c>
      <c r="B2417" t="str">
        <f>_xlfn.XLOOKUP(A2417,[1]Municipios!$B:$B,[1]Municipios!$C:$C)</f>
        <v>Sul</v>
      </c>
      <c r="C2417" t="str">
        <f>_xlfn.XLOOKUP(A2417,[1]Municipios!$B:$B,[1]Municipios!$D:$D)</f>
        <v>Sudoeste Pioneiro</v>
      </c>
      <c r="D2417">
        <v>2025</v>
      </c>
      <c r="E2417" t="s">
        <v>237</v>
      </c>
      <c r="F2417">
        <v>1</v>
      </c>
      <c r="G2417">
        <v>77.510000000000005</v>
      </c>
    </row>
    <row r="2418" spans="1:7" x14ac:dyDescent="0.25">
      <c r="A2418" t="s">
        <v>488</v>
      </c>
      <c r="B2418" t="str">
        <f>_xlfn.XLOOKUP(A2418,[1]Municipios!$B:$B,[1]Municipios!$C:$C)</f>
        <v>Centro</v>
      </c>
      <c r="C2418" t="str">
        <f>_xlfn.XLOOKUP(A2418,[1]Municipios!$B:$B,[1]Municipios!$D:$D)</f>
        <v>Vale Do Tibagi</v>
      </c>
      <c r="D2418">
        <v>2025</v>
      </c>
      <c r="E2418" t="s">
        <v>231</v>
      </c>
      <c r="F2418">
        <v>0.55559999999999998</v>
      </c>
      <c r="G2418">
        <v>79.92</v>
      </c>
    </row>
    <row r="2419" spans="1:7" x14ac:dyDescent="0.25">
      <c r="A2419" t="s">
        <v>488</v>
      </c>
      <c r="B2419" t="str">
        <f>_xlfn.XLOOKUP(A2419,[1]Municipios!$B:$B,[1]Municipios!$C:$C)</f>
        <v>Centro</v>
      </c>
      <c r="C2419" t="str">
        <f>_xlfn.XLOOKUP(A2419,[1]Municipios!$B:$B,[1]Municipios!$D:$D)</f>
        <v>Vale Do Tibagi</v>
      </c>
      <c r="D2419">
        <v>2025</v>
      </c>
      <c r="E2419" t="s">
        <v>232</v>
      </c>
      <c r="F2419">
        <v>0.69240000000000002</v>
      </c>
      <c r="G2419">
        <v>79.92</v>
      </c>
    </row>
    <row r="2420" spans="1:7" x14ac:dyDescent="0.25">
      <c r="A2420" t="s">
        <v>488</v>
      </c>
      <c r="B2420" t="str">
        <f>_xlfn.XLOOKUP(A2420,[1]Municipios!$B:$B,[1]Municipios!$C:$C)</f>
        <v>Centro</v>
      </c>
      <c r="C2420" t="str">
        <f>_xlfn.XLOOKUP(A2420,[1]Municipios!$B:$B,[1]Municipios!$D:$D)</f>
        <v>Vale Do Tibagi</v>
      </c>
      <c r="D2420">
        <v>2025</v>
      </c>
      <c r="E2420" t="s">
        <v>233</v>
      </c>
      <c r="F2420">
        <v>1</v>
      </c>
      <c r="G2420">
        <v>79.92</v>
      </c>
    </row>
    <row r="2421" spans="1:7" x14ac:dyDescent="0.25">
      <c r="A2421" t="s">
        <v>488</v>
      </c>
      <c r="B2421" t="str">
        <f>_xlfn.XLOOKUP(A2421,[1]Municipios!$B:$B,[1]Municipios!$C:$C)</f>
        <v>Centro</v>
      </c>
      <c r="C2421" t="str">
        <f>_xlfn.XLOOKUP(A2421,[1]Municipios!$B:$B,[1]Municipios!$D:$D)</f>
        <v>Vale Do Tibagi</v>
      </c>
      <c r="D2421">
        <v>2025</v>
      </c>
      <c r="E2421" t="s">
        <v>215</v>
      </c>
      <c r="F2421">
        <v>0.79999999999999993</v>
      </c>
      <c r="G2421">
        <v>79.92</v>
      </c>
    </row>
    <row r="2422" spans="1:7" x14ac:dyDescent="0.25">
      <c r="A2422" t="s">
        <v>488</v>
      </c>
      <c r="B2422" t="str">
        <f>_xlfn.XLOOKUP(A2422,[1]Municipios!$B:$B,[1]Municipios!$C:$C)</f>
        <v>Centro</v>
      </c>
      <c r="C2422" t="str">
        <f>_xlfn.XLOOKUP(A2422,[1]Municipios!$B:$B,[1]Municipios!$D:$D)</f>
        <v>Vale Do Tibagi</v>
      </c>
      <c r="D2422">
        <v>2025</v>
      </c>
      <c r="E2422" t="s">
        <v>234</v>
      </c>
      <c r="F2422">
        <v>0.88890000000000002</v>
      </c>
      <c r="G2422">
        <v>79.92</v>
      </c>
    </row>
    <row r="2423" spans="1:7" x14ac:dyDescent="0.25">
      <c r="A2423" t="s">
        <v>488</v>
      </c>
      <c r="B2423" t="str">
        <f>_xlfn.XLOOKUP(A2423,[1]Municipios!$B:$B,[1]Municipios!$C:$C)</f>
        <v>Centro</v>
      </c>
      <c r="C2423" t="str">
        <f>_xlfn.XLOOKUP(A2423,[1]Municipios!$B:$B,[1]Municipios!$D:$D)</f>
        <v>Vale Do Tibagi</v>
      </c>
      <c r="D2423">
        <v>2025</v>
      </c>
      <c r="E2423" t="s">
        <v>235</v>
      </c>
      <c r="F2423">
        <v>1</v>
      </c>
      <c r="G2423">
        <v>79.92</v>
      </c>
    </row>
    <row r="2424" spans="1:7" x14ac:dyDescent="0.25">
      <c r="A2424" t="s">
        <v>488</v>
      </c>
      <c r="B2424" t="str">
        <f>_xlfn.XLOOKUP(A2424,[1]Municipios!$B:$B,[1]Municipios!$C:$C)</f>
        <v>Centro</v>
      </c>
      <c r="C2424" t="str">
        <f>_xlfn.XLOOKUP(A2424,[1]Municipios!$B:$B,[1]Municipios!$D:$D)</f>
        <v>Vale Do Tibagi</v>
      </c>
      <c r="D2424">
        <v>2025</v>
      </c>
      <c r="E2424" t="s">
        <v>236</v>
      </c>
      <c r="F2424">
        <v>0.53859999999999997</v>
      </c>
      <c r="G2424">
        <v>79.92</v>
      </c>
    </row>
    <row r="2425" spans="1:7" x14ac:dyDescent="0.25">
      <c r="A2425" t="s">
        <v>488</v>
      </c>
      <c r="B2425" t="str">
        <f>_xlfn.XLOOKUP(A2425,[1]Municipios!$B:$B,[1]Municipios!$C:$C)</f>
        <v>Centro</v>
      </c>
      <c r="C2425" t="str">
        <f>_xlfn.XLOOKUP(A2425,[1]Municipios!$B:$B,[1]Municipios!$D:$D)</f>
        <v>Vale Do Tibagi</v>
      </c>
      <c r="D2425">
        <v>2025</v>
      </c>
      <c r="E2425" t="s">
        <v>237</v>
      </c>
      <c r="F2425">
        <v>1</v>
      </c>
      <c r="G2425">
        <v>79.92</v>
      </c>
    </row>
    <row r="2426" spans="1:7" x14ac:dyDescent="0.25">
      <c r="A2426" t="s">
        <v>531</v>
      </c>
      <c r="B2426" t="str">
        <f>_xlfn.XLOOKUP(A2426,[1]Municipios!$B:$B,[1]Municipios!$C:$C)</f>
        <v>Oeste</v>
      </c>
      <c r="C2426" t="str">
        <f>_xlfn.XLOOKUP(A2426,[1]Municipios!$B:$B,[1]Municipios!$D:$D)</f>
        <v>Cantuquiriguaçu</v>
      </c>
      <c r="D2426">
        <v>2025</v>
      </c>
      <c r="E2426" t="s">
        <v>231</v>
      </c>
      <c r="F2426">
        <v>0.66669999999999996</v>
      </c>
      <c r="G2426">
        <v>75.290000000000006</v>
      </c>
    </row>
    <row r="2427" spans="1:7" x14ac:dyDescent="0.25">
      <c r="A2427" t="s">
        <v>531</v>
      </c>
      <c r="B2427" t="str">
        <f>_xlfn.XLOOKUP(A2427,[1]Municipios!$B:$B,[1]Municipios!$C:$C)</f>
        <v>Oeste</v>
      </c>
      <c r="C2427" t="str">
        <f>_xlfn.XLOOKUP(A2427,[1]Municipios!$B:$B,[1]Municipios!$D:$D)</f>
        <v>Cantuquiriguaçu</v>
      </c>
      <c r="D2427">
        <v>2025</v>
      </c>
      <c r="E2427" t="s">
        <v>232</v>
      </c>
      <c r="F2427">
        <v>0.76919999999999999</v>
      </c>
      <c r="G2427">
        <v>75.290000000000006</v>
      </c>
    </row>
    <row r="2428" spans="1:7" x14ac:dyDescent="0.25">
      <c r="A2428" t="s">
        <v>531</v>
      </c>
      <c r="B2428" t="str">
        <f>_xlfn.XLOOKUP(A2428,[1]Municipios!$B:$B,[1]Municipios!$C:$C)</f>
        <v>Oeste</v>
      </c>
      <c r="C2428" t="str">
        <f>_xlfn.XLOOKUP(A2428,[1]Municipios!$B:$B,[1]Municipios!$D:$D)</f>
        <v>Cantuquiriguaçu</v>
      </c>
      <c r="D2428">
        <v>2025</v>
      </c>
      <c r="E2428" t="s">
        <v>233</v>
      </c>
      <c r="F2428">
        <v>1</v>
      </c>
      <c r="G2428">
        <v>75.290000000000006</v>
      </c>
    </row>
    <row r="2429" spans="1:7" x14ac:dyDescent="0.25">
      <c r="A2429" t="s">
        <v>531</v>
      </c>
      <c r="B2429" t="str">
        <f>_xlfn.XLOOKUP(A2429,[1]Municipios!$B:$B,[1]Municipios!$C:$C)</f>
        <v>Oeste</v>
      </c>
      <c r="C2429" t="str">
        <f>_xlfn.XLOOKUP(A2429,[1]Municipios!$B:$B,[1]Municipios!$D:$D)</f>
        <v>Cantuquiriguaçu</v>
      </c>
      <c r="D2429">
        <v>2025</v>
      </c>
      <c r="E2429" t="s">
        <v>215</v>
      </c>
      <c r="F2429">
        <v>0.9</v>
      </c>
      <c r="G2429">
        <v>75.290000000000006</v>
      </c>
    </row>
    <row r="2430" spans="1:7" x14ac:dyDescent="0.25">
      <c r="A2430" t="s">
        <v>531</v>
      </c>
      <c r="B2430" t="str">
        <f>_xlfn.XLOOKUP(A2430,[1]Municipios!$B:$B,[1]Municipios!$C:$C)</f>
        <v>Oeste</v>
      </c>
      <c r="C2430" t="str">
        <f>_xlfn.XLOOKUP(A2430,[1]Municipios!$B:$B,[1]Municipios!$D:$D)</f>
        <v>Cantuquiriguaçu</v>
      </c>
      <c r="D2430">
        <v>2025</v>
      </c>
      <c r="E2430" t="s">
        <v>234</v>
      </c>
      <c r="F2430">
        <v>0.66669999999999996</v>
      </c>
      <c r="G2430">
        <v>75.290000000000006</v>
      </c>
    </row>
    <row r="2431" spans="1:7" x14ac:dyDescent="0.25">
      <c r="A2431" t="s">
        <v>531</v>
      </c>
      <c r="B2431" t="str">
        <f>_xlfn.XLOOKUP(A2431,[1]Municipios!$B:$B,[1]Municipios!$C:$C)</f>
        <v>Oeste</v>
      </c>
      <c r="C2431" t="str">
        <f>_xlfn.XLOOKUP(A2431,[1]Municipios!$B:$B,[1]Municipios!$D:$D)</f>
        <v>Cantuquiriguaçu</v>
      </c>
      <c r="D2431">
        <v>2025</v>
      </c>
      <c r="E2431" t="s">
        <v>235</v>
      </c>
      <c r="F2431">
        <v>1</v>
      </c>
      <c r="G2431">
        <v>75.290000000000006</v>
      </c>
    </row>
    <row r="2432" spans="1:7" x14ac:dyDescent="0.25">
      <c r="A2432" t="s">
        <v>531</v>
      </c>
      <c r="B2432" t="str">
        <f>_xlfn.XLOOKUP(A2432,[1]Municipios!$B:$B,[1]Municipios!$C:$C)</f>
        <v>Oeste</v>
      </c>
      <c r="C2432" t="str">
        <f>_xlfn.XLOOKUP(A2432,[1]Municipios!$B:$B,[1]Municipios!$D:$D)</f>
        <v>Cantuquiriguaçu</v>
      </c>
      <c r="D2432">
        <v>2025</v>
      </c>
      <c r="E2432" t="s">
        <v>236</v>
      </c>
      <c r="F2432">
        <v>0.15379999999999999</v>
      </c>
      <c r="G2432">
        <v>75.290000000000006</v>
      </c>
    </row>
    <row r="2433" spans="1:7" x14ac:dyDescent="0.25">
      <c r="A2433" t="s">
        <v>531</v>
      </c>
      <c r="B2433" t="str">
        <f>_xlfn.XLOOKUP(A2433,[1]Municipios!$B:$B,[1]Municipios!$C:$C)</f>
        <v>Oeste</v>
      </c>
      <c r="C2433" t="str">
        <f>_xlfn.XLOOKUP(A2433,[1]Municipios!$B:$B,[1]Municipios!$D:$D)</f>
        <v>Cantuquiriguaçu</v>
      </c>
      <c r="D2433">
        <v>2025</v>
      </c>
      <c r="E2433" t="s">
        <v>237</v>
      </c>
      <c r="F2433">
        <v>1</v>
      </c>
      <c r="G2433">
        <v>75.290000000000006</v>
      </c>
    </row>
    <row r="2434" spans="1:7" x14ac:dyDescent="0.25">
      <c r="A2434" t="s">
        <v>353</v>
      </c>
      <c r="B2434" t="str">
        <f>_xlfn.XLOOKUP(A2434,[1]Municipios!$B:$B,[1]Municipios!$C:$C)</f>
        <v>Norte</v>
      </c>
      <c r="C2434" t="str">
        <f>_xlfn.XLOOKUP(A2434,[1]Municipios!$B:$B,[1]Municipios!$D:$D)</f>
        <v>Norte Pioneiro</v>
      </c>
      <c r="D2434">
        <v>2025</v>
      </c>
      <c r="E2434" t="s">
        <v>231</v>
      </c>
      <c r="F2434">
        <v>0.77779999999999994</v>
      </c>
      <c r="G2434">
        <v>88.71</v>
      </c>
    </row>
    <row r="2435" spans="1:7" x14ac:dyDescent="0.25">
      <c r="A2435" t="s">
        <v>353</v>
      </c>
      <c r="B2435" t="str">
        <f>_xlfn.XLOOKUP(A2435,[1]Municipios!$B:$B,[1]Municipios!$C:$C)</f>
        <v>Norte</v>
      </c>
      <c r="C2435" t="str">
        <f>_xlfn.XLOOKUP(A2435,[1]Municipios!$B:$B,[1]Municipios!$D:$D)</f>
        <v>Norte Pioneiro</v>
      </c>
      <c r="D2435">
        <v>2025</v>
      </c>
      <c r="E2435" t="s">
        <v>232</v>
      </c>
      <c r="F2435">
        <v>1</v>
      </c>
      <c r="G2435">
        <v>88.71</v>
      </c>
    </row>
    <row r="2436" spans="1:7" x14ac:dyDescent="0.25">
      <c r="A2436" t="s">
        <v>353</v>
      </c>
      <c r="B2436" t="str">
        <f>_xlfn.XLOOKUP(A2436,[1]Municipios!$B:$B,[1]Municipios!$C:$C)</f>
        <v>Norte</v>
      </c>
      <c r="C2436" t="str">
        <f>_xlfn.XLOOKUP(A2436,[1]Municipios!$B:$B,[1]Municipios!$D:$D)</f>
        <v>Norte Pioneiro</v>
      </c>
      <c r="D2436">
        <v>2025</v>
      </c>
      <c r="E2436" t="s">
        <v>233</v>
      </c>
      <c r="F2436">
        <v>1</v>
      </c>
      <c r="G2436">
        <v>88.71</v>
      </c>
    </row>
    <row r="2437" spans="1:7" x14ac:dyDescent="0.25">
      <c r="A2437" t="s">
        <v>353</v>
      </c>
      <c r="B2437" t="str">
        <f>_xlfn.XLOOKUP(A2437,[1]Municipios!$B:$B,[1]Municipios!$C:$C)</f>
        <v>Norte</v>
      </c>
      <c r="C2437" t="str">
        <f>_xlfn.XLOOKUP(A2437,[1]Municipios!$B:$B,[1]Municipios!$D:$D)</f>
        <v>Norte Pioneiro</v>
      </c>
      <c r="D2437">
        <v>2025</v>
      </c>
      <c r="E2437" t="s">
        <v>215</v>
      </c>
      <c r="F2437">
        <v>0.75</v>
      </c>
      <c r="G2437">
        <v>88.71</v>
      </c>
    </row>
    <row r="2438" spans="1:7" x14ac:dyDescent="0.25">
      <c r="A2438" t="s">
        <v>353</v>
      </c>
      <c r="B2438" t="str">
        <f>_xlfn.XLOOKUP(A2438,[1]Municipios!$B:$B,[1]Municipios!$C:$C)</f>
        <v>Norte</v>
      </c>
      <c r="C2438" t="str">
        <f>_xlfn.XLOOKUP(A2438,[1]Municipios!$B:$B,[1]Municipios!$D:$D)</f>
        <v>Norte Pioneiro</v>
      </c>
      <c r="D2438">
        <v>2025</v>
      </c>
      <c r="E2438" t="s">
        <v>234</v>
      </c>
      <c r="F2438">
        <v>0.77780000000000005</v>
      </c>
      <c r="G2438">
        <v>88.71</v>
      </c>
    </row>
    <row r="2439" spans="1:7" x14ac:dyDescent="0.25">
      <c r="A2439" t="s">
        <v>353</v>
      </c>
      <c r="B2439" t="str">
        <f>_xlfn.XLOOKUP(A2439,[1]Municipios!$B:$B,[1]Municipios!$C:$C)</f>
        <v>Norte</v>
      </c>
      <c r="C2439" t="str">
        <f>_xlfn.XLOOKUP(A2439,[1]Municipios!$B:$B,[1]Municipios!$D:$D)</f>
        <v>Norte Pioneiro</v>
      </c>
      <c r="D2439">
        <v>2025</v>
      </c>
      <c r="E2439" t="s">
        <v>235</v>
      </c>
      <c r="F2439">
        <v>1</v>
      </c>
      <c r="G2439">
        <v>88.71</v>
      </c>
    </row>
    <row r="2440" spans="1:7" x14ac:dyDescent="0.25">
      <c r="A2440" t="s">
        <v>353</v>
      </c>
      <c r="B2440" t="str">
        <f>_xlfn.XLOOKUP(A2440,[1]Municipios!$B:$B,[1]Municipios!$C:$C)</f>
        <v>Norte</v>
      </c>
      <c r="C2440" t="str">
        <f>_xlfn.XLOOKUP(A2440,[1]Municipios!$B:$B,[1]Municipios!$D:$D)</f>
        <v>Norte Pioneiro</v>
      </c>
      <c r="D2440">
        <v>2025</v>
      </c>
      <c r="E2440" t="s">
        <v>236</v>
      </c>
      <c r="F2440">
        <v>0.84620000000000006</v>
      </c>
      <c r="G2440">
        <v>88.71</v>
      </c>
    </row>
    <row r="2441" spans="1:7" x14ac:dyDescent="0.25">
      <c r="A2441" t="s">
        <v>353</v>
      </c>
      <c r="B2441" t="str">
        <f>_xlfn.XLOOKUP(A2441,[1]Municipios!$B:$B,[1]Municipios!$C:$C)</f>
        <v>Norte</v>
      </c>
      <c r="C2441" t="str">
        <f>_xlfn.XLOOKUP(A2441,[1]Municipios!$B:$B,[1]Municipios!$D:$D)</f>
        <v>Norte Pioneiro</v>
      </c>
      <c r="D2441">
        <v>2025</v>
      </c>
      <c r="E2441" t="s">
        <v>237</v>
      </c>
      <c r="F2441">
        <v>1</v>
      </c>
      <c r="G2441">
        <v>88.71</v>
      </c>
    </row>
    <row r="2442" spans="1:7" x14ac:dyDescent="0.25">
      <c r="A2442" t="s">
        <v>354</v>
      </c>
      <c r="B2442" t="str">
        <f>_xlfn.XLOOKUP(A2442,[1]Municipios!$B:$B,[1]Municipios!$C:$C)</f>
        <v>Norte</v>
      </c>
      <c r="C2442" t="str">
        <f>_xlfn.XLOOKUP(A2442,[1]Municipios!$B:$B,[1]Municipios!$D:$D)</f>
        <v>Norte Pioneiro</v>
      </c>
      <c r="D2442">
        <v>2025</v>
      </c>
      <c r="E2442" t="s">
        <v>231</v>
      </c>
      <c r="F2442">
        <v>0.77779999999999994</v>
      </c>
      <c r="G2442">
        <v>84.05</v>
      </c>
    </row>
    <row r="2443" spans="1:7" x14ac:dyDescent="0.25">
      <c r="A2443" t="s">
        <v>354</v>
      </c>
      <c r="B2443" t="str">
        <f>_xlfn.XLOOKUP(A2443,[1]Municipios!$B:$B,[1]Municipios!$C:$C)</f>
        <v>Norte</v>
      </c>
      <c r="C2443" t="str">
        <f>_xlfn.XLOOKUP(A2443,[1]Municipios!$B:$B,[1]Municipios!$D:$D)</f>
        <v>Norte Pioneiro</v>
      </c>
      <c r="D2443">
        <v>2025</v>
      </c>
      <c r="E2443" t="s">
        <v>232</v>
      </c>
      <c r="F2443">
        <v>1</v>
      </c>
      <c r="G2443">
        <v>84.05</v>
      </c>
    </row>
    <row r="2444" spans="1:7" x14ac:dyDescent="0.25">
      <c r="A2444" t="s">
        <v>354</v>
      </c>
      <c r="B2444" t="str">
        <f>_xlfn.XLOOKUP(A2444,[1]Municipios!$B:$B,[1]Municipios!$C:$C)</f>
        <v>Norte</v>
      </c>
      <c r="C2444" t="str">
        <f>_xlfn.XLOOKUP(A2444,[1]Municipios!$B:$B,[1]Municipios!$D:$D)</f>
        <v>Norte Pioneiro</v>
      </c>
      <c r="D2444">
        <v>2025</v>
      </c>
      <c r="E2444" t="s">
        <v>233</v>
      </c>
      <c r="F2444">
        <v>0.875</v>
      </c>
      <c r="G2444">
        <v>84.05</v>
      </c>
    </row>
    <row r="2445" spans="1:7" x14ac:dyDescent="0.25">
      <c r="A2445" t="s">
        <v>354</v>
      </c>
      <c r="B2445" t="str">
        <f>_xlfn.XLOOKUP(A2445,[1]Municipios!$B:$B,[1]Municipios!$C:$C)</f>
        <v>Norte</v>
      </c>
      <c r="C2445" t="str">
        <f>_xlfn.XLOOKUP(A2445,[1]Municipios!$B:$B,[1]Municipios!$D:$D)</f>
        <v>Norte Pioneiro</v>
      </c>
      <c r="D2445">
        <v>2025</v>
      </c>
      <c r="E2445" t="s">
        <v>215</v>
      </c>
      <c r="F2445">
        <v>0.9</v>
      </c>
      <c r="G2445">
        <v>84.05</v>
      </c>
    </row>
    <row r="2446" spans="1:7" x14ac:dyDescent="0.25">
      <c r="A2446" t="s">
        <v>354</v>
      </c>
      <c r="B2446" t="str">
        <f>_xlfn.XLOOKUP(A2446,[1]Municipios!$B:$B,[1]Municipios!$C:$C)</f>
        <v>Norte</v>
      </c>
      <c r="C2446" t="str">
        <f>_xlfn.XLOOKUP(A2446,[1]Municipios!$B:$B,[1]Municipios!$D:$D)</f>
        <v>Norte Pioneiro</v>
      </c>
      <c r="D2446">
        <v>2025</v>
      </c>
      <c r="E2446" t="s">
        <v>234</v>
      </c>
      <c r="F2446">
        <v>0.77780000000000005</v>
      </c>
      <c r="G2446">
        <v>84.05</v>
      </c>
    </row>
    <row r="2447" spans="1:7" x14ac:dyDescent="0.25">
      <c r="A2447" t="s">
        <v>354</v>
      </c>
      <c r="B2447" t="str">
        <f>_xlfn.XLOOKUP(A2447,[1]Municipios!$B:$B,[1]Municipios!$C:$C)</f>
        <v>Norte</v>
      </c>
      <c r="C2447" t="str">
        <f>_xlfn.XLOOKUP(A2447,[1]Municipios!$B:$B,[1]Municipios!$D:$D)</f>
        <v>Norte Pioneiro</v>
      </c>
      <c r="D2447">
        <v>2025</v>
      </c>
      <c r="E2447" t="s">
        <v>235</v>
      </c>
      <c r="F2447">
        <v>0.85710000000000008</v>
      </c>
      <c r="G2447">
        <v>84.05</v>
      </c>
    </row>
    <row r="2448" spans="1:7" x14ac:dyDescent="0.25">
      <c r="A2448" t="s">
        <v>354</v>
      </c>
      <c r="B2448" t="str">
        <f>_xlfn.XLOOKUP(A2448,[1]Municipios!$B:$B,[1]Municipios!$C:$C)</f>
        <v>Norte</v>
      </c>
      <c r="C2448" t="str">
        <f>_xlfn.XLOOKUP(A2448,[1]Municipios!$B:$B,[1]Municipios!$D:$D)</f>
        <v>Norte Pioneiro</v>
      </c>
      <c r="D2448">
        <v>2025</v>
      </c>
      <c r="E2448" t="s">
        <v>236</v>
      </c>
      <c r="F2448">
        <v>0.53859999999999997</v>
      </c>
      <c r="G2448">
        <v>84.05</v>
      </c>
    </row>
    <row r="2449" spans="1:7" x14ac:dyDescent="0.25">
      <c r="A2449" t="s">
        <v>354</v>
      </c>
      <c r="B2449" t="str">
        <f>_xlfn.XLOOKUP(A2449,[1]Municipios!$B:$B,[1]Municipios!$C:$C)</f>
        <v>Norte</v>
      </c>
      <c r="C2449" t="str">
        <f>_xlfn.XLOOKUP(A2449,[1]Municipios!$B:$B,[1]Municipios!$D:$D)</f>
        <v>Norte Pioneiro</v>
      </c>
      <c r="D2449">
        <v>2025</v>
      </c>
      <c r="E2449" t="s">
        <v>237</v>
      </c>
      <c r="F2449">
        <v>1</v>
      </c>
      <c r="G2449">
        <v>84.05</v>
      </c>
    </row>
    <row r="2450" spans="1:7" x14ac:dyDescent="0.25">
      <c r="A2450" t="s">
        <v>273</v>
      </c>
      <c r="B2450" t="str">
        <f>_xlfn.XLOOKUP(A2450,[1]Municipios!$B:$B,[1]Municipios!$C:$C)</f>
        <v>Centro</v>
      </c>
      <c r="C2450" t="str">
        <f>_xlfn.XLOOKUP(A2450,[1]Municipios!$B:$B,[1]Municipios!$D:$D)</f>
        <v>Vale Dos Pinheirais</v>
      </c>
      <c r="D2450">
        <v>2025</v>
      </c>
      <c r="E2450" t="s">
        <v>231</v>
      </c>
      <c r="F2450">
        <v>0.77779999999999994</v>
      </c>
      <c r="G2450">
        <v>54.43</v>
      </c>
    </row>
    <row r="2451" spans="1:7" x14ac:dyDescent="0.25">
      <c r="A2451" t="s">
        <v>273</v>
      </c>
      <c r="B2451" t="str">
        <f>_xlfn.XLOOKUP(A2451,[1]Municipios!$B:$B,[1]Municipios!$C:$C)</f>
        <v>Centro</v>
      </c>
      <c r="C2451" t="str">
        <f>_xlfn.XLOOKUP(A2451,[1]Municipios!$B:$B,[1]Municipios!$D:$D)</f>
        <v>Vale Dos Pinheirais</v>
      </c>
      <c r="D2451">
        <v>2025</v>
      </c>
      <c r="E2451" t="s">
        <v>232</v>
      </c>
      <c r="F2451">
        <v>0.84619999999999995</v>
      </c>
      <c r="G2451">
        <v>54.43</v>
      </c>
    </row>
    <row r="2452" spans="1:7" x14ac:dyDescent="0.25">
      <c r="A2452" t="s">
        <v>273</v>
      </c>
      <c r="B2452" t="str">
        <f>_xlfn.XLOOKUP(A2452,[1]Municipios!$B:$B,[1]Municipios!$C:$C)</f>
        <v>Centro</v>
      </c>
      <c r="C2452" t="str">
        <f>_xlfn.XLOOKUP(A2452,[1]Municipios!$B:$B,[1]Municipios!$D:$D)</f>
        <v>Vale Dos Pinheirais</v>
      </c>
      <c r="D2452">
        <v>2025</v>
      </c>
      <c r="E2452" t="s">
        <v>233</v>
      </c>
      <c r="F2452">
        <v>0.625</v>
      </c>
      <c r="G2452">
        <v>54.43</v>
      </c>
    </row>
    <row r="2453" spans="1:7" x14ac:dyDescent="0.25">
      <c r="A2453" t="s">
        <v>273</v>
      </c>
      <c r="B2453" t="str">
        <f>_xlfn.XLOOKUP(A2453,[1]Municipios!$B:$B,[1]Municipios!$C:$C)</f>
        <v>Centro</v>
      </c>
      <c r="C2453" t="str">
        <f>_xlfn.XLOOKUP(A2453,[1]Municipios!$B:$B,[1]Municipios!$D:$D)</f>
        <v>Vale Dos Pinheirais</v>
      </c>
      <c r="D2453">
        <v>2025</v>
      </c>
      <c r="E2453" t="s">
        <v>215</v>
      </c>
      <c r="F2453">
        <v>0</v>
      </c>
      <c r="G2453">
        <v>54.43</v>
      </c>
    </row>
    <row r="2454" spans="1:7" x14ac:dyDescent="0.25">
      <c r="A2454" t="s">
        <v>273</v>
      </c>
      <c r="B2454" t="str">
        <f>_xlfn.XLOOKUP(A2454,[1]Municipios!$B:$B,[1]Municipios!$C:$C)</f>
        <v>Centro</v>
      </c>
      <c r="C2454" t="str">
        <f>_xlfn.XLOOKUP(A2454,[1]Municipios!$B:$B,[1]Municipios!$D:$D)</f>
        <v>Vale Dos Pinheirais</v>
      </c>
      <c r="D2454">
        <v>2025</v>
      </c>
      <c r="E2454" t="s">
        <v>234</v>
      </c>
      <c r="F2454">
        <v>0.55549999999999999</v>
      </c>
      <c r="G2454">
        <v>54.43</v>
      </c>
    </row>
    <row r="2455" spans="1:7" x14ac:dyDescent="0.25">
      <c r="A2455" t="s">
        <v>273</v>
      </c>
      <c r="B2455" t="str">
        <f>_xlfn.XLOOKUP(A2455,[1]Municipios!$B:$B,[1]Municipios!$C:$C)</f>
        <v>Centro</v>
      </c>
      <c r="C2455" t="str">
        <f>_xlfn.XLOOKUP(A2455,[1]Municipios!$B:$B,[1]Municipios!$D:$D)</f>
        <v>Vale Dos Pinheirais</v>
      </c>
      <c r="D2455">
        <v>2025</v>
      </c>
      <c r="E2455" t="s">
        <v>235</v>
      </c>
      <c r="F2455">
        <v>0.71429999999999993</v>
      </c>
      <c r="G2455">
        <v>54.43</v>
      </c>
    </row>
    <row r="2456" spans="1:7" x14ac:dyDescent="0.25">
      <c r="A2456" t="s">
        <v>273</v>
      </c>
      <c r="B2456" t="str">
        <f>_xlfn.XLOOKUP(A2456,[1]Municipios!$B:$B,[1]Municipios!$C:$C)</f>
        <v>Centro</v>
      </c>
      <c r="C2456" t="str">
        <f>_xlfn.XLOOKUP(A2456,[1]Municipios!$B:$B,[1]Municipios!$D:$D)</f>
        <v>Vale Dos Pinheirais</v>
      </c>
      <c r="D2456">
        <v>2025</v>
      </c>
      <c r="E2456" t="s">
        <v>236</v>
      </c>
      <c r="F2456">
        <v>0.23080000000000001</v>
      </c>
      <c r="G2456">
        <v>54.43</v>
      </c>
    </row>
    <row r="2457" spans="1:7" x14ac:dyDescent="0.25">
      <c r="A2457" t="s">
        <v>273</v>
      </c>
      <c r="B2457" t="str">
        <f>_xlfn.XLOOKUP(A2457,[1]Municipios!$B:$B,[1]Municipios!$C:$C)</f>
        <v>Centro</v>
      </c>
      <c r="C2457" t="str">
        <f>_xlfn.XLOOKUP(A2457,[1]Municipios!$B:$B,[1]Municipios!$D:$D)</f>
        <v>Vale Dos Pinheirais</v>
      </c>
      <c r="D2457">
        <v>2025</v>
      </c>
      <c r="E2457" t="s">
        <v>237</v>
      </c>
      <c r="F2457">
        <v>0.5</v>
      </c>
      <c r="G2457">
        <v>54.43</v>
      </c>
    </row>
    <row r="2458" spans="1:7" x14ac:dyDescent="0.25">
      <c r="A2458" t="s">
        <v>517</v>
      </c>
      <c r="B2458" t="str">
        <f>_xlfn.XLOOKUP(A2458,[1]Municipios!$B:$B,[1]Municipios!$C:$C)</f>
        <v>Norte</v>
      </c>
      <c r="C2458" t="str">
        <f>_xlfn.XLOOKUP(A2458,[1]Municipios!$B:$B,[1]Municipios!$D:$D)</f>
        <v>Vale Do Ivaí</v>
      </c>
      <c r="D2458">
        <v>2025</v>
      </c>
      <c r="E2458" t="s">
        <v>231</v>
      </c>
      <c r="F2458">
        <v>0.66669999999999996</v>
      </c>
      <c r="G2458">
        <v>50.54</v>
      </c>
    </row>
    <row r="2459" spans="1:7" x14ac:dyDescent="0.25">
      <c r="A2459" t="s">
        <v>517</v>
      </c>
      <c r="B2459" t="str">
        <f>_xlfn.XLOOKUP(A2459,[1]Municipios!$B:$B,[1]Municipios!$C:$C)</f>
        <v>Norte</v>
      </c>
      <c r="C2459" t="str">
        <f>_xlfn.XLOOKUP(A2459,[1]Municipios!$B:$B,[1]Municipios!$D:$D)</f>
        <v>Vale Do Ivaí</v>
      </c>
      <c r="D2459">
        <v>2025</v>
      </c>
      <c r="E2459" t="s">
        <v>232</v>
      </c>
      <c r="F2459">
        <v>0.76919999999999999</v>
      </c>
      <c r="G2459">
        <v>50.54</v>
      </c>
    </row>
    <row r="2460" spans="1:7" x14ac:dyDescent="0.25">
      <c r="A2460" t="s">
        <v>517</v>
      </c>
      <c r="B2460" t="str">
        <f>_xlfn.XLOOKUP(A2460,[1]Municipios!$B:$B,[1]Municipios!$C:$C)</f>
        <v>Norte</v>
      </c>
      <c r="C2460" t="str">
        <f>_xlfn.XLOOKUP(A2460,[1]Municipios!$B:$B,[1]Municipios!$D:$D)</f>
        <v>Vale Do Ivaí</v>
      </c>
      <c r="D2460">
        <v>2025</v>
      </c>
      <c r="E2460" t="s">
        <v>233</v>
      </c>
      <c r="F2460">
        <v>0.75</v>
      </c>
      <c r="G2460">
        <v>50.54</v>
      </c>
    </row>
    <row r="2461" spans="1:7" x14ac:dyDescent="0.25">
      <c r="A2461" t="s">
        <v>517</v>
      </c>
      <c r="B2461" t="str">
        <f>_xlfn.XLOOKUP(A2461,[1]Municipios!$B:$B,[1]Municipios!$C:$C)</f>
        <v>Norte</v>
      </c>
      <c r="C2461" t="str">
        <f>_xlfn.XLOOKUP(A2461,[1]Municipios!$B:$B,[1]Municipios!$D:$D)</f>
        <v>Vale Do Ivaí</v>
      </c>
      <c r="D2461">
        <v>2025</v>
      </c>
      <c r="E2461" t="s">
        <v>215</v>
      </c>
      <c r="F2461">
        <v>0.4499999999999999</v>
      </c>
      <c r="G2461">
        <v>50.54</v>
      </c>
    </row>
    <row r="2462" spans="1:7" x14ac:dyDescent="0.25">
      <c r="A2462" t="s">
        <v>517</v>
      </c>
      <c r="B2462" t="str">
        <f>_xlfn.XLOOKUP(A2462,[1]Municipios!$B:$B,[1]Municipios!$C:$C)</f>
        <v>Norte</v>
      </c>
      <c r="C2462" t="str">
        <f>_xlfn.XLOOKUP(A2462,[1]Municipios!$B:$B,[1]Municipios!$D:$D)</f>
        <v>Vale Do Ivaí</v>
      </c>
      <c r="D2462">
        <v>2025</v>
      </c>
      <c r="E2462" t="s">
        <v>234</v>
      </c>
      <c r="F2462">
        <v>0.55549999999999999</v>
      </c>
      <c r="G2462">
        <v>50.54</v>
      </c>
    </row>
    <row r="2463" spans="1:7" x14ac:dyDescent="0.25">
      <c r="A2463" t="s">
        <v>517</v>
      </c>
      <c r="B2463" t="str">
        <f>_xlfn.XLOOKUP(A2463,[1]Municipios!$B:$B,[1]Municipios!$C:$C)</f>
        <v>Norte</v>
      </c>
      <c r="C2463" t="str">
        <f>_xlfn.XLOOKUP(A2463,[1]Municipios!$B:$B,[1]Municipios!$D:$D)</f>
        <v>Vale Do Ivaí</v>
      </c>
      <c r="D2463">
        <v>2025</v>
      </c>
      <c r="E2463" t="s">
        <v>235</v>
      </c>
      <c r="F2463">
        <v>0.71429999999999993</v>
      </c>
      <c r="G2463">
        <v>50.54</v>
      </c>
    </row>
    <row r="2464" spans="1:7" x14ac:dyDescent="0.25">
      <c r="A2464" t="s">
        <v>517</v>
      </c>
      <c r="B2464" t="str">
        <f>_xlfn.XLOOKUP(A2464,[1]Municipios!$B:$B,[1]Municipios!$C:$C)</f>
        <v>Norte</v>
      </c>
      <c r="C2464" t="str">
        <f>_xlfn.XLOOKUP(A2464,[1]Municipios!$B:$B,[1]Municipios!$D:$D)</f>
        <v>Vale Do Ivaí</v>
      </c>
      <c r="D2464">
        <v>2025</v>
      </c>
      <c r="E2464" t="s">
        <v>236</v>
      </c>
      <c r="F2464">
        <v>7.6999999999999999E-2</v>
      </c>
      <c r="G2464">
        <v>50.54</v>
      </c>
    </row>
    <row r="2465" spans="1:7" x14ac:dyDescent="0.25">
      <c r="A2465" t="s">
        <v>517</v>
      </c>
      <c r="B2465" t="str">
        <f>_xlfn.XLOOKUP(A2465,[1]Municipios!$B:$B,[1]Municipios!$C:$C)</f>
        <v>Norte</v>
      </c>
      <c r="C2465" t="str">
        <f>_xlfn.XLOOKUP(A2465,[1]Municipios!$B:$B,[1]Municipios!$D:$D)</f>
        <v>Vale Do Ivaí</v>
      </c>
      <c r="D2465">
        <v>2025</v>
      </c>
      <c r="E2465" t="s">
        <v>237</v>
      </c>
      <c r="F2465">
        <v>0</v>
      </c>
      <c r="G2465">
        <v>50.54</v>
      </c>
    </row>
    <row r="2466" spans="1:7" x14ac:dyDescent="0.25">
      <c r="A2466" t="s">
        <v>532</v>
      </c>
      <c r="B2466" t="str">
        <f>_xlfn.XLOOKUP(A2466,[1]Municipios!$B:$B,[1]Municipios!$C:$C)</f>
        <v>Oeste</v>
      </c>
      <c r="C2466" t="str">
        <f>_xlfn.XLOOKUP(A2466,[1]Municipios!$B:$B,[1]Municipios!$D:$D)</f>
        <v>Cantuquiriguaçu</v>
      </c>
      <c r="D2466">
        <v>2025</v>
      </c>
      <c r="E2466" t="s">
        <v>231</v>
      </c>
      <c r="F2466">
        <v>0.66669999999999996</v>
      </c>
      <c r="G2466">
        <v>75.39</v>
      </c>
    </row>
    <row r="2467" spans="1:7" x14ac:dyDescent="0.25">
      <c r="A2467" t="s">
        <v>532</v>
      </c>
      <c r="B2467" t="str">
        <f>_xlfn.XLOOKUP(A2467,[1]Municipios!$B:$B,[1]Municipios!$C:$C)</f>
        <v>Oeste</v>
      </c>
      <c r="C2467" t="str">
        <f>_xlfn.XLOOKUP(A2467,[1]Municipios!$B:$B,[1]Municipios!$D:$D)</f>
        <v>Cantuquiriguaçu</v>
      </c>
      <c r="D2467">
        <v>2025</v>
      </c>
      <c r="E2467" t="s">
        <v>232</v>
      </c>
      <c r="F2467">
        <v>0.92300000000000004</v>
      </c>
      <c r="G2467">
        <v>75.39</v>
      </c>
    </row>
    <row r="2468" spans="1:7" x14ac:dyDescent="0.25">
      <c r="A2468" t="s">
        <v>532</v>
      </c>
      <c r="B2468" t="str">
        <f>_xlfn.XLOOKUP(A2468,[1]Municipios!$B:$B,[1]Municipios!$C:$C)</f>
        <v>Oeste</v>
      </c>
      <c r="C2468" t="str">
        <f>_xlfn.XLOOKUP(A2468,[1]Municipios!$B:$B,[1]Municipios!$D:$D)</f>
        <v>Cantuquiriguaçu</v>
      </c>
      <c r="D2468">
        <v>2025</v>
      </c>
      <c r="E2468" t="s">
        <v>233</v>
      </c>
      <c r="F2468">
        <v>0.875</v>
      </c>
      <c r="G2468">
        <v>75.39</v>
      </c>
    </row>
    <row r="2469" spans="1:7" x14ac:dyDescent="0.25">
      <c r="A2469" t="s">
        <v>532</v>
      </c>
      <c r="B2469" t="str">
        <f>_xlfn.XLOOKUP(A2469,[1]Municipios!$B:$B,[1]Municipios!$C:$C)</f>
        <v>Oeste</v>
      </c>
      <c r="C2469" t="str">
        <f>_xlfn.XLOOKUP(A2469,[1]Municipios!$B:$B,[1]Municipios!$D:$D)</f>
        <v>Cantuquiriguaçu</v>
      </c>
      <c r="D2469">
        <v>2025</v>
      </c>
      <c r="E2469" t="s">
        <v>215</v>
      </c>
      <c r="F2469">
        <v>0.70000000000000007</v>
      </c>
      <c r="G2469">
        <v>75.39</v>
      </c>
    </row>
    <row r="2470" spans="1:7" x14ac:dyDescent="0.25">
      <c r="A2470" t="s">
        <v>532</v>
      </c>
      <c r="B2470" t="str">
        <f>_xlfn.XLOOKUP(A2470,[1]Municipios!$B:$B,[1]Municipios!$C:$C)</f>
        <v>Oeste</v>
      </c>
      <c r="C2470" t="str">
        <f>_xlfn.XLOOKUP(A2470,[1]Municipios!$B:$B,[1]Municipios!$D:$D)</f>
        <v>Cantuquiriguaçu</v>
      </c>
      <c r="D2470">
        <v>2025</v>
      </c>
      <c r="E2470" t="s">
        <v>234</v>
      </c>
      <c r="F2470">
        <v>0.77770000000000006</v>
      </c>
      <c r="G2470">
        <v>75.39</v>
      </c>
    </row>
    <row r="2471" spans="1:7" x14ac:dyDescent="0.25">
      <c r="A2471" t="s">
        <v>532</v>
      </c>
      <c r="B2471" t="str">
        <f>_xlfn.XLOOKUP(A2471,[1]Municipios!$B:$B,[1]Municipios!$C:$C)</f>
        <v>Oeste</v>
      </c>
      <c r="C2471" t="str">
        <f>_xlfn.XLOOKUP(A2471,[1]Municipios!$B:$B,[1]Municipios!$D:$D)</f>
        <v>Cantuquiriguaçu</v>
      </c>
      <c r="D2471">
        <v>2025</v>
      </c>
      <c r="E2471" t="s">
        <v>235</v>
      </c>
      <c r="F2471">
        <v>0.85720000000000007</v>
      </c>
      <c r="G2471">
        <v>75.39</v>
      </c>
    </row>
    <row r="2472" spans="1:7" x14ac:dyDescent="0.25">
      <c r="A2472" t="s">
        <v>532</v>
      </c>
      <c r="B2472" t="str">
        <f>_xlfn.XLOOKUP(A2472,[1]Municipios!$B:$B,[1]Municipios!$C:$C)</f>
        <v>Oeste</v>
      </c>
      <c r="C2472" t="str">
        <f>_xlfn.XLOOKUP(A2472,[1]Municipios!$B:$B,[1]Municipios!$D:$D)</f>
        <v>Cantuquiriguaçu</v>
      </c>
      <c r="D2472">
        <v>2025</v>
      </c>
      <c r="E2472" t="s">
        <v>236</v>
      </c>
      <c r="F2472">
        <v>0.23080000000000001</v>
      </c>
      <c r="G2472">
        <v>75.39</v>
      </c>
    </row>
    <row r="2473" spans="1:7" x14ac:dyDescent="0.25">
      <c r="A2473" t="s">
        <v>532</v>
      </c>
      <c r="B2473" t="str">
        <f>_xlfn.XLOOKUP(A2473,[1]Municipios!$B:$B,[1]Municipios!$C:$C)</f>
        <v>Oeste</v>
      </c>
      <c r="C2473" t="str">
        <f>_xlfn.XLOOKUP(A2473,[1]Municipios!$B:$B,[1]Municipios!$D:$D)</f>
        <v>Cantuquiriguaçu</v>
      </c>
      <c r="D2473">
        <v>2025</v>
      </c>
      <c r="E2473" t="s">
        <v>237</v>
      </c>
      <c r="F2473">
        <v>1</v>
      </c>
      <c r="G2473">
        <v>75.39</v>
      </c>
    </row>
    <row r="2474" spans="1:7" x14ac:dyDescent="0.25">
      <c r="A2474" t="s">
        <v>518</v>
      </c>
      <c r="B2474" t="str">
        <f>_xlfn.XLOOKUP(A2474,[1]Municipios!$B:$B,[1]Municipios!$C:$C)</f>
        <v>Norte</v>
      </c>
      <c r="C2474" t="str">
        <f>_xlfn.XLOOKUP(A2474,[1]Municipios!$B:$B,[1]Municipios!$D:$D)</f>
        <v>Vale Do Ivaí</v>
      </c>
      <c r="D2474">
        <v>2025</v>
      </c>
      <c r="E2474" t="s">
        <v>231</v>
      </c>
      <c r="F2474">
        <v>0.33329999999999999</v>
      </c>
      <c r="G2474">
        <v>29.07</v>
      </c>
    </row>
    <row r="2475" spans="1:7" x14ac:dyDescent="0.25">
      <c r="A2475" t="s">
        <v>518</v>
      </c>
      <c r="B2475" t="str">
        <f>_xlfn.XLOOKUP(A2475,[1]Municipios!$B:$B,[1]Municipios!$C:$C)</f>
        <v>Norte</v>
      </c>
      <c r="C2475" t="str">
        <f>_xlfn.XLOOKUP(A2475,[1]Municipios!$B:$B,[1]Municipios!$D:$D)</f>
        <v>Vale Do Ivaí</v>
      </c>
      <c r="D2475">
        <v>2025</v>
      </c>
      <c r="E2475" t="s">
        <v>232</v>
      </c>
      <c r="F2475">
        <v>0.69230000000000003</v>
      </c>
      <c r="G2475">
        <v>29.07</v>
      </c>
    </row>
    <row r="2476" spans="1:7" x14ac:dyDescent="0.25">
      <c r="A2476" t="s">
        <v>518</v>
      </c>
      <c r="B2476" t="str">
        <f>_xlfn.XLOOKUP(A2476,[1]Municipios!$B:$B,[1]Municipios!$C:$C)</f>
        <v>Norte</v>
      </c>
      <c r="C2476" t="str">
        <f>_xlfn.XLOOKUP(A2476,[1]Municipios!$B:$B,[1]Municipios!$D:$D)</f>
        <v>Vale Do Ivaí</v>
      </c>
      <c r="D2476">
        <v>2025</v>
      </c>
      <c r="E2476" t="s">
        <v>233</v>
      </c>
      <c r="F2476">
        <v>0.5</v>
      </c>
      <c r="G2476">
        <v>29.07</v>
      </c>
    </row>
    <row r="2477" spans="1:7" x14ac:dyDescent="0.25">
      <c r="A2477" t="s">
        <v>518</v>
      </c>
      <c r="B2477" t="str">
        <f>_xlfn.XLOOKUP(A2477,[1]Municipios!$B:$B,[1]Municipios!$C:$C)</f>
        <v>Norte</v>
      </c>
      <c r="C2477" t="str">
        <f>_xlfn.XLOOKUP(A2477,[1]Municipios!$B:$B,[1]Municipios!$D:$D)</f>
        <v>Vale Do Ivaí</v>
      </c>
      <c r="D2477">
        <v>2025</v>
      </c>
      <c r="E2477" t="s">
        <v>215</v>
      </c>
      <c r="F2477">
        <v>0.15</v>
      </c>
      <c r="G2477">
        <v>29.07</v>
      </c>
    </row>
    <row r="2478" spans="1:7" x14ac:dyDescent="0.25">
      <c r="A2478" t="s">
        <v>518</v>
      </c>
      <c r="B2478" t="str">
        <f>_xlfn.XLOOKUP(A2478,[1]Municipios!$B:$B,[1]Municipios!$C:$C)</f>
        <v>Norte</v>
      </c>
      <c r="C2478" t="str">
        <f>_xlfn.XLOOKUP(A2478,[1]Municipios!$B:$B,[1]Municipios!$D:$D)</f>
        <v>Vale Do Ivaí</v>
      </c>
      <c r="D2478">
        <v>2025</v>
      </c>
      <c r="E2478" t="s">
        <v>234</v>
      </c>
      <c r="F2478">
        <v>0.44440000000000002</v>
      </c>
      <c r="G2478">
        <v>29.07</v>
      </c>
    </row>
    <row r="2479" spans="1:7" x14ac:dyDescent="0.25">
      <c r="A2479" t="s">
        <v>518</v>
      </c>
      <c r="B2479" t="str">
        <f>_xlfn.XLOOKUP(A2479,[1]Municipios!$B:$B,[1]Municipios!$C:$C)</f>
        <v>Norte</v>
      </c>
      <c r="C2479" t="str">
        <f>_xlfn.XLOOKUP(A2479,[1]Municipios!$B:$B,[1]Municipios!$D:$D)</f>
        <v>Vale Do Ivaí</v>
      </c>
      <c r="D2479">
        <v>2025</v>
      </c>
      <c r="E2479" t="s">
        <v>235</v>
      </c>
      <c r="F2479">
        <v>0.1429</v>
      </c>
      <c r="G2479">
        <v>29.07</v>
      </c>
    </row>
    <row r="2480" spans="1:7" x14ac:dyDescent="0.25">
      <c r="A2480" t="s">
        <v>518</v>
      </c>
      <c r="B2480" t="str">
        <f>_xlfn.XLOOKUP(A2480,[1]Municipios!$B:$B,[1]Municipios!$C:$C)</f>
        <v>Norte</v>
      </c>
      <c r="C2480" t="str">
        <f>_xlfn.XLOOKUP(A2480,[1]Municipios!$B:$B,[1]Municipios!$D:$D)</f>
        <v>Vale Do Ivaí</v>
      </c>
      <c r="D2480">
        <v>2025</v>
      </c>
      <c r="E2480" t="s">
        <v>236</v>
      </c>
      <c r="F2480">
        <v>0</v>
      </c>
      <c r="G2480">
        <v>29.07</v>
      </c>
    </row>
    <row r="2481" spans="1:7" x14ac:dyDescent="0.25">
      <c r="A2481" t="s">
        <v>518</v>
      </c>
      <c r="B2481" t="str">
        <f>_xlfn.XLOOKUP(A2481,[1]Municipios!$B:$B,[1]Municipios!$C:$C)</f>
        <v>Norte</v>
      </c>
      <c r="C2481" t="str">
        <f>_xlfn.XLOOKUP(A2481,[1]Municipios!$B:$B,[1]Municipios!$D:$D)</f>
        <v>Vale Do Ivaí</v>
      </c>
      <c r="D2481">
        <v>2025</v>
      </c>
      <c r="E2481" t="s">
        <v>237</v>
      </c>
      <c r="F2481">
        <v>0</v>
      </c>
      <c r="G2481">
        <v>29.07</v>
      </c>
    </row>
    <row r="2482" spans="1:7" x14ac:dyDescent="0.25">
      <c r="A2482" t="s">
        <v>537</v>
      </c>
      <c r="B2482" t="str">
        <f>_xlfn.XLOOKUP(A2482,[1]Municipios!$B:$B,[1]Municipios!$C:$C)</f>
        <v>Leste</v>
      </c>
      <c r="C2482" t="str">
        <f>_xlfn.XLOOKUP(A2482,[1]Municipios!$B:$B,[1]Municipios!$D:$D)</f>
        <v>Vale Do Ribeira</v>
      </c>
      <c r="D2482">
        <v>2025</v>
      </c>
      <c r="E2482" t="s">
        <v>231</v>
      </c>
      <c r="F2482">
        <v>0.55559999999999998</v>
      </c>
      <c r="G2482">
        <v>76.849999999999994</v>
      </c>
    </row>
    <row r="2483" spans="1:7" x14ac:dyDescent="0.25">
      <c r="A2483" t="s">
        <v>537</v>
      </c>
      <c r="B2483" t="str">
        <f>_xlfn.XLOOKUP(A2483,[1]Municipios!$B:$B,[1]Municipios!$C:$C)</f>
        <v>Leste</v>
      </c>
      <c r="C2483" t="str">
        <f>_xlfn.XLOOKUP(A2483,[1]Municipios!$B:$B,[1]Municipios!$D:$D)</f>
        <v>Vale Do Ribeira</v>
      </c>
      <c r="D2483">
        <v>2025</v>
      </c>
      <c r="E2483" t="s">
        <v>232</v>
      </c>
      <c r="F2483">
        <v>0.92310000000000003</v>
      </c>
      <c r="G2483">
        <v>76.849999999999994</v>
      </c>
    </row>
    <row r="2484" spans="1:7" x14ac:dyDescent="0.25">
      <c r="A2484" t="s">
        <v>537</v>
      </c>
      <c r="B2484" t="str">
        <f>_xlfn.XLOOKUP(A2484,[1]Municipios!$B:$B,[1]Municipios!$C:$C)</f>
        <v>Leste</v>
      </c>
      <c r="C2484" t="str">
        <f>_xlfn.XLOOKUP(A2484,[1]Municipios!$B:$B,[1]Municipios!$D:$D)</f>
        <v>Vale Do Ribeira</v>
      </c>
      <c r="D2484">
        <v>2025</v>
      </c>
      <c r="E2484" t="s">
        <v>233</v>
      </c>
      <c r="F2484">
        <v>0.875</v>
      </c>
      <c r="G2484">
        <v>76.849999999999994</v>
      </c>
    </row>
    <row r="2485" spans="1:7" x14ac:dyDescent="0.25">
      <c r="A2485" t="s">
        <v>537</v>
      </c>
      <c r="B2485" t="str">
        <f>_xlfn.XLOOKUP(A2485,[1]Municipios!$B:$B,[1]Municipios!$C:$C)</f>
        <v>Leste</v>
      </c>
      <c r="C2485" t="str">
        <f>_xlfn.XLOOKUP(A2485,[1]Municipios!$B:$B,[1]Municipios!$D:$D)</f>
        <v>Vale Do Ribeira</v>
      </c>
      <c r="D2485">
        <v>2025</v>
      </c>
      <c r="E2485" t="s">
        <v>215</v>
      </c>
      <c r="F2485">
        <v>0.6</v>
      </c>
      <c r="G2485">
        <v>76.849999999999994</v>
      </c>
    </row>
    <row r="2486" spans="1:7" x14ac:dyDescent="0.25">
      <c r="A2486" t="s">
        <v>537</v>
      </c>
      <c r="B2486" t="str">
        <f>_xlfn.XLOOKUP(A2486,[1]Municipios!$B:$B,[1]Municipios!$C:$C)</f>
        <v>Leste</v>
      </c>
      <c r="C2486" t="str">
        <f>_xlfn.XLOOKUP(A2486,[1]Municipios!$B:$B,[1]Municipios!$D:$D)</f>
        <v>Vale Do Ribeira</v>
      </c>
      <c r="D2486">
        <v>2025</v>
      </c>
      <c r="E2486" t="s">
        <v>234</v>
      </c>
      <c r="F2486">
        <v>0.77780000000000005</v>
      </c>
      <c r="G2486">
        <v>76.849999999999994</v>
      </c>
    </row>
    <row r="2487" spans="1:7" x14ac:dyDescent="0.25">
      <c r="A2487" t="s">
        <v>537</v>
      </c>
      <c r="B2487" t="str">
        <f>_xlfn.XLOOKUP(A2487,[1]Municipios!$B:$B,[1]Municipios!$C:$C)</f>
        <v>Leste</v>
      </c>
      <c r="C2487" t="str">
        <f>_xlfn.XLOOKUP(A2487,[1]Municipios!$B:$B,[1]Municipios!$D:$D)</f>
        <v>Vale Do Ribeira</v>
      </c>
      <c r="D2487">
        <v>2025</v>
      </c>
      <c r="E2487" t="s">
        <v>235</v>
      </c>
      <c r="F2487">
        <v>1</v>
      </c>
      <c r="G2487">
        <v>76.849999999999994</v>
      </c>
    </row>
    <row r="2488" spans="1:7" x14ac:dyDescent="0.25">
      <c r="A2488" t="s">
        <v>537</v>
      </c>
      <c r="B2488" t="str">
        <f>_xlfn.XLOOKUP(A2488,[1]Municipios!$B:$B,[1]Municipios!$C:$C)</f>
        <v>Leste</v>
      </c>
      <c r="C2488" t="str">
        <f>_xlfn.XLOOKUP(A2488,[1]Municipios!$B:$B,[1]Municipios!$D:$D)</f>
        <v>Vale Do Ribeira</v>
      </c>
      <c r="D2488">
        <v>2025</v>
      </c>
      <c r="E2488" t="s">
        <v>236</v>
      </c>
      <c r="F2488">
        <v>0.3846</v>
      </c>
      <c r="G2488">
        <v>76.849999999999994</v>
      </c>
    </row>
    <row r="2489" spans="1:7" x14ac:dyDescent="0.25">
      <c r="A2489" t="s">
        <v>537</v>
      </c>
      <c r="B2489" t="str">
        <f>_xlfn.XLOOKUP(A2489,[1]Municipios!$B:$B,[1]Municipios!$C:$C)</f>
        <v>Leste</v>
      </c>
      <c r="C2489" t="str">
        <f>_xlfn.XLOOKUP(A2489,[1]Municipios!$B:$B,[1]Municipios!$D:$D)</f>
        <v>Vale Do Ribeira</v>
      </c>
      <c r="D2489">
        <v>2025</v>
      </c>
      <c r="E2489" t="s">
        <v>237</v>
      </c>
      <c r="F2489">
        <v>1</v>
      </c>
      <c r="G2489">
        <v>76.849999999999994</v>
      </c>
    </row>
    <row r="2490" spans="1:7" x14ac:dyDescent="0.25">
      <c r="A2490" t="s">
        <v>496</v>
      </c>
      <c r="B2490" t="str">
        <f>_xlfn.XLOOKUP(A2490,[1]Municipios!$B:$B,[1]Municipios!$C:$C)</f>
        <v>Leste</v>
      </c>
      <c r="C2490" t="str">
        <f>_xlfn.XLOOKUP(A2490,[1]Municipios!$B:$B,[1]Municipios!$D:$D)</f>
        <v>Gralha Azul</v>
      </c>
      <c r="D2490">
        <v>2025</v>
      </c>
      <c r="E2490" t="s">
        <v>231</v>
      </c>
      <c r="F2490">
        <v>0.55559999999999998</v>
      </c>
      <c r="G2490">
        <v>70.5</v>
      </c>
    </row>
    <row r="2491" spans="1:7" x14ac:dyDescent="0.25">
      <c r="A2491" t="s">
        <v>496</v>
      </c>
      <c r="B2491" t="str">
        <f>_xlfn.XLOOKUP(A2491,[1]Municipios!$B:$B,[1]Municipios!$C:$C)</f>
        <v>Leste</v>
      </c>
      <c r="C2491" t="str">
        <f>_xlfn.XLOOKUP(A2491,[1]Municipios!$B:$B,[1]Municipios!$D:$D)</f>
        <v>Gralha Azul</v>
      </c>
      <c r="D2491">
        <v>2025</v>
      </c>
      <c r="E2491" t="s">
        <v>232</v>
      </c>
      <c r="F2491">
        <v>0.76929999999999998</v>
      </c>
      <c r="G2491">
        <v>70.5</v>
      </c>
    </row>
    <row r="2492" spans="1:7" x14ac:dyDescent="0.25">
      <c r="A2492" t="s">
        <v>496</v>
      </c>
      <c r="B2492" t="str">
        <f>_xlfn.XLOOKUP(A2492,[1]Municipios!$B:$B,[1]Municipios!$C:$C)</f>
        <v>Leste</v>
      </c>
      <c r="C2492" t="str">
        <f>_xlfn.XLOOKUP(A2492,[1]Municipios!$B:$B,[1]Municipios!$D:$D)</f>
        <v>Gralha Azul</v>
      </c>
      <c r="D2492">
        <v>2025</v>
      </c>
      <c r="E2492" t="s">
        <v>233</v>
      </c>
      <c r="F2492">
        <v>0.625</v>
      </c>
      <c r="G2492">
        <v>70.5</v>
      </c>
    </row>
    <row r="2493" spans="1:7" x14ac:dyDescent="0.25">
      <c r="A2493" t="s">
        <v>496</v>
      </c>
      <c r="B2493" t="str">
        <f>_xlfn.XLOOKUP(A2493,[1]Municipios!$B:$B,[1]Municipios!$C:$C)</f>
        <v>Leste</v>
      </c>
      <c r="C2493" t="str">
        <f>_xlfn.XLOOKUP(A2493,[1]Municipios!$B:$B,[1]Municipios!$D:$D)</f>
        <v>Gralha Azul</v>
      </c>
      <c r="D2493">
        <v>2025</v>
      </c>
      <c r="E2493" t="s">
        <v>215</v>
      </c>
      <c r="F2493">
        <v>0.95000000000000007</v>
      </c>
      <c r="G2493">
        <v>70.5</v>
      </c>
    </row>
    <row r="2494" spans="1:7" x14ac:dyDescent="0.25">
      <c r="A2494" t="s">
        <v>496</v>
      </c>
      <c r="B2494" t="str">
        <f>_xlfn.XLOOKUP(A2494,[1]Municipios!$B:$B,[1]Municipios!$C:$C)</f>
        <v>Leste</v>
      </c>
      <c r="C2494" t="str">
        <f>_xlfn.XLOOKUP(A2494,[1]Municipios!$B:$B,[1]Municipios!$D:$D)</f>
        <v>Gralha Azul</v>
      </c>
      <c r="D2494">
        <v>2025</v>
      </c>
      <c r="E2494" t="s">
        <v>234</v>
      </c>
      <c r="F2494">
        <v>0.55549999999999999</v>
      </c>
      <c r="G2494">
        <v>70.5</v>
      </c>
    </row>
    <row r="2495" spans="1:7" x14ac:dyDescent="0.25">
      <c r="A2495" t="s">
        <v>496</v>
      </c>
      <c r="B2495" t="str">
        <f>_xlfn.XLOOKUP(A2495,[1]Municipios!$B:$B,[1]Municipios!$C:$C)</f>
        <v>Leste</v>
      </c>
      <c r="C2495" t="str">
        <f>_xlfn.XLOOKUP(A2495,[1]Municipios!$B:$B,[1]Municipios!$D:$D)</f>
        <v>Gralha Azul</v>
      </c>
      <c r="D2495">
        <v>2025</v>
      </c>
      <c r="E2495" t="s">
        <v>235</v>
      </c>
      <c r="F2495">
        <v>0.85720000000000007</v>
      </c>
      <c r="G2495">
        <v>70.5</v>
      </c>
    </row>
    <row r="2496" spans="1:7" x14ac:dyDescent="0.25">
      <c r="A2496" t="s">
        <v>496</v>
      </c>
      <c r="B2496" t="str">
        <f>_xlfn.XLOOKUP(A2496,[1]Municipios!$B:$B,[1]Municipios!$C:$C)</f>
        <v>Leste</v>
      </c>
      <c r="C2496" t="str">
        <f>_xlfn.XLOOKUP(A2496,[1]Municipios!$B:$B,[1]Municipios!$D:$D)</f>
        <v>Gralha Azul</v>
      </c>
      <c r="D2496">
        <v>2025</v>
      </c>
      <c r="E2496" t="s">
        <v>236</v>
      </c>
      <c r="F2496">
        <v>0.30780000000000002</v>
      </c>
      <c r="G2496">
        <v>70.5</v>
      </c>
    </row>
    <row r="2497" spans="1:7" x14ac:dyDescent="0.25">
      <c r="A2497" t="s">
        <v>496</v>
      </c>
      <c r="B2497" t="str">
        <f>_xlfn.XLOOKUP(A2497,[1]Municipios!$B:$B,[1]Municipios!$C:$C)</f>
        <v>Leste</v>
      </c>
      <c r="C2497" t="str">
        <f>_xlfn.XLOOKUP(A2497,[1]Municipios!$B:$B,[1]Municipios!$D:$D)</f>
        <v>Gralha Azul</v>
      </c>
      <c r="D2497">
        <v>2025</v>
      </c>
      <c r="E2497" t="s">
        <v>237</v>
      </c>
      <c r="F2497">
        <v>1</v>
      </c>
      <c r="G2497">
        <v>70.5</v>
      </c>
    </row>
    <row r="2498" spans="1:7" x14ac:dyDescent="0.25">
      <c r="A2498" t="s">
        <v>284</v>
      </c>
      <c r="B2498" t="str">
        <f>_xlfn.XLOOKUP(A2498,[1]Municipios!$B:$B,[1]Municipios!$C:$C)</f>
        <v>Norte</v>
      </c>
      <c r="C2498" t="str">
        <f>_xlfn.XLOOKUP(A2498,[1]Municipios!$B:$B,[1]Municipios!$D:$D)</f>
        <v>Norte Do Paraná</v>
      </c>
      <c r="D2498">
        <v>2025</v>
      </c>
      <c r="E2498" t="s">
        <v>231</v>
      </c>
      <c r="F2498">
        <v>0.55559999999999998</v>
      </c>
      <c r="G2498">
        <v>91.26</v>
      </c>
    </row>
    <row r="2499" spans="1:7" x14ac:dyDescent="0.25">
      <c r="A2499" t="s">
        <v>284</v>
      </c>
      <c r="B2499" t="str">
        <f>_xlfn.XLOOKUP(A2499,[1]Municipios!$B:$B,[1]Municipios!$C:$C)</f>
        <v>Norte</v>
      </c>
      <c r="C2499" t="str">
        <f>_xlfn.XLOOKUP(A2499,[1]Municipios!$B:$B,[1]Municipios!$D:$D)</f>
        <v>Norte Do Paraná</v>
      </c>
      <c r="D2499">
        <v>2025</v>
      </c>
      <c r="E2499" t="s">
        <v>232</v>
      </c>
      <c r="F2499">
        <v>1</v>
      </c>
      <c r="G2499">
        <v>91.26</v>
      </c>
    </row>
    <row r="2500" spans="1:7" x14ac:dyDescent="0.25">
      <c r="A2500" t="s">
        <v>284</v>
      </c>
      <c r="B2500" t="str">
        <f>_xlfn.XLOOKUP(A2500,[1]Municipios!$B:$B,[1]Municipios!$C:$C)</f>
        <v>Norte</v>
      </c>
      <c r="C2500" t="str">
        <f>_xlfn.XLOOKUP(A2500,[1]Municipios!$B:$B,[1]Municipios!$D:$D)</f>
        <v>Norte Do Paraná</v>
      </c>
      <c r="D2500">
        <v>2025</v>
      </c>
      <c r="E2500" t="s">
        <v>233</v>
      </c>
      <c r="F2500">
        <v>1</v>
      </c>
      <c r="G2500">
        <v>91.26</v>
      </c>
    </row>
    <row r="2501" spans="1:7" x14ac:dyDescent="0.25">
      <c r="A2501" t="s">
        <v>284</v>
      </c>
      <c r="B2501" t="str">
        <f>_xlfn.XLOOKUP(A2501,[1]Municipios!$B:$B,[1]Municipios!$C:$C)</f>
        <v>Norte</v>
      </c>
      <c r="C2501" t="str">
        <f>_xlfn.XLOOKUP(A2501,[1]Municipios!$B:$B,[1]Municipios!$D:$D)</f>
        <v>Norte Do Paraná</v>
      </c>
      <c r="D2501">
        <v>2025</v>
      </c>
      <c r="E2501" t="s">
        <v>215</v>
      </c>
      <c r="F2501">
        <v>0.95000000000000007</v>
      </c>
      <c r="G2501">
        <v>91.26</v>
      </c>
    </row>
    <row r="2502" spans="1:7" x14ac:dyDescent="0.25">
      <c r="A2502" t="s">
        <v>284</v>
      </c>
      <c r="B2502" t="str">
        <f>_xlfn.XLOOKUP(A2502,[1]Municipios!$B:$B,[1]Municipios!$C:$C)</f>
        <v>Norte</v>
      </c>
      <c r="C2502" t="str">
        <f>_xlfn.XLOOKUP(A2502,[1]Municipios!$B:$B,[1]Municipios!$D:$D)</f>
        <v>Norte Do Paraná</v>
      </c>
      <c r="D2502">
        <v>2025</v>
      </c>
      <c r="E2502" t="s">
        <v>234</v>
      </c>
      <c r="F2502">
        <v>0.88890000000000002</v>
      </c>
      <c r="G2502">
        <v>91.26</v>
      </c>
    </row>
    <row r="2503" spans="1:7" x14ac:dyDescent="0.25">
      <c r="A2503" t="s">
        <v>284</v>
      </c>
      <c r="B2503" t="str">
        <f>_xlfn.XLOOKUP(A2503,[1]Municipios!$B:$B,[1]Municipios!$C:$C)</f>
        <v>Norte</v>
      </c>
      <c r="C2503" t="str">
        <f>_xlfn.XLOOKUP(A2503,[1]Municipios!$B:$B,[1]Municipios!$D:$D)</f>
        <v>Norte Do Paraná</v>
      </c>
      <c r="D2503">
        <v>2025</v>
      </c>
      <c r="E2503" t="s">
        <v>235</v>
      </c>
      <c r="F2503">
        <v>1</v>
      </c>
      <c r="G2503">
        <v>91.26</v>
      </c>
    </row>
    <row r="2504" spans="1:7" x14ac:dyDescent="0.25">
      <c r="A2504" t="s">
        <v>284</v>
      </c>
      <c r="B2504" t="str">
        <f>_xlfn.XLOOKUP(A2504,[1]Municipios!$B:$B,[1]Municipios!$C:$C)</f>
        <v>Norte</v>
      </c>
      <c r="C2504" t="str">
        <f>_xlfn.XLOOKUP(A2504,[1]Municipios!$B:$B,[1]Municipios!$D:$D)</f>
        <v>Norte Do Paraná</v>
      </c>
      <c r="D2504">
        <v>2025</v>
      </c>
      <c r="E2504" t="s">
        <v>236</v>
      </c>
      <c r="F2504">
        <v>0.92309999999999992</v>
      </c>
      <c r="G2504">
        <v>91.26</v>
      </c>
    </row>
    <row r="2505" spans="1:7" x14ac:dyDescent="0.25">
      <c r="A2505" t="s">
        <v>284</v>
      </c>
      <c r="B2505" t="str">
        <f>_xlfn.XLOOKUP(A2505,[1]Municipios!$B:$B,[1]Municipios!$C:$C)</f>
        <v>Norte</v>
      </c>
      <c r="C2505" t="str">
        <f>_xlfn.XLOOKUP(A2505,[1]Municipios!$B:$B,[1]Municipios!$D:$D)</f>
        <v>Norte Do Paraná</v>
      </c>
      <c r="D2505">
        <v>2025</v>
      </c>
      <c r="E2505" t="s">
        <v>237</v>
      </c>
      <c r="F2505">
        <v>1</v>
      </c>
      <c r="G2505">
        <v>91.26</v>
      </c>
    </row>
    <row r="2506" spans="1:7" x14ac:dyDescent="0.25">
      <c r="A2506" t="s">
        <v>484</v>
      </c>
      <c r="B2506" t="str">
        <f>_xlfn.XLOOKUP(A2506,[1]Municipios!$B:$B,[1]Municipios!$C:$C)</f>
        <v>Noroeste</v>
      </c>
      <c r="C2506" t="str">
        <f>_xlfn.XLOOKUP(A2506,[1]Municipios!$B:$B,[1]Municipios!$D:$D)</f>
        <v>Centro Ocidental</v>
      </c>
      <c r="D2506">
        <v>2025</v>
      </c>
      <c r="E2506" t="s">
        <v>231</v>
      </c>
      <c r="F2506">
        <v>0.77779999999999994</v>
      </c>
      <c r="G2506">
        <v>80.650000000000006</v>
      </c>
    </row>
    <row r="2507" spans="1:7" x14ac:dyDescent="0.25">
      <c r="A2507" t="s">
        <v>484</v>
      </c>
      <c r="B2507" t="str">
        <f>_xlfn.XLOOKUP(A2507,[1]Municipios!$B:$B,[1]Municipios!$C:$C)</f>
        <v>Noroeste</v>
      </c>
      <c r="C2507" t="str">
        <f>_xlfn.XLOOKUP(A2507,[1]Municipios!$B:$B,[1]Municipios!$D:$D)</f>
        <v>Centro Ocidental</v>
      </c>
      <c r="D2507">
        <v>2025</v>
      </c>
      <c r="E2507" t="s">
        <v>232</v>
      </c>
      <c r="F2507">
        <v>0.92310000000000003</v>
      </c>
      <c r="G2507">
        <v>80.650000000000006</v>
      </c>
    </row>
    <row r="2508" spans="1:7" x14ac:dyDescent="0.25">
      <c r="A2508" t="s">
        <v>484</v>
      </c>
      <c r="B2508" t="str">
        <f>_xlfn.XLOOKUP(A2508,[1]Municipios!$B:$B,[1]Municipios!$C:$C)</f>
        <v>Noroeste</v>
      </c>
      <c r="C2508" t="str">
        <f>_xlfn.XLOOKUP(A2508,[1]Municipios!$B:$B,[1]Municipios!$D:$D)</f>
        <v>Centro Ocidental</v>
      </c>
      <c r="D2508">
        <v>2025</v>
      </c>
      <c r="E2508" t="s">
        <v>233</v>
      </c>
      <c r="F2508">
        <v>1</v>
      </c>
      <c r="G2508">
        <v>80.650000000000006</v>
      </c>
    </row>
    <row r="2509" spans="1:7" x14ac:dyDescent="0.25">
      <c r="A2509" t="s">
        <v>484</v>
      </c>
      <c r="B2509" t="str">
        <f>_xlfn.XLOOKUP(A2509,[1]Municipios!$B:$B,[1]Municipios!$C:$C)</f>
        <v>Noroeste</v>
      </c>
      <c r="C2509" t="str">
        <f>_xlfn.XLOOKUP(A2509,[1]Municipios!$B:$B,[1]Municipios!$D:$D)</f>
        <v>Centro Ocidental</v>
      </c>
      <c r="D2509">
        <v>2025</v>
      </c>
      <c r="E2509" t="s">
        <v>215</v>
      </c>
      <c r="F2509">
        <v>0.79999999999999993</v>
      </c>
      <c r="G2509">
        <v>80.650000000000006</v>
      </c>
    </row>
    <row r="2510" spans="1:7" x14ac:dyDescent="0.25">
      <c r="A2510" t="s">
        <v>484</v>
      </c>
      <c r="B2510" t="str">
        <f>_xlfn.XLOOKUP(A2510,[1]Municipios!$B:$B,[1]Municipios!$C:$C)</f>
        <v>Noroeste</v>
      </c>
      <c r="C2510" t="str">
        <f>_xlfn.XLOOKUP(A2510,[1]Municipios!$B:$B,[1]Municipios!$D:$D)</f>
        <v>Centro Ocidental</v>
      </c>
      <c r="D2510">
        <v>2025</v>
      </c>
      <c r="E2510" t="s">
        <v>234</v>
      </c>
      <c r="F2510">
        <v>0.66669999999999996</v>
      </c>
      <c r="G2510">
        <v>80.650000000000006</v>
      </c>
    </row>
    <row r="2511" spans="1:7" x14ac:dyDescent="0.25">
      <c r="A2511" t="s">
        <v>484</v>
      </c>
      <c r="B2511" t="str">
        <f>_xlfn.XLOOKUP(A2511,[1]Municipios!$B:$B,[1]Municipios!$C:$C)</f>
        <v>Noroeste</v>
      </c>
      <c r="C2511" t="str">
        <f>_xlfn.XLOOKUP(A2511,[1]Municipios!$B:$B,[1]Municipios!$D:$D)</f>
        <v>Centro Ocidental</v>
      </c>
      <c r="D2511">
        <v>2025</v>
      </c>
      <c r="E2511" t="s">
        <v>235</v>
      </c>
      <c r="F2511">
        <v>1</v>
      </c>
      <c r="G2511">
        <v>80.650000000000006</v>
      </c>
    </row>
    <row r="2512" spans="1:7" x14ac:dyDescent="0.25">
      <c r="A2512" t="s">
        <v>484</v>
      </c>
      <c r="B2512" t="str">
        <f>_xlfn.XLOOKUP(A2512,[1]Municipios!$B:$B,[1]Municipios!$C:$C)</f>
        <v>Noroeste</v>
      </c>
      <c r="C2512" t="str">
        <f>_xlfn.XLOOKUP(A2512,[1]Municipios!$B:$B,[1]Municipios!$D:$D)</f>
        <v>Centro Ocidental</v>
      </c>
      <c r="D2512">
        <v>2025</v>
      </c>
      <c r="E2512" t="s">
        <v>236</v>
      </c>
      <c r="F2512">
        <v>0.38480000000000003</v>
      </c>
      <c r="G2512">
        <v>80.650000000000006</v>
      </c>
    </row>
    <row r="2513" spans="1:7" x14ac:dyDescent="0.25">
      <c r="A2513" t="s">
        <v>484</v>
      </c>
      <c r="B2513" t="str">
        <f>_xlfn.XLOOKUP(A2513,[1]Municipios!$B:$B,[1]Municipios!$C:$C)</f>
        <v>Noroeste</v>
      </c>
      <c r="C2513" t="str">
        <f>_xlfn.XLOOKUP(A2513,[1]Municipios!$B:$B,[1]Municipios!$D:$D)</f>
        <v>Centro Ocidental</v>
      </c>
      <c r="D2513">
        <v>2025</v>
      </c>
      <c r="E2513" t="s">
        <v>237</v>
      </c>
      <c r="F2513">
        <v>1</v>
      </c>
      <c r="G2513">
        <v>80.650000000000006</v>
      </c>
    </row>
    <row r="2514" spans="1:7" x14ac:dyDescent="0.25">
      <c r="A2514" t="s">
        <v>608</v>
      </c>
      <c r="B2514" t="str">
        <f>_xlfn.XLOOKUP(A2514,[1]Municipios!$B:$B,[1]Municipios!$C:$C)</f>
        <v>Noroeste</v>
      </c>
      <c r="C2514" t="str">
        <f>_xlfn.XLOOKUP(A2514,[1]Municipios!$B:$B,[1]Municipios!$D:$D)</f>
        <v>Médio Noroeste</v>
      </c>
      <c r="D2514">
        <v>2025</v>
      </c>
      <c r="E2514" t="s">
        <v>231</v>
      </c>
      <c r="F2514">
        <v>0.66669999999999996</v>
      </c>
      <c r="G2514">
        <v>71.680000000000007</v>
      </c>
    </row>
    <row r="2515" spans="1:7" x14ac:dyDescent="0.25">
      <c r="A2515" t="s">
        <v>608</v>
      </c>
      <c r="B2515" t="str">
        <f>_xlfn.XLOOKUP(A2515,[1]Municipios!$B:$B,[1]Municipios!$C:$C)</f>
        <v>Noroeste</v>
      </c>
      <c r="C2515" t="str">
        <f>_xlfn.XLOOKUP(A2515,[1]Municipios!$B:$B,[1]Municipios!$D:$D)</f>
        <v>Médio Noroeste</v>
      </c>
      <c r="D2515">
        <v>2025</v>
      </c>
      <c r="E2515" t="s">
        <v>232</v>
      </c>
      <c r="F2515">
        <v>0.92310000000000003</v>
      </c>
      <c r="G2515">
        <v>71.680000000000007</v>
      </c>
    </row>
    <row r="2516" spans="1:7" x14ac:dyDescent="0.25">
      <c r="A2516" t="s">
        <v>608</v>
      </c>
      <c r="B2516" t="str">
        <f>_xlfn.XLOOKUP(A2516,[1]Municipios!$B:$B,[1]Municipios!$C:$C)</f>
        <v>Noroeste</v>
      </c>
      <c r="C2516" t="str">
        <f>_xlfn.XLOOKUP(A2516,[1]Municipios!$B:$B,[1]Municipios!$D:$D)</f>
        <v>Médio Noroeste</v>
      </c>
      <c r="D2516">
        <v>2025</v>
      </c>
      <c r="E2516" t="s">
        <v>233</v>
      </c>
      <c r="F2516">
        <v>0.75</v>
      </c>
      <c r="G2516">
        <v>71.680000000000007</v>
      </c>
    </row>
    <row r="2517" spans="1:7" x14ac:dyDescent="0.25">
      <c r="A2517" t="s">
        <v>608</v>
      </c>
      <c r="B2517" t="str">
        <f>_xlfn.XLOOKUP(A2517,[1]Municipios!$B:$B,[1]Municipios!$C:$C)</f>
        <v>Noroeste</v>
      </c>
      <c r="C2517" t="str">
        <f>_xlfn.XLOOKUP(A2517,[1]Municipios!$B:$B,[1]Municipios!$D:$D)</f>
        <v>Médio Noroeste</v>
      </c>
      <c r="D2517">
        <v>2025</v>
      </c>
      <c r="E2517" t="s">
        <v>215</v>
      </c>
      <c r="F2517">
        <v>0.6</v>
      </c>
      <c r="G2517">
        <v>71.680000000000007</v>
      </c>
    </row>
    <row r="2518" spans="1:7" x14ac:dyDescent="0.25">
      <c r="A2518" t="s">
        <v>608</v>
      </c>
      <c r="B2518" t="str">
        <f>_xlfn.XLOOKUP(A2518,[1]Municipios!$B:$B,[1]Municipios!$C:$C)</f>
        <v>Noroeste</v>
      </c>
      <c r="C2518" t="str">
        <f>_xlfn.XLOOKUP(A2518,[1]Municipios!$B:$B,[1]Municipios!$D:$D)</f>
        <v>Médio Noroeste</v>
      </c>
      <c r="D2518">
        <v>2025</v>
      </c>
      <c r="E2518" t="s">
        <v>234</v>
      </c>
      <c r="F2518">
        <v>0.66669999999999996</v>
      </c>
      <c r="G2518">
        <v>71.680000000000007</v>
      </c>
    </row>
    <row r="2519" spans="1:7" x14ac:dyDescent="0.25">
      <c r="A2519" t="s">
        <v>608</v>
      </c>
      <c r="B2519" t="str">
        <f>_xlfn.XLOOKUP(A2519,[1]Municipios!$B:$B,[1]Municipios!$C:$C)</f>
        <v>Noroeste</v>
      </c>
      <c r="C2519" t="str">
        <f>_xlfn.XLOOKUP(A2519,[1]Municipios!$B:$B,[1]Municipios!$D:$D)</f>
        <v>Médio Noroeste</v>
      </c>
      <c r="D2519">
        <v>2025</v>
      </c>
      <c r="E2519" t="s">
        <v>235</v>
      </c>
      <c r="F2519">
        <v>0.85720000000000007</v>
      </c>
      <c r="G2519">
        <v>71.680000000000007</v>
      </c>
    </row>
    <row r="2520" spans="1:7" x14ac:dyDescent="0.25">
      <c r="A2520" t="s">
        <v>608</v>
      </c>
      <c r="B2520" t="str">
        <f>_xlfn.XLOOKUP(A2520,[1]Municipios!$B:$B,[1]Municipios!$C:$C)</f>
        <v>Noroeste</v>
      </c>
      <c r="C2520" t="str">
        <f>_xlfn.XLOOKUP(A2520,[1]Municipios!$B:$B,[1]Municipios!$D:$D)</f>
        <v>Médio Noroeste</v>
      </c>
      <c r="D2520">
        <v>2025</v>
      </c>
      <c r="E2520" t="s">
        <v>236</v>
      </c>
      <c r="F2520">
        <v>0.23080000000000001</v>
      </c>
      <c r="G2520">
        <v>71.680000000000007</v>
      </c>
    </row>
    <row r="2521" spans="1:7" x14ac:dyDescent="0.25">
      <c r="A2521" t="s">
        <v>608</v>
      </c>
      <c r="B2521" t="str">
        <f>_xlfn.XLOOKUP(A2521,[1]Municipios!$B:$B,[1]Municipios!$C:$C)</f>
        <v>Noroeste</v>
      </c>
      <c r="C2521" t="str">
        <f>_xlfn.XLOOKUP(A2521,[1]Municipios!$B:$B,[1]Municipios!$D:$D)</f>
        <v>Médio Noroeste</v>
      </c>
      <c r="D2521">
        <v>2025</v>
      </c>
      <c r="E2521" t="s">
        <v>237</v>
      </c>
      <c r="F2521">
        <v>1</v>
      </c>
      <c r="G2521">
        <v>71.680000000000007</v>
      </c>
    </row>
    <row r="2522" spans="1:7" x14ac:dyDescent="0.25">
      <c r="A2522" t="s">
        <v>519</v>
      </c>
      <c r="B2522" t="str">
        <f>_xlfn.XLOOKUP(A2522,[1]Municipios!$B:$B,[1]Municipios!$C:$C)</f>
        <v>Norte</v>
      </c>
      <c r="C2522" t="str">
        <f>_xlfn.XLOOKUP(A2522,[1]Municipios!$B:$B,[1]Municipios!$D:$D)</f>
        <v>Vale Do Ivaí</v>
      </c>
      <c r="D2522">
        <v>2025</v>
      </c>
      <c r="E2522" t="s">
        <v>231</v>
      </c>
      <c r="F2522">
        <v>0.11109999999999999</v>
      </c>
      <c r="G2522">
        <v>34.39</v>
      </c>
    </row>
    <row r="2523" spans="1:7" x14ac:dyDescent="0.25">
      <c r="A2523" t="s">
        <v>519</v>
      </c>
      <c r="B2523" t="str">
        <f>_xlfn.XLOOKUP(A2523,[1]Municipios!$B:$B,[1]Municipios!$C:$C)</f>
        <v>Norte</v>
      </c>
      <c r="C2523" t="str">
        <f>_xlfn.XLOOKUP(A2523,[1]Municipios!$B:$B,[1]Municipios!$D:$D)</f>
        <v>Vale Do Ivaí</v>
      </c>
      <c r="D2523">
        <v>2025</v>
      </c>
      <c r="E2523" t="s">
        <v>232</v>
      </c>
      <c r="F2523">
        <v>0.76919999999999999</v>
      </c>
      <c r="G2523">
        <v>34.39</v>
      </c>
    </row>
    <row r="2524" spans="1:7" x14ac:dyDescent="0.25">
      <c r="A2524" t="s">
        <v>519</v>
      </c>
      <c r="B2524" t="str">
        <f>_xlfn.XLOOKUP(A2524,[1]Municipios!$B:$B,[1]Municipios!$C:$C)</f>
        <v>Norte</v>
      </c>
      <c r="C2524" t="str">
        <f>_xlfn.XLOOKUP(A2524,[1]Municipios!$B:$B,[1]Municipios!$D:$D)</f>
        <v>Vale Do Ivaí</v>
      </c>
      <c r="D2524">
        <v>2025</v>
      </c>
      <c r="E2524" t="s">
        <v>233</v>
      </c>
      <c r="F2524">
        <v>0.125</v>
      </c>
      <c r="G2524">
        <v>34.39</v>
      </c>
    </row>
    <row r="2525" spans="1:7" x14ac:dyDescent="0.25">
      <c r="A2525" t="s">
        <v>519</v>
      </c>
      <c r="B2525" t="str">
        <f>_xlfn.XLOOKUP(A2525,[1]Municipios!$B:$B,[1]Municipios!$C:$C)</f>
        <v>Norte</v>
      </c>
      <c r="C2525" t="str">
        <f>_xlfn.XLOOKUP(A2525,[1]Municipios!$B:$B,[1]Municipios!$D:$D)</f>
        <v>Vale Do Ivaí</v>
      </c>
      <c r="D2525">
        <v>2025</v>
      </c>
      <c r="E2525" t="s">
        <v>215</v>
      </c>
      <c r="F2525">
        <v>0.19999999999999998</v>
      </c>
      <c r="G2525">
        <v>34.39</v>
      </c>
    </row>
    <row r="2526" spans="1:7" x14ac:dyDescent="0.25">
      <c r="A2526" t="s">
        <v>519</v>
      </c>
      <c r="B2526" t="str">
        <f>_xlfn.XLOOKUP(A2526,[1]Municipios!$B:$B,[1]Municipios!$C:$C)</f>
        <v>Norte</v>
      </c>
      <c r="C2526" t="str">
        <f>_xlfn.XLOOKUP(A2526,[1]Municipios!$B:$B,[1]Municipios!$D:$D)</f>
        <v>Vale Do Ivaí</v>
      </c>
      <c r="D2526">
        <v>2025</v>
      </c>
      <c r="E2526" t="s">
        <v>234</v>
      </c>
      <c r="F2526">
        <v>0.55559999999999998</v>
      </c>
      <c r="G2526">
        <v>34.39</v>
      </c>
    </row>
    <row r="2527" spans="1:7" x14ac:dyDescent="0.25">
      <c r="A2527" t="s">
        <v>519</v>
      </c>
      <c r="B2527" t="str">
        <f>_xlfn.XLOOKUP(A2527,[1]Municipios!$B:$B,[1]Municipios!$C:$C)</f>
        <v>Norte</v>
      </c>
      <c r="C2527" t="str">
        <f>_xlfn.XLOOKUP(A2527,[1]Municipios!$B:$B,[1]Municipios!$D:$D)</f>
        <v>Vale Do Ivaí</v>
      </c>
      <c r="D2527">
        <v>2025</v>
      </c>
      <c r="E2527" t="s">
        <v>235</v>
      </c>
      <c r="F2527">
        <v>0.42859999999999998</v>
      </c>
      <c r="G2527">
        <v>34.39</v>
      </c>
    </row>
    <row r="2528" spans="1:7" x14ac:dyDescent="0.25">
      <c r="A2528" t="s">
        <v>519</v>
      </c>
      <c r="B2528" t="str">
        <f>_xlfn.XLOOKUP(A2528,[1]Municipios!$B:$B,[1]Municipios!$C:$C)</f>
        <v>Norte</v>
      </c>
      <c r="C2528" t="str">
        <f>_xlfn.XLOOKUP(A2528,[1]Municipios!$B:$B,[1]Municipios!$D:$D)</f>
        <v>Vale Do Ivaí</v>
      </c>
      <c r="D2528">
        <v>2025</v>
      </c>
      <c r="E2528" t="s">
        <v>236</v>
      </c>
      <c r="F2528">
        <v>0.15390000000000001</v>
      </c>
      <c r="G2528">
        <v>34.39</v>
      </c>
    </row>
    <row r="2529" spans="1:7" x14ac:dyDescent="0.25">
      <c r="A2529" t="s">
        <v>519</v>
      </c>
      <c r="B2529" t="str">
        <f>_xlfn.XLOOKUP(A2529,[1]Municipios!$B:$B,[1]Municipios!$C:$C)</f>
        <v>Norte</v>
      </c>
      <c r="C2529" t="str">
        <f>_xlfn.XLOOKUP(A2529,[1]Municipios!$B:$B,[1]Municipios!$D:$D)</f>
        <v>Vale Do Ivaí</v>
      </c>
      <c r="D2529">
        <v>2025</v>
      </c>
      <c r="E2529" t="s">
        <v>237</v>
      </c>
      <c r="F2529">
        <v>0</v>
      </c>
      <c r="G2529">
        <v>34.39</v>
      </c>
    </row>
    <row r="2530" spans="1:7" x14ac:dyDescent="0.25">
      <c r="A2530" t="s">
        <v>609</v>
      </c>
      <c r="B2530" t="str">
        <f>_xlfn.XLOOKUP(A2530,[1]Municipios!$B:$B,[1]Municipios!$C:$C)</f>
        <v>Norte</v>
      </c>
      <c r="C2530" t="str">
        <f>_xlfn.XLOOKUP(A2530,[1]Municipios!$B:$B,[1]Municipios!$D:$D)</f>
        <v>Norte Do Paraná</v>
      </c>
      <c r="D2530">
        <v>2025</v>
      </c>
      <c r="E2530" t="s">
        <v>231</v>
      </c>
      <c r="F2530">
        <v>0</v>
      </c>
      <c r="G2530">
        <v>0</v>
      </c>
    </row>
    <row r="2531" spans="1:7" x14ac:dyDescent="0.25">
      <c r="A2531" t="s">
        <v>609</v>
      </c>
      <c r="B2531" t="str">
        <f>_xlfn.XLOOKUP(A2531,[1]Municipios!$B:$B,[1]Municipios!$C:$C)</f>
        <v>Norte</v>
      </c>
      <c r="C2531" t="str">
        <f>_xlfn.XLOOKUP(A2531,[1]Municipios!$B:$B,[1]Municipios!$D:$D)</f>
        <v>Norte Do Paraná</v>
      </c>
      <c r="D2531">
        <v>2025</v>
      </c>
      <c r="E2531" t="s">
        <v>232</v>
      </c>
      <c r="F2531">
        <v>0.23069999999999999</v>
      </c>
      <c r="G2531">
        <v>0</v>
      </c>
    </row>
    <row r="2532" spans="1:7" x14ac:dyDescent="0.25">
      <c r="A2532" t="s">
        <v>609</v>
      </c>
      <c r="B2532" t="str">
        <f>_xlfn.XLOOKUP(A2532,[1]Municipios!$B:$B,[1]Municipios!$C:$C)</f>
        <v>Norte</v>
      </c>
      <c r="C2532" t="str">
        <f>_xlfn.XLOOKUP(A2532,[1]Municipios!$B:$B,[1]Municipios!$D:$D)</f>
        <v>Norte Do Paraná</v>
      </c>
      <c r="D2532">
        <v>2025</v>
      </c>
      <c r="E2532" t="s">
        <v>233</v>
      </c>
      <c r="F2532">
        <v>0.125</v>
      </c>
      <c r="G2532">
        <v>0</v>
      </c>
    </row>
    <row r="2533" spans="1:7" x14ac:dyDescent="0.25">
      <c r="A2533" t="s">
        <v>609</v>
      </c>
      <c r="B2533" t="str">
        <f>_xlfn.XLOOKUP(A2533,[1]Municipios!$B:$B,[1]Municipios!$C:$C)</f>
        <v>Norte</v>
      </c>
      <c r="C2533" t="str">
        <f>_xlfn.XLOOKUP(A2533,[1]Municipios!$B:$B,[1]Municipios!$D:$D)</f>
        <v>Norte Do Paraná</v>
      </c>
      <c r="D2533">
        <v>2025</v>
      </c>
      <c r="E2533" t="s">
        <v>215</v>
      </c>
      <c r="F2533">
        <v>0</v>
      </c>
      <c r="G2533">
        <v>0</v>
      </c>
    </row>
    <row r="2534" spans="1:7" x14ac:dyDescent="0.25">
      <c r="A2534" t="s">
        <v>609</v>
      </c>
      <c r="B2534" t="str">
        <f>_xlfn.XLOOKUP(A2534,[1]Municipios!$B:$B,[1]Municipios!$C:$C)</f>
        <v>Norte</v>
      </c>
      <c r="C2534" t="str">
        <f>_xlfn.XLOOKUP(A2534,[1]Municipios!$B:$B,[1]Municipios!$D:$D)</f>
        <v>Norte Do Paraná</v>
      </c>
      <c r="D2534">
        <v>2025</v>
      </c>
      <c r="E2534" t="s">
        <v>234</v>
      </c>
      <c r="F2534">
        <v>0</v>
      </c>
      <c r="G2534">
        <v>0</v>
      </c>
    </row>
    <row r="2535" spans="1:7" x14ac:dyDescent="0.25">
      <c r="A2535" t="s">
        <v>609</v>
      </c>
      <c r="B2535" t="str">
        <f>_xlfn.XLOOKUP(A2535,[1]Municipios!$B:$B,[1]Municipios!$C:$C)</f>
        <v>Norte</v>
      </c>
      <c r="C2535" t="str">
        <f>_xlfn.XLOOKUP(A2535,[1]Municipios!$B:$B,[1]Municipios!$D:$D)</f>
        <v>Norte Do Paraná</v>
      </c>
      <c r="D2535">
        <v>2025</v>
      </c>
      <c r="E2535" t="s">
        <v>235</v>
      </c>
      <c r="F2535">
        <v>0</v>
      </c>
      <c r="G2535">
        <v>0</v>
      </c>
    </row>
    <row r="2536" spans="1:7" x14ac:dyDescent="0.25">
      <c r="A2536" t="s">
        <v>609</v>
      </c>
      <c r="B2536" t="str">
        <f>_xlfn.XLOOKUP(A2536,[1]Municipios!$B:$B,[1]Municipios!$C:$C)</f>
        <v>Norte</v>
      </c>
      <c r="C2536" t="str">
        <f>_xlfn.XLOOKUP(A2536,[1]Municipios!$B:$B,[1]Municipios!$D:$D)</f>
        <v>Norte Do Paraná</v>
      </c>
      <c r="D2536">
        <v>2025</v>
      </c>
      <c r="E2536" t="s">
        <v>236</v>
      </c>
      <c r="F2536">
        <v>0</v>
      </c>
      <c r="G2536">
        <v>0</v>
      </c>
    </row>
    <row r="2537" spans="1:7" x14ac:dyDescent="0.25">
      <c r="A2537" t="s">
        <v>609</v>
      </c>
      <c r="B2537" t="str">
        <f>_xlfn.XLOOKUP(A2537,[1]Municipios!$B:$B,[1]Municipios!$C:$C)</f>
        <v>Norte</v>
      </c>
      <c r="C2537" t="str">
        <f>_xlfn.XLOOKUP(A2537,[1]Municipios!$B:$B,[1]Municipios!$D:$D)</f>
        <v>Norte Do Paraná</v>
      </c>
      <c r="D2537">
        <v>2025</v>
      </c>
      <c r="E2537" t="s">
        <v>237</v>
      </c>
      <c r="F2537">
        <v>0</v>
      </c>
      <c r="G2537">
        <v>0</v>
      </c>
    </row>
    <row r="2538" spans="1:7" x14ac:dyDescent="0.25">
      <c r="A2538" t="s">
        <v>393</v>
      </c>
      <c r="B2538" t="str">
        <f>_xlfn.XLOOKUP(A2538,[1]Municipios!$B:$B,[1]Municipios!$C:$C)</f>
        <v>Sul</v>
      </c>
      <c r="C2538" t="str">
        <f>_xlfn.XLOOKUP(A2538,[1]Municipios!$B:$B,[1]Municipios!$D:$D)</f>
        <v>Sudoeste La Frontera</v>
      </c>
      <c r="D2538">
        <v>2025</v>
      </c>
      <c r="E2538" t="s">
        <v>231</v>
      </c>
      <c r="F2538">
        <v>0.55559999999999998</v>
      </c>
      <c r="G2538">
        <v>79.150000000000006</v>
      </c>
    </row>
    <row r="2539" spans="1:7" x14ac:dyDescent="0.25">
      <c r="A2539" t="s">
        <v>393</v>
      </c>
      <c r="B2539" t="str">
        <f>_xlfn.XLOOKUP(A2539,[1]Municipios!$B:$B,[1]Municipios!$C:$C)</f>
        <v>Sul</v>
      </c>
      <c r="C2539" t="str">
        <f>_xlfn.XLOOKUP(A2539,[1]Municipios!$B:$B,[1]Municipios!$D:$D)</f>
        <v>Sudoeste La Frontera</v>
      </c>
      <c r="D2539">
        <v>2025</v>
      </c>
      <c r="E2539" t="s">
        <v>232</v>
      </c>
      <c r="F2539">
        <v>1</v>
      </c>
      <c r="G2539">
        <v>79.150000000000006</v>
      </c>
    </row>
    <row r="2540" spans="1:7" x14ac:dyDescent="0.25">
      <c r="A2540" t="s">
        <v>393</v>
      </c>
      <c r="B2540" t="str">
        <f>_xlfn.XLOOKUP(A2540,[1]Municipios!$B:$B,[1]Municipios!$C:$C)</f>
        <v>Sul</v>
      </c>
      <c r="C2540" t="str">
        <f>_xlfn.XLOOKUP(A2540,[1]Municipios!$B:$B,[1]Municipios!$D:$D)</f>
        <v>Sudoeste La Frontera</v>
      </c>
      <c r="D2540">
        <v>2025</v>
      </c>
      <c r="E2540" t="s">
        <v>233</v>
      </c>
      <c r="F2540">
        <v>0.875</v>
      </c>
      <c r="G2540">
        <v>79.150000000000006</v>
      </c>
    </row>
    <row r="2541" spans="1:7" x14ac:dyDescent="0.25">
      <c r="A2541" t="s">
        <v>393</v>
      </c>
      <c r="B2541" t="str">
        <f>_xlfn.XLOOKUP(A2541,[1]Municipios!$B:$B,[1]Municipios!$C:$C)</f>
        <v>Sul</v>
      </c>
      <c r="C2541" t="str">
        <f>_xlfn.XLOOKUP(A2541,[1]Municipios!$B:$B,[1]Municipios!$D:$D)</f>
        <v>Sudoeste La Frontera</v>
      </c>
      <c r="D2541">
        <v>2025</v>
      </c>
      <c r="E2541" t="s">
        <v>215</v>
      </c>
      <c r="F2541">
        <v>1</v>
      </c>
      <c r="G2541">
        <v>79.150000000000006</v>
      </c>
    </row>
    <row r="2542" spans="1:7" x14ac:dyDescent="0.25">
      <c r="A2542" t="s">
        <v>393</v>
      </c>
      <c r="B2542" t="str">
        <f>_xlfn.XLOOKUP(A2542,[1]Municipios!$B:$B,[1]Municipios!$C:$C)</f>
        <v>Sul</v>
      </c>
      <c r="C2542" t="str">
        <f>_xlfn.XLOOKUP(A2542,[1]Municipios!$B:$B,[1]Municipios!$D:$D)</f>
        <v>Sudoeste La Frontera</v>
      </c>
      <c r="D2542">
        <v>2025</v>
      </c>
      <c r="E2542" t="s">
        <v>234</v>
      </c>
      <c r="F2542">
        <v>0.66669999999999996</v>
      </c>
      <c r="G2542">
        <v>79.150000000000006</v>
      </c>
    </row>
    <row r="2543" spans="1:7" x14ac:dyDescent="0.25">
      <c r="A2543" t="s">
        <v>393</v>
      </c>
      <c r="B2543" t="str">
        <f>_xlfn.XLOOKUP(A2543,[1]Municipios!$B:$B,[1]Municipios!$C:$C)</f>
        <v>Sul</v>
      </c>
      <c r="C2543" t="str">
        <f>_xlfn.XLOOKUP(A2543,[1]Municipios!$B:$B,[1]Municipios!$D:$D)</f>
        <v>Sudoeste La Frontera</v>
      </c>
      <c r="D2543">
        <v>2025</v>
      </c>
      <c r="E2543" t="s">
        <v>235</v>
      </c>
      <c r="F2543">
        <v>1</v>
      </c>
      <c r="G2543">
        <v>79.150000000000006</v>
      </c>
    </row>
    <row r="2544" spans="1:7" x14ac:dyDescent="0.25">
      <c r="A2544" t="s">
        <v>393</v>
      </c>
      <c r="B2544" t="str">
        <f>_xlfn.XLOOKUP(A2544,[1]Municipios!$B:$B,[1]Municipios!$C:$C)</f>
        <v>Sul</v>
      </c>
      <c r="C2544" t="str">
        <f>_xlfn.XLOOKUP(A2544,[1]Municipios!$B:$B,[1]Municipios!$D:$D)</f>
        <v>Sudoeste La Frontera</v>
      </c>
      <c r="D2544">
        <v>2025</v>
      </c>
      <c r="E2544" t="s">
        <v>236</v>
      </c>
      <c r="F2544">
        <v>0.23080000000000001</v>
      </c>
      <c r="G2544">
        <v>79.150000000000006</v>
      </c>
    </row>
    <row r="2545" spans="1:7" x14ac:dyDescent="0.25">
      <c r="A2545" t="s">
        <v>393</v>
      </c>
      <c r="B2545" t="str">
        <f>_xlfn.XLOOKUP(A2545,[1]Municipios!$B:$B,[1]Municipios!$C:$C)</f>
        <v>Sul</v>
      </c>
      <c r="C2545" t="str">
        <f>_xlfn.XLOOKUP(A2545,[1]Municipios!$B:$B,[1]Municipios!$D:$D)</f>
        <v>Sudoeste La Frontera</v>
      </c>
      <c r="D2545">
        <v>2025</v>
      </c>
      <c r="E2545" t="s">
        <v>237</v>
      </c>
      <c r="F2545">
        <v>1</v>
      </c>
      <c r="G2545">
        <v>79.150000000000006</v>
      </c>
    </row>
    <row r="2546" spans="1:7" x14ac:dyDescent="0.25">
      <c r="A2546" t="s">
        <v>355</v>
      </c>
      <c r="B2546" t="str">
        <f>_xlfn.XLOOKUP(A2546,[1]Municipios!$B:$B,[1]Municipios!$C:$C)</f>
        <v>Norte</v>
      </c>
      <c r="C2546" t="str">
        <f>_xlfn.XLOOKUP(A2546,[1]Municipios!$B:$B,[1]Municipios!$D:$D)</f>
        <v>Norte Pioneiro</v>
      </c>
      <c r="D2546">
        <v>2025</v>
      </c>
      <c r="E2546" t="s">
        <v>231</v>
      </c>
      <c r="F2546">
        <v>0.66669999999999996</v>
      </c>
      <c r="G2546">
        <v>78.77</v>
      </c>
    </row>
    <row r="2547" spans="1:7" x14ac:dyDescent="0.25">
      <c r="A2547" t="s">
        <v>355</v>
      </c>
      <c r="B2547" t="str">
        <f>_xlfn.XLOOKUP(A2547,[1]Municipios!$B:$B,[1]Municipios!$C:$C)</f>
        <v>Norte</v>
      </c>
      <c r="C2547" t="str">
        <f>_xlfn.XLOOKUP(A2547,[1]Municipios!$B:$B,[1]Municipios!$D:$D)</f>
        <v>Norte Pioneiro</v>
      </c>
      <c r="D2547">
        <v>2025</v>
      </c>
      <c r="E2547" t="s">
        <v>232</v>
      </c>
      <c r="F2547">
        <v>0.76929999999999998</v>
      </c>
      <c r="G2547">
        <v>78.77</v>
      </c>
    </row>
    <row r="2548" spans="1:7" x14ac:dyDescent="0.25">
      <c r="A2548" t="s">
        <v>355</v>
      </c>
      <c r="B2548" t="str">
        <f>_xlfn.XLOOKUP(A2548,[1]Municipios!$B:$B,[1]Municipios!$C:$C)</f>
        <v>Norte</v>
      </c>
      <c r="C2548" t="str">
        <f>_xlfn.XLOOKUP(A2548,[1]Municipios!$B:$B,[1]Municipios!$D:$D)</f>
        <v>Norte Pioneiro</v>
      </c>
      <c r="D2548">
        <v>2025</v>
      </c>
      <c r="E2548" t="s">
        <v>233</v>
      </c>
      <c r="F2548">
        <v>0.875</v>
      </c>
      <c r="G2548">
        <v>78.77</v>
      </c>
    </row>
    <row r="2549" spans="1:7" x14ac:dyDescent="0.25">
      <c r="A2549" t="s">
        <v>355</v>
      </c>
      <c r="B2549" t="str">
        <f>_xlfn.XLOOKUP(A2549,[1]Municipios!$B:$B,[1]Municipios!$C:$C)</f>
        <v>Norte</v>
      </c>
      <c r="C2549" t="str">
        <f>_xlfn.XLOOKUP(A2549,[1]Municipios!$B:$B,[1]Municipios!$D:$D)</f>
        <v>Norte Pioneiro</v>
      </c>
      <c r="D2549">
        <v>2025</v>
      </c>
      <c r="E2549" t="s">
        <v>215</v>
      </c>
      <c r="F2549">
        <v>0.70000000000000007</v>
      </c>
      <c r="G2549">
        <v>78.77</v>
      </c>
    </row>
    <row r="2550" spans="1:7" x14ac:dyDescent="0.25">
      <c r="A2550" t="s">
        <v>355</v>
      </c>
      <c r="B2550" t="str">
        <f>_xlfn.XLOOKUP(A2550,[1]Municipios!$B:$B,[1]Municipios!$C:$C)</f>
        <v>Norte</v>
      </c>
      <c r="C2550" t="str">
        <f>_xlfn.XLOOKUP(A2550,[1]Municipios!$B:$B,[1]Municipios!$D:$D)</f>
        <v>Norte Pioneiro</v>
      </c>
      <c r="D2550">
        <v>2025</v>
      </c>
      <c r="E2550" t="s">
        <v>234</v>
      </c>
      <c r="F2550">
        <v>0.77780000000000005</v>
      </c>
      <c r="G2550">
        <v>78.77</v>
      </c>
    </row>
    <row r="2551" spans="1:7" x14ac:dyDescent="0.25">
      <c r="A2551" t="s">
        <v>355</v>
      </c>
      <c r="B2551" t="str">
        <f>_xlfn.XLOOKUP(A2551,[1]Municipios!$B:$B,[1]Municipios!$C:$C)</f>
        <v>Norte</v>
      </c>
      <c r="C2551" t="str">
        <f>_xlfn.XLOOKUP(A2551,[1]Municipios!$B:$B,[1]Municipios!$D:$D)</f>
        <v>Norte Pioneiro</v>
      </c>
      <c r="D2551">
        <v>2025</v>
      </c>
      <c r="E2551" t="s">
        <v>235</v>
      </c>
      <c r="F2551">
        <v>1</v>
      </c>
      <c r="G2551">
        <v>78.77</v>
      </c>
    </row>
    <row r="2552" spans="1:7" x14ac:dyDescent="0.25">
      <c r="A2552" t="s">
        <v>355</v>
      </c>
      <c r="B2552" t="str">
        <f>_xlfn.XLOOKUP(A2552,[1]Municipios!$B:$B,[1]Municipios!$C:$C)</f>
        <v>Norte</v>
      </c>
      <c r="C2552" t="str">
        <f>_xlfn.XLOOKUP(A2552,[1]Municipios!$B:$B,[1]Municipios!$D:$D)</f>
        <v>Norte Pioneiro</v>
      </c>
      <c r="D2552">
        <v>2025</v>
      </c>
      <c r="E2552" t="s">
        <v>236</v>
      </c>
      <c r="F2552">
        <v>0.53859999999999997</v>
      </c>
      <c r="G2552">
        <v>78.77</v>
      </c>
    </row>
    <row r="2553" spans="1:7" x14ac:dyDescent="0.25">
      <c r="A2553" t="s">
        <v>355</v>
      </c>
      <c r="B2553" t="str">
        <f>_xlfn.XLOOKUP(A2553,[1]Municipios!$B:$B,[1]Municipios!$C:$C)</f>
        <v>Norte</v>
      </c>
      <c r="C2553" t="str">
        <f>_xlfn.XLOOKUP(A2553,[1]Municipios!$B:$B,[1]Municipios!$D:$D)</f>
        <v>Norte Pioneiro</v>
      </c>
      <c r="D2553">
        <v>2025</v>
      </c>
      <c r="E2553" t="s">
        <v>237</v>
      </c>
      <c r="F2553">
        <v>1</v>
      </c>
      <c r="G2553">
        <v>78.77</v>
      </c>
    </row>
    <row r="2554" spans="1:7" x14ac:dyDescent="0.25">
      <c r="A2554" t="s">
        <v>263</v>
      </c>
      <c r="B2554" t="str">
        <f>_xlfn.XLOOKUP(A2554,[1]Municipios!$B:$B,[1]Municipios!$C:$C)</f>
        <v>Sul</v>
      </c>
      <c r="C2554" t="str">
        <f>_xlfn.XLOOKUP(A2554,[1]Municipios!$B:$B,[1]Municipios!$D:$D)</f>
        <v>Sudoeste Pioneiro</v>
      </c>
      <c r="D2554">
        <v>2025</v>
      </c>
      <c r="E2554" t="s">
        <v>231</v>
      </c>
      <c r="F2554">
        <v>0.44449999999999995</v>
      </c>
      <c r="G2554">
        <v>41.54</v>
      </c>
    </row>
    <row r="2555" spans="1:7" x14ac:dyDescent="0.25">
      <c r="A2555" t="s">
        <v>263</v>
      </c>
      <c r="B2555" t="str">
        <f>_xlfn.XLOOKUP(A2555,[1]Municipios!$B:$B,[1]Municipios!$C:$C)</f>
        <v>Sul</v>
      </c>
      <c r="C2555" t="str">
        <f>_xlfn.XLOOKUP(A2555,[1]Municipios!$B:$B,[1]Municipios!$D:$D)</f>
        <v>Sudoeste Pioneiro</v>
      </c>
      <c r="D2555">
        <v>2025</v>
      </c>
      <c r="E2555" t="s">
        <v>232</v>
      </c>
      <c r="F2555">
        <v>0.76929999999999998</v>
      </c>
      <c r="G2555">
        <v>41.54</v>
      </c>
    </row>
    <row r="2556" spans="1:7" x14ac:dyDescent="0.25">
      <c r="A2556" t="s">
        <v>263</v>
      </c>
      <c r="B2556" t="str">
        <f>_xlfn.XLOOKUP(A2556,[1]Municipios!$B:$B,[1]Municipios!$C:$C)</f>
        <v>Sul</v>
      </c>
      <c r="C2556" t="str">
        <f>_xlfn.XLOOKUP(A2556,[1]Municipios!$B:$B,[1]Municipios!$D:$D)</f>
        <v>Sudoeste Pioneiro</v>
      </c>
      <c r="D2556">
        <v>2025</v>
      </c>
      <c r="E2556" t="s">
        <v>233</v>
      </c>
      <c r="F2556">
        <v>0.375</v>
      </c>
      <c r="G2556">
        <v>41.54</v>
      </c>
    </row>
    <row r="2557" spans="1:7" x14ac:dyDescent="0.25">
      <c r="A2557" t="s">
        <v>263</v>
      </c>
      <c r="B2557" t="str">
        <f>_xlfn.XLOOKUP(A2557,[1]Municipios!$B:$B,[1]Municipios!$C:$C)</f>
        <v>Sul</v>
      </c>
      <c r="C2557" t="str">
        <f>_xlfn.XLOOKUP(A2557,[1]Municipios!$B:$B,[1]Municipios!$D:$D)</f>
        <v>Sudoeste Pioneiro</v>
      </c>
      <c r="D2557">
        <v>2025</v>
      </c>
      <c r="E2557" t="s">
        <v>215</v>
      </c>
      <c r="F2557">
        <v>0.75</v>
      </c>
      <c r="G2557">
        <v>41.54</v>
      </c>
    </row>
    <row r="2558" spans="1:7" x14ac:dyDescent="0.25">
      <c r="A2558" t="s">
        <v>263</v>
      </c>
      <c r="B2558" t="str">
        <f>_xlfn.XLOOKUP(A2558,[1]Municipios!$B:$B,[1]Municipios!$C:$C)</f>
        <v>Sul</v>
      </c>
      <c r="C2558" t="str">
        <f>_xlfn.XLOOKUP(A2558,[1]Municipios!$B:$B,[1]Municipios!$D:$D)</f>
        <v>Sudoeste Pioneiro</v>
      </c>
      <c r="D2558">
        <v>2025</v>
      </c>
      <c r="E2558" t="s">
        <v>234</v>
      </c>
      <c r="F2558">
        <v>0.33329999999999999</v>
      </c>
      <c r="G2558">
        <v>41.54</v>
      </c>
    </row>
    <row r="2559" spans="1:7" x14ac:dyDescent="0.25">
      <c r="A2559" t="s">
        <v>263</v>
      </c>
      <c r="B2559" t="str">
        <f>_xlfn.XLOOKUP(A2559,[1]Municipios!$B:$B,[1]Municipios!$C:$C)</f>
        <v>Sul</v>
      </c>
      <c r="C2559" t="str">
        <f>_xlfn.XLOOKUP(A2559,[1]Municipios!$B:$B,[1]Municipios!$D:$D)</f>
        <v>Sudoeste Pioneiro</v>
      </c>
      <c r="D2559">
        <v>2025</v>
      </c>
      <c r="E2559" t="s">
        <v>235</v>
      </c>
      <c r="F2559">
        <v>0.42859999999999998</v>
      </c>
      <c r="G2559">
        <v>41.54</v>
      </c>
    </row>
    <row r="2560" spans="1:7" x14ac:dyDescent="0.25">
      <c r="A2560" t="s">
        <v>263</v>
      </c>
      <c r="B2560" t="str">
        <f>_xlfn.XLOOKUP(A2560,[1]Municipios!$B:$B,[1]Municipios!$C:$C)</f>
        <v>Sul</v>
      </c>
      <c r="C2560" t="str">
        <f>_xlfn.XLOOKUP(A2560,[1]Municipios!$B:$B,[1]Municipios!$D:$D)</f>
        <v>Sudoeste Pioneiro</v>
      </c>
      <c r="D2560">
        <v>2025</v>
      </c>
      <c r="E2560" t="s">
        <v>236</v>
      </c>
      <c r="F2560">
        <v>7.6999999999999999E-2</v>
      </c>
      <c r="G2560">
        <v>41.54</v>
      </c>
    </row>
    <row r="2561" spans="1:7" x14ac:dyDescent="0.25">
      <c r="A2561" t="s">
        <v>263</v>
      </c>
      <c r="B2561" t="str">
        <f>_xlfn.XLOOKUP(A2561,[1]Municipios!$B:$B,[1]Municipios!$C:$C)</f>
        <v>Sul</v>
      </c>
      <c r="C2561" t="str">
        <f>_xlfn.XLOOKUP(A2561,[1]Municipios!$B:$B,[1]Municipios!$D:$D)</f>
        <v>Sudoeste Pioneiro</v>
      </c>
      <c r="D2561">
        <v>2025</v>
      </c>
      <c r="E2561" t="s">
        <v>237</v>
      </c>
      <c r="F2561">
        <v>0</v>
      </c>
      <c r="G2561">
        <v>41.54</v>
      </c>
    </row>
    <row r="2562" spans="1:7" x14ac:dyDescent="0.25">
      <c r="A2562" t="s">
        <v>356</v>
      </c>
      <c r="B2562" t="str">
        <f>_xlfn.XLOOKUP(A2562,[1]Municipios!$B:$B,[1]Municipios!$C:$C)</f>
        <v>Norte</v>
      </c>
      <c r="C2562" t="str">
        <f>_xlfn.XLOOKUP(A2562,[1]Municipios!$B:$B,[1]Municipios!$D:$D)</f>
        <v>Norte Pioneiro</v>
      </c>
      <c r="D2562">
        <v>2025</v>
      </c>
      <c r="E2562" t="s">
        <v>231</v>
      </c>
      <c r="F2562">
        <v>0.66669999999999996</v>
      </c>
      <c r="G2562">
        <v>81.150000000000006</v>
      </c>
    </row>
    <row r="2563" spans="1:7" x14ac:dyDescent="0.25">
      <c r="A2563" t="s">
        <v>356</v>
      </c>
      <c r="B2563" t="str">
        <f>_xlfn.XLOOKUP(A2563,[1]Municipios!$B:$B,[1]Municipios!$C:$C)</f>
        <v>Norte</v>
      </c>
      <c r="C2563" t="str">
        <f>_xlfn.XLOOKUP(A2563,[1]Municipios!$B:$B,[1]Municipios!$D:$D)</f>
        <v>Norte Pioneiro</v>
      </c>
      <c r="D2563">
        <v>2025</v>
      </c>
      <c r="E2563" t="s">
        <v>232</v>
      </c>
      <c r="F2563">
        <v>0.84619999999999995</v>
      </c>
      <c r="G2563">
        <v>81.150000000000006</v>
      </c>
    </row>
    <row r="2564" spans="1:7" x14ac:dyDescent="0.25">
      <c r="A2564" t="s">
        <v>356</v>
      </c>
      <c r="B2564" t="str">
        <f>_xlfn.XLOOKUP(A2564,[1]Municipios!$B:$B,[1]Municipios!$C:$C)</f>
        <v>Norte</v>
      </c>
      <c r="C2564" t="str">
        <f>_xlfn.XLOOKUP(A2564,[1]Municipios!$B:$B,[1]Municipios!$D:$D)</f>
        <v>Norte Pioneiro</v>
      </c>
      <c r="D2564">
        <v>2025</v>
      </c>
      <c r="E2564" t="s">
        <v>233</v>
      </c>
      <c r="F2564">
        <v>0.625</v>
      </c>
      <c r="G2564">
        <v>81.150000000000006</v>
      </c>
    </row>
    <row r="2565" spans="1:7" x14ac:dyDescent="0.25">
      <c r="A2565" t="s">
        <v>356</v>
      </c>
      <c r="B2565" t="str">
        <f>_xlfn.XLOOKUP(A2565,[1]Municipios!$B:$B,[1]Municipios!$C:$C)</f>
        <v>Norte</v>
      </c>
      <c r="C2565" t="str">
        <f>_xlfn.XLOOKUP(A2565,[1]Municipios!$B:$B,[1]Municipios!$D:$D)</f>
        <v>Norte Pioneiro</v>
      </c>
      <c r="D2565">
        <v>2025</v>
      </c>
      <c r="E2565" t="s">
        <v>215</v>
      </c>
      <c r="F2565">
        <v>0.9</v>
      </c>
      <c r="G2565">
        <v>81.150000000000006</v>
      </c>
    </row>
    <row r="2566" spans="1:7" x14ac:dyDescent="0.25">
      <c r="A2566" t="s">
        <v>356</v>
      </c>
      <c r="B2566" t="str">
        <f>_xlfn.XLOOKUP(A2566,[1]Municipios!$B:$B,[1]Municipios!$C:$C)</f>
        <v>Norte</v>
      </c>
      <c r="C2566" t="str">
        <f>_xlfn.XLOOKUP(A2566,[1]Municipios!$B:$B,[1]Municipios!$D:$D)</f>
        <v>Norte Pioneiro</v>
      </c>
      <c r="D2566">
        <v>2025</v>
      </c>
      <c r="E2566" t="s">
        <v>234</v>
      </c>
      <c r="F2566">
        <v>0.77780000000000005</v>
      </c>
      <c r="G2566">
        <v>81.150000000000006</v>
      </c>
    </row>
    <row r="2567" spans="1:7" x14ac:dyDescent="0.25">
      <c r="A2567" t="s">
        <v>356</v>
      </c>
      <c r="B2567" t="str">
        <f>_xlfn.XLOOKUP(A2567,[1]Municipios!$B:$B,[1]Municipios!$C:$C)</f>
        <v>Norte</v>
      </c>
      <c r="C2567" t="str">
        <f>_xlfn.XLOOKUP(A2567,[1]Municipios!$B:$B,[1]Municipios!$D:$D)</f>
        <v>Norte Pioneiro</v>
      </c>
      <c r="D2567">
        <v>2025</v>
      </c>
      <c r="E2567" t="s">
        <v>235</v>
      </c>
      <c r="F2567">
        <v>1</v>
      </c>
      <c r="G2567">
        <v>81.150000000000006</v>
      </c>
    </row>
    <row r="2568" spans="1:7" x14ac:dyDescent="0.25">
      <c r="A2568" t="s">
        <v>356</v>
      </c>
      <c r="B2568" t="str">
        <f>_xlfn.XLOOKUP(A2568,[1]Municipios!$B:$B,[1]Municipios!$C:$C)</f>
        <v>Norte</v>
      </c>
      <c r="C2568" t="str">
        <f>_xlfn.XLOOKUP(A2568,[1]Municipios!$B:$B,[1]Municipios!$D:$D)</f>
        <v>Norte Pioneiro</v>
      </c>
      <c r="D2568">
        <v>2025</v>
      </c>
      <c r="E2568" t="s">
        <v>236</v>
      </c>
      <c r="F2568">
        <v>0.53859999999999997</v>
      </c>
      <c r="G2568">
        <v>81.150000000000006</v>
      </c>
    </row>
    <row r="2569" spans="1:7" x14ac:dyDescent="0.25">
      <c r="A2569" t="s">
        <v>356</v>
      </c>
      <c r="B2569" t="str">
        <f>_xlfn.XLOOKUP(A2569,[1]Municipios!$B:$B,[1]Municipios!$C:$C)</f>
        <v>Norte</v>
      </c>
      <c r="C2569" t="str">
        <f>_xlfn.XLOOKUP(A2569,[1]Municipios!$B:$B,[1]Municipios!$D:$D)</f>
        <v>Norte Pioneiro</v>
      </c>
      <c r="D2569">
        <v>2025</v>
      </c>
      <c r="E2569" t="s">
        <v>237</v>
      </c>
      <c r="F2569">
        <v>1</v>
      </c>
      <c r="G2569">
        <v>81.150000000000006</v>
      </c>
    </row>
    <row r="2570" spans="1:7" x14ac:dyDescent="0.25">
      <c r="A2570" t="s">
        <v>610</v>
      </c>
      <c r="B2570" t="str">
        <f>_xlfn.XLOOKUP(A2570,[1]Municipios!$B:$B,[1]Municipios!$C:$C)</f>
        <v>Norte</v>
      </c>
      <c r="C2570" t="str">
        <f>_xlfn.XLOOKUP(A2570,[1]Municipios!$B:$B,[1]Municipios!$D:$D)</f>
        <v>Norte Central</v>
      </c>
      <c r="D2570">
        <v>2025</v>
      </c>
      <c r="E2570" t="s">
        <v>231</v>
      </c>
      <c r="F2570">
        <v>0</v>
      </c>
      <c r="G2570">
        <v>30.42</v>
      </c>
    </row>
    <row r="2571" spans="1:7" x14ac:dyDescent="0.25">
      <c r="A2571" t="s">
        <v>610</v>
      </c>
      <c r="B2571" t="str">
        <f>_xlfn.XLOOKUP(A2571,[1]Municipios!$B:$B,[1]Municipios!$C:$C)</f>
        <v>Norte</v>
      </c>
      <c r="C2571" t="str">
        <f>_xlfn.XLOOKUP(A2571,[1]Municipios!$B:$B,[1]Municipios!$D:$D)</f>
        <v>Norte Central</v>
      </c>
      <c r="D2571">
        <v>2025</v>
      </c>
      <c r="E2571" t="s">
        <v>232</v>
      </c>
      <c r="F2571">
        <v>0.69230000000000003</v>
      </c>
      <c r="G2571">
        <v>30.42</v>
      </c>
    </row>
    <row r="2572" spans="1:7" x14ac:dyDescent="0.25">
      <c r="A2572" t="s">
        <v>610</v>
      </c>
      <c r="B2572" t="str">
        <f>_xlfn.XLOOKUP(A2572,[1]Municipios!$B:$B,[1]Municipios!$C:$C)</f>
        <v>Norte</v>
      </c>
      <c r="C2572" t="str">
        <f>_xlfn.XLOOKUP(A2572,[1]Municipios!$B:$B,[1]Municipios!$D:$D)</f>
        <v>Norte Central</v>
      </c>
      <c r="D2572">
        <v>2025</v>
      </c>
      <c r="E2572" t="s">
        <v>233</v>
      </c>
      <c r="F2572">
        <v>0.625</v>
      </c>
      <c r="G2572">
        <v>30.42</v>
      </c>
    </row>
    <row r="2573" spans="1:7" x14ac:dyDescent="0.25">
      <c r="A2573" t="s">
        <v>610</v>
      </c>
      <c r="B2573" t="str">
        <f>_xlfn.XLOOKUP(A2573,[1]Municipios!$B:$B,[1]Municipios!$C:$C)</f>
        <v>Norte</v>
      </c>
      <c r="C2573" t="str">
        <f>_xlfn.XLOOKUP(A2573,[1]Municipios!$B:$B,[1]Municipios!$D:$D)</f>
        <v>Norte Central</v>
      </c>
      <c r="D2573">
        <v>2025</v>
      </c>
      <c r="E2573" t="s">
        <v>215</v>
      </c>
      <c r="F2573">
        <v>4.9999999999999996E-2</v>
      </c>
      <c r="G2573">
        <v>30.42</v>
      </c>
    </row>
    <row r="2574" spans="1:7" x14ac:dyDescent="0.25">
      <c r="A2574" t="s">
        <v>610</v>
      </c>
      <c r="B2574" t="str">
        <f>_xlfn.XLOOKUP(A2574,[1]Municipios!$B:$B,[1]Municipios!$C:$C)</f>
        <v>Norte</v>
      </c>
      <c r="C2574" t="str">
        <f>_xlfn.XLOOKUP(A2574,[1]Municipios!$B:$B,[1]Municipios!$D:$D)</f>
        <v>Norte Central</v>
      </c>
      <c r="D2574">
        <v>2025</v>
      </c>
      <c r="E2574" t="s">
        <v>234</v>
      </c>
      <c r="F2574">
        <v>0.66659999999999997</v>
      </c>
      <c r="G2574">
        <v>30.42</v>
      </c>
    </row>
    <row r="2575" spans="1:7" x14ac:dyDescent="0.25">
      <c r="A2575" t="s">
        <v>610</v>
      </c>
      <c r="B2575" t="str">
        <f>_xlfn.XLOOKUP(A2575,[1]Municipios!$B:$B,[1]Municipios!$C:$C)</f>
        <v>Norte</v>
      </c>
      <c r="C2575" t="str">
        <f>_xlfn.XLOOKUP(A2575,[1]Municipios!$B:$B,[1]Municipios!$D:$D)</f>
        <v>Norte Central</v>
      </c>
      <c r="D2575">
        <v>2025</v>
      </c>
      <c r="E2575" t="s">
        <v>235</v>
      </c>
      <c r="F2575">
        <v>0.28570000000000001</v>
      </c>
      <c r="G2575">
        <v>30.42</v>
      </c>
    </row>
    <row r="2576" spans="1:7" x14ac:dyDescent="0.25">
      <c r="A2576" t="s">
        <v>610</v>
      </c>
      <c r="B2576" t="str">
        <f>_xlfn.XLOOKUP(A2576,[1]Municipios!$B:$B,[1]Municipios!$C:$C)</f>
        <v>Norte</v>
      </c>
      <c r="C2576" t="str">
        <f>_xlfn.XLOOKUP(A2576,[1]Municipios!$B:$B,[1]Municipios!$D:$D)</f>
        <v>Norte Central</v>
      </c>
      <c r="D2576">
        <v>2025</v>
      </c>
      <c r="E2576" t="s">
        <v>236</v>
      </c>
      <c r="F2576">
        <v>0</v>
      </c>
      <c r="G2576">
        <v>30.42</v>
      </c>
    </row>
    <row r="2577" spans="1:7" x14ac:dyDescent="0.25">
      <c r="A2577" t="s">
        <v>610</v>
      </c>
      <c r="B2577" t="str">
        <f>_xlfn.XLOOKUP(A2577,[1]Municipios!$B:$B,[1]Municipios!$C:$C)</f>
        <v>Norte</v>
      </c>
      <c r="C2577" t="str">
        <f>_xlfn.XLOOKUP(A2577,[1]Municipios!$B:$B,[1]Municipios!$D:$D)</f>
        <v>Norte Central</v>
      </c>
      <c r="D2577">
        <v>2025</v>
      </c>
      <c r="E2577" t="s">
        <v>237</v>
      </c>
      <c r="F2577">
        <v>0</v>
      </c>
      <c r="G2577">
        <v>30.42</v>
      </c>
    </row>
    <row r="2578" spans="1:7" x14ac:dyDescent="0.25">
      <c r="A2578" t="s">
        <v>611</v>
      </c>
      <c r="B2578" t="str">
        <f>_xlfn.XLOOKUP(A2578,[1]Municipios!$B:$B,[1]Municipios!$C:$C)</f>
        <v>Noroeste</v>
      </c>
      <c r="C2578" t="str">
        <f>_xlfn.XLOOKUP(A2578,[1]Municipios!$B:$B,[1]Municipios!$D:$D)</f>
        <v>Costa Noroeste</v>
      </c>
      <c r="D2578">
        <v>2025</v>
      </c>
      <c r="E2578" t="s">
        <v>231</v>
      </c>
      <c r="F2578">
        <v>0.44439999999999996</v>
      </c>
      <c r="G2578">
        <v>36.520000000000003</v>
      </c>
    </row>
    <row r="2579" spans="1:7" x14ac:dyDescent="0.25">
      <c r="A2579" t="s">
        <v>611</v>
      </c>
      <c r="B2579" t="str">
        <f>_xlfn.XLOOKUP(A2579,[1]Municipios!$B:$B,[1]Municipios!$C:$C)</f>
        <v>Noroeste</v>
      </c>
      <c r="C2579" t="str">
        <f>_xlfn.XLOOKUP(A2579,[1]Municipios!$B:$B,[1]Municipios!$D:$D)</f>
        <v>Costa Noroeste</v>
      </c>
      <c r="D2579">
        <v>2025</v>
      </c>
      <c r="E2579" t="s">
        <v>232</v>
      </c>
      <c r="F2579">
        <v>0.61539999999999995</v>
      </c>
      <c r="G2579">
        <v>36.520000000000003</v>
      </c>
    </row>
    <row r="2580" spans="1:7" x14ac:dyDescent="0.25">
      <c r="A2580" t="s">
        <v>611</v>
      </c>
      <c r="B2580" t="str">
        <f>_xlfn.XLOOKUP(A2580,[1]Municipios!$B:$B,[1]Municipios!$C:$C)</f>
        <v>Noroeste</v>
      </c>
      <c r="C2580" t="str">
        <f>_xlfn.XLOOKUP(A2580,[1]Municipios!$B:$B,[1]Municipios!$D:$D)</f>
        <v>Costa Noroeste</v>
      </c>
      <c r="D2580">
        <v>2025</v>
      </c>
      <c r="E2580" t="s">
        <v>233</v>
      </c>
      <c r="F2580">
        <v>0.75</v>
      </c>
      <c r="G2580">
        <v>36.520000000000003</v>
      </c>
    </row>
    <row r="2581" spans="1:7" x14ac:dyDescent="0.25">
      <c r="A2581" t="s">
        <v>611</v>
      </c>
      <c r="B2581" t="str">
        <f>_xlfn.XLOOKUP(A2581,[1]Municipios!$B:$B,[1]Municipios!$C:$C)</f>
        <v>Noroeste</v>
      </c>
      <c r="C2581" t="str">
        <f>_xlfn.XLOOKUP(A2581,[1]Municipios!$B:$B,[1]Municipios!$D:$D)</f>
        <v>Costa Noroeste</v>
      </c>
      <c r="D2581">
        <v>2025</v>
      </c>
      <c r="E2581" t="s">
        <v>215</v>
      </c>
      <c r="F2581">
        <v>0</v>
      </c>
      <c r="G2581">
        <v>36.520000000000003</v>
      </c>
    </row>
    <row r="2582" spans="1:7" x14ac:dyDescent="0.25">
      <c r="A2582" t="s">
        <v>611</v>
      </c>
      <c r="B2582" t="str">
        <f>_xlfn.XLOOKUP(A2582,[1]Municipios!$B:$B,[1]Municipios!$C:$C)</f>
        <v>Noroeste</v>
      </c>
      <c r="C2582" t="str">
        <f>_xlfn.XLOOKUP(A2582,[1]Municipios!$B:$B,[1]Municipios!$D:$D)</f>
        <v>Costa Noroeste</v>
      </c>
      <c r="D2582">
        <v>2025</v>
      </c>
      <c r="E2582" t="s">
        <v>234</v>
      </c>
      <c r="F2582">
        <v>0.33329999999999999</v>
      </c>
      <c r="G2582">
        <v>36.520000000000003</v>
      </c>
    </row>
    <row r="2583" spans="1:7" x14ac:dyDescent="0.25">
      <c r="A2583" t="s">
        <v>611</v>
      </c>
      <c r="B2583" t="str">
        <f>_xlfn.XLOOKUP(A2583,[1]Municipios!$B:$B,[1]Municipios!$C:$C)</f>
        <v>Noroeste</v>
      </c>
      <c r="C2583" t="str">
        <f>_xlfn.XLOOKUP(A2583,[1]Municipios!$B:$B,[1]Municipios!$D:$D)</f>
        <v>Costa Noroeste</v>
      </c>
      <c r="D2583">
        <v>2025</v>
      </c>
      <c r="E2583" t="s">
        <v>235</v>
      </c>
      <c r="F2583">
        <v>0.42849999999999999</v>
      </c>
      <c r="G2583">
        <v>36.520000000000003</v>
      </c>
    </row>
    <row r="2584" spans="1:7" x14ac:dyDescent="0.25">
      <c r="A2584" t="s">
        <v>611</v>
      </c>
      <c r="B2584" t="str">
        <f>_xlfn.XLOOKUP(A2584,[1]Municipios!$B:$B,[1]Municipios!$C:$C)</f>
        <v>Noroeste</v>
      </c>
      <c r="C2584" t="str">
        <f>_xlfn.XLOOKUP(A2584,[1]Municipios!$B:$B,[1]Municipios!$D:$D)</f>
        <v>Costa Noroeste</v>
      </c>
      <c r="D2584">
        <v>2025</v>
      </c>
      <c r="E2584" t="s">
        <v>236</v>
      </c>
      <c r="F2584">
        <v>0</v>
      </c>
      <c r="G2584">
        <v>36.520000000000003</v>
      </c>
    </row>
    <row r="2585" spans="1:7" x14ac:dyDescent="0.25">
      <c r="A2585" t="s">
        <v>611</v>
      </c>
      <c r="B2585" t="str">
        <f>_xlfn.XLOOKUP(A2585,[1]Municipios!$B:$B,[1]Municipios!$C:$C)</f>
        <v>Noroeste</v>
      </c>
      <c r="C2585" t="str">
        <f>_xlfn.XLOOKUP(A2585,[1]Municipios!$B:$B,[1]Municipios!$D:$D)</f>
        <v>Costa Noroeste</v>
      </c>
      <c r="D2585">
        <v>2025</v>
      </c>
      <c r="E2585" t="s">
        <v>237</v>
      </c>
      <c r="F2585">
        <v>0.5</v>
      </c>
      <c r="G2585">
        <v>36.520000000000003</v>
      </c>
    </row>
    <row r="2586" spans="1:7" x14ac:dyDescent="0.25">
      <c r="A2586" t="s">
        <v>612</v>
      </c>
      <c r="B2586" t="str">
        <f>_xlfn.XLOOKUP(A2586,[1]Municipios!$B:$B,[1]Municipios!$C:$C)</f>
        <v>Noroeste</v>
      </c>
      <c r="C2586" t="str">
        <f>_xlfn.XLOOKUP(A2586,[1]Municipios!$B:$B,[1]Municipios!$D:$D)</f>
        <v>Terra Roxa</v>
      </c>
      <c r="D2586">
        <v>2025</v>
      </c>
      <c r="E2586" t="s">
        <v>231</v>
      </c>
      <c r="F2586">
        <v>0.88890000000000002</v>
      </c>
      <c r="G2586">
        <v>83.56</v>
      </c>
    </row>
    <row r="2587" spans="1:7" x14ac:dyDescent="0.25">
      <c r="A2587" t="s">
        <v>612</v>
      </c>
      <c r="B2587" t="str">
        <f>_xlfn.XLOOKUP(A2587,[1]Municipios!$B:$B,[1]Municipios!$C:$C)</f>
        <v>Noroeste</v>
      </c>
      <c r="C2587" t="str">
        <f>_xlfn.XLOOKUP(A2587,[1]Municipios!$B:$B,[1]Municipios!$D:$D)</f>
        <v>Terra Roxa</v>
      </c>
      <c r="D2587">
        <v>2025</v>
      </c>
      <c r="E2587" t="s">
        <v>232</v>
      </c>
      <c r="F2587">
        <v>1</v>
      </c>
      <c r="G2587">
        <v>83.56</v>
      </c>
    </row>
    <row r="2588" spans="1:7" x14ac:dyDescent="0.25">
      <c r="A2588" t="s">
        <v>612</v>
      </c>
      <c r="B2588" t="str">
        <f>_xlfn.XLOOKUP(A2588,[1]Municipios!$B:$B,[1]Municipios!$C:$C)</f>
        <v>Noroeste</v>
      </c>
      <c r="C2588" t="str">
        <f>_xlfn.XLOOKUP(A2588,[1]Municipios!$B:$B,[1]Municipios!$D:$D)</f>
        <v>Terra Roxa</v>
      </c>
      <c r="D2588">
        <v>2025</v>
      </c>
      <c r="E2588" t="s">
        <v>233</v>
      </c>
      <c r="F2588">
        <v>0.875</v>
      </c>
      <c r="G2588">
        <v>83.56</v>
      </c>
    </row>
    <row r="2589" spans="1:7" x14ac:dyDescent="0.25">
      <c r="A2589" t="s">
        <v>612</v>
      </c>
      <c r="B2589" t="str">
        <f>_xlfn.XLOOKUP(A2589,[1]Municipios!$B:$B,[1]Municipios!$C:$C)</f>
        <v>Noroeste</v>
      </c>
      <c r="C2589" t="str">
        <f>_xlfn.XLOOKUP(A2589,[1]Municipios!$B:$B,[1]Municipios!$D:$D)</f>
        <v>Terra Roxa</v>
      </c>
      <c r="D2589">
        <v>2025</v>
      </c>
      <c r="E2589" t="s">
        <v>215</v>
      </c>
      <c r="F2589">
        <v>0.79999999999999993</v>
      </c>
      <c r="G2589">
        <v>83.56</v>
      </c>
    </row>
    <row r="2590" spans="1:7" x14ac:dyDescent="0.25">
      <c r="A2590" t="s">
        <v>612</v>
      </c>
      <c r="B2590" t="str">
        <f>_xlfn.XLOOKUP(A2590,[1]Municipios!$B:$B,[1]Municipios!$C:$C)</f>
        <v>Noroeste</v>
      </c>
      <c r="C2590" t="str">
        <f>_xlfn.XLOOKUP(A2590,[1]Municipios!$B:$B,[1]Municipios!$D:$D)</f>
        <v>Terra Roxa</v>
      </c>
      <c r="D2590">
        <v>2025</v>
      </c>
      <c r="E2590" t="s">
        <v>234</v>
      </c>
      <c r="F2590">
        <v>0.77780000000000005</v>
      </c>
      <c r="G2590">
        <v>83.56</v>
      </c>
    </row>
    <row r="2591" spans="1:7" x14ac:dyDescent="0.25">
      <c r="A2591" t="s">
        <v>612</v>
      </c>
      <c r="B2591" t="str">
        <f>_xlfn.XLOOKUP(A2591,[1]Municipios!$B:$B,[1]Municipios!$C:$C)</f>
        <v>Noroeste</v>
      </c>
      <c r="C2591" t="str">
        <f>_xlfn.XLOOKUP(A2591,[1]Municipios!$B:$B,[1]Municipios!$D:$D)</f>
        <v>Terra Roxa</v>
      </c>
      <c r="D2591">
        <v>2025</v>
      </c>
      <c r="E2591" t="s">
        <v>235</v>
      </c>
      <c r="F2591">
        <v>1</v>
      </c>
      <c r="G2591">
        <v>83.56</v>
      </c>
    </row>
    <row r="2592" spans="1:7" x14ac:dyDescent="0.25">
      <c r="A2592" t="s">
        <v>612</v>
      </c>
      <c r="B2592" t="str">
        <f>_xlfn.XLOOKUP(A2592,[1]Municipios!$B:$B,[1]Municipios!$C:$C)</f>
        <v>Noroeste</v>
      </c>
      <c r="C2592" t="str">
        <f>_xlfn.XLOOKUP(A2592,[1]Municipios!$B:$B,[1]Municipios!$D:$D)</f>
        <v>Terra Roxa</v>
      </c>
      <c r="D2592">
        <v>2025</v>
      </c>
      <c r="E2592" t="s">
        <v>236</v>
      </c>
      <c r="F2592">
        <v>0.30770000000000003</v>
      </c>
      <c r="G2592">
        <v>83.56</v>
      </c>
    </row>
    <row r="2593" spans="1:7" x14ac:dyDescent="0.25">
      <c r="A2593" t="s">
        <v>612</v>
      </c>
      <c r="B2593" t="str">
        <f>_xlfn.XLOOKUP(A2593,[1]Municipios!$B:$B,[1]Municipios!$C:$C)</f>
        <v>Noroeste</v>
      </c>
      <c r="C2593" t="str">
        <f>_xlfn.XLOOKUP(A2593,[1]Municipios!$B:$B,[1]Municipios!$D:$D)</f>
        <v>Terra Roxa</v>
      </c>
      <c r="D2593">
        <v>2025</v>
      </c>
      <c r="E2593" t="s">
        <v>237</v>
      </c>
      <c r="F2593">
        <v>1</v>
      </c>
      <c r="G2593">
        <v>83.56</v>
      </c>
    </row>
    <row r="2594" spans="1:7" x14ac:dyDescent="0.25">
      <c r="A2594" t="s">
        <v>460</v>
      </c>
      <c r="B2594" t="str">
        <f>_xlfn.XLOOKUP(A2594,[1]Municipios!$B:$B,[1]Municipios!$C:$C)</f>
        <v>Oeste</v>
      </c>
      <c r="C2594" t="str">
        <f>_xlfn.XLOOKUP(A2594,[1]Municipios!$B:$B,[1]Municipios!$D:$D)</f>
        <v>Oeste Integrado</v>
      </c>
      <c r="D2594">
        <v>2025</v>
      </c>
      <c r="E2594" t="s">
        <v>231</v>
      </c>
      <c r="F2594">
        <v>0.77779999999999994</v>
      </c>
      <c r="G2594">
        <v>78.95</v>
      </c>
    </row>
    <row r="2595" spans="1:7" x14ac:dyDescent="0.25">
      <c r="A2595" t="s">
        <v>460</v>
      </c>
      <c r="B2595" t="str">
        <f>_xlfn.XLOOKUP(A2595,[1]Municipios!$B:$B,[1]Municipios!$C:$C)</f>
        <v>Oeste</v>
      </c>
      <c r="C2595" t="str">
        <f>_xlfn.XLOOKUP(A2595,[1]Municipios!$B:$B,[1]Municipios!$D:$D)</f>
        <v>Oeste Integrado</v>
      </c>
      <c r="D2595">
        <v>2025</v>
      </c>
      <c r="E2595" t="s">
        <v>232</v>
      </c>
      <c r="F2595">
        <v>0.69230000000000003</v>
      </c>
      <c r="G2595">
        <v>78.95</v>
      </c>
    </row>
    <row r="2596" spans="1:7" x14ac:dyDescent="0.25">
      <c r="A2596" t="s">
        <v>460</v>
      </c>
      <c r="B2596" t="str">
        <f>_xlfn.XLOOKUP(A2596,[1]Municipios!$B:$B,[1]Municipios!$C:$C)</f>
        <v>Oeste</v>
      </c>
      <c r="C2596" t="str">
        <f>_xlfn.XLOOKUP(A2596,[1]Municipios!$B:$B,[1]Municipios!$D:$D)</f>
        <v>Oeste Integrado</v>
      </c>
      <c r="D2596">
        <v>2025</v>
      </c>
      <c r="E2596" t="s">
        <v>233</v>
      </c>
      <c r="F2596">
        <v>0.75</v>
      </c>
      <c r="G2596">
        <v>78.95</v>
      </c>
    </row>
    <row r="2597" spans="1:7" x14ac:dyDescent="0.25">
      <c r="A2597" t="s">
        <v>460</v>
      </c>
      <c r="B2597" t="str">
        <f>_xlfn.XLOOKUP(A2597,[1]Municipios!$B:$B,[1]Municipios!$C:$C)</f>
        <v>Oeste</v>
      </c>
      <c r="C2597" t="str">
        <f>_xlfn.XLOOKUP(A2597,[1]Municipios!$B:$B,[1]Municipios!$D:$D)</f>
        <v>Oeste Integrado</v>
      </c>
      <c r="D2597">
        <v>2025</v>
      </c>
      <c r="E2597" t="s">
        <v>215</v>
      </c>
      <c r="F2597">
        <v>1</v>
      </c>
      <c r="G2597">
        <v>78.95</v>
      </c>
    </row>
    <row r="2598" spans="1:7" x14ac:dyDescent="0.25">
      <c r="A2598" t="s">
        <v>460</v>
      </c>
      <c r="B2598" t="str">
        <f>_xlfn.XLOOKUP(A2598,[1]Municipios!$B:$B,[1]Municipios!$C:$C)</f>
        <v>Oeste</v>
      </c>
      <c r="C2598" t="str">
        <f>_xlfn.XLOOKUP(A2598,[1]Municipios!$B:$B,[1]Municipios!$D:$D)</f>
        <v>Oeste Integrado</v>
      </c>
      <c r="D2598">
        <v>2025</v>
      </c>
      <c r="E2598" t="s">
        <v>234</v>
      </c>
      <c r="F2598">
        <v>0.44440000000000002</v>
      </c>
      <c r="G2598">
        <v>78.95</v>
      </c>
    </row>
    <row r="2599" spans="1:7" x14ac:dyDescent="0.25">
      <c r="A2599" t="s">
        <v>460</v>
      </c>
      <c r="B2599" t="str">
        <f>_xlfn.XLOOKUP(A2599,[1]Municipios!$B:$B,[1]Municipios!$C:$C)</f>
        <v>Oeste</v>
      </c>
      <c r="C2599" t="str">
        <f>_xlfn.XLOOKUP(A2599,[1]Municipios!$B:$B,[1]Municipios!$D:$D)</f>
        <v>Oeste Integrado</v>
      </c>
      <c r="D2599">
        <v>2025</v>
      </c>
      <c r="E2599" t="s">
        <v>235</v>
      </c>
      <c r="F2599">
        <v>1</v>
      </c>
      <c r="G2599">
        <v>78.95</v>
      </c>
    </row>
    <row r="2600" spans="1:7" x14ac:dyDescent="0.25">
      <c r="A2600" t="s">
        <v>460</v>
      </c>
      <c r="B2600" t="str">
        <f>_xlfn.XLOOKUP(A2600,[1]Municipios!$B:$B,[1]Municipios!$C:$C)</f>
        <v>Oeste</v>
      </c>
      <c r="C2600" t="str">
        <f>_xlfn.XLOOKUP(A2600,[1]Municipios!$B:$B,[1]Municipios!$D:$D)</f>
        <v>Oeste Integrado</v>
      </c>
      <c r="D2600">
        <v>2025</v>
      </c>
      <c r="E2600" t="s">
        <v>236</v>
      </c>
      <c r="F2600">
        <v>0.76929999999999987</v>
      </c>
      <c r="G2600">
        <v>78.95</v>
      </c>
    </row>
    <row r="2601" spans="1:7" x14ac:dyDescent="0.25">
      <c r="A2601" t="s">
        <v>460</v>
      </c>
      <c r="B2601" t="str">
        <f>_xlfn.XLOOKUP(A2601,[1]Municipios!$B:$B,[1]Municipios!$C:$C)</f>
        <v>Oeste</v>
      </c>
      <c r="C2601" t="str">
        <f>_xlfn.XLOOKUP(A2601,[1]Municipios!$B:$B,[1]Municipios!$D:$D)</f>
        <v>Oeste Integrado</v>
      </c>
      <c r="D2601">
        <v>2025</v>
      </c>
      <c r="E2601" t="s">
        <v>237</v>
      </c>
      <c r="F2601">
        <v>1</v>
      </c>
      <c r="G2601">
        <v>78.95</v>
      </c>
    </row>
    <row r="2602" spans="1:7" x14ac:dyDescent="0.25">
      <c r="A2602" t="s">
        <v>432</v>
      </c>
      <c r="B2602" t="str">
        <f>_xlfn.XLOOKUP(A2602,[1]Municipios!$B:$B,[1]Municipios!$C:$C)</f>
        <v>Noroeste</v>
      </c>
      <c r="C2602" t="str">
        <f>_xlfn.XLOOKUP(A2602,[1]Municipios!$B:$B,[1]Municipios!$D:$D)</f>
        <v>Terra Roxa</v>
      </c>
      <c r="D2602">
        <v>2025</v>
      </c>
      <c r="E2602" t="s">
        <v>231</v>
      </c>
      <c r="F2602">
        <v>0.55549999999999988</v>
      </c>
      <c r="G2602">
        <v>53.07</v>
      </c>
    </row>
    <row r="2603" spans="1:7" x14ac:dyDescent="0.25">
      <c r="A2603" t="s">
        <v>432</v>
      </c>
      <c r="B2603" t="str">
        <f>_xlfn.XLOOKUP(A2603,[1]Municipios!$B:$B,[1]Municipios!$C:$C)</f>
        <v>Noroeste</v>
      </c>
      <c r="C2603" t="str">
        <f>_xlfn.XLOOKUP(A2603,[1]Municipios!$B:$B,[1]Municipios!$D:$D)</f>
        <v>Terra Roxa</v>
      </c>
      <c r="D2603">
        <v>2025</v>
      </c>
      <c r="E2603" t="s">
        <v>232</v>
      </c>
      <c r="F2603">
        <v>0.69230000000000003</v>
      </c>
      <c r="G2603">
        <v>53.07</v>
      </c>
    </row>
    <row r="2604" spans="1:7" x14ac:dyDescent="0.25">
      <c r="A2604" t="s">
        <v>432</v>
      </c>
      <c r="B2604" t="str">
        <f>_xlfn.XLOOKUP(A2604,[1]Municipios!$B:$B,[1]Municipios!$C:$C)</f>
        <v>Noroeste</v>
      </c>
      <c r="C2604" t="str">
        <f>_xlfn.XLOOKUP(A2604,[1]Municipios!$B:$B,[1]Municipios!$D:$D)</f>
        <v>Terra Roxa</v>
      </c>
      <c r="D2604">
        <v>2025</v>
      </c>
      <c r="E2604" t="s">
        <v>233</v>
      </c>
      <c r="F2604">
        <v>0.75</v>
      </c>
      <c r="G2604">
        <v>53.07</v>
      </c>
    </row>
    <row r="2605" spans="1:7" x14ac:dyDescent="0.25">
      <c r="A2605" t="s">
        <v>432</v>
      </c>
      <c r="B2605" t="str">
        <f>_xlfn.XLOOKUP(A2605,[1]Municipios!$B:$B,[1]Municipios!$C:$C)</f>
        <v>Noroeste</v>
      </c>
      <c r="C2605" t="str">
        <f>_xlfn.XLOOKUP(A2605,[1]Municipios!$B:$B,[1]Municipios!$D:$D)</f>
        <v>Terra Roxa</v>
      </c>
      <c r="D2605">
        <v>2025</v>
      </c>
      <c r="E2605" t="s">
        <v>215</v>
      </c>
      <c r="F2605">
        <v>0</v>
      </c>
      <c r="G2605">
        <v>53.07</v>
      </c>
    </row>
    <row r="2606" spans="1:7" x14ac:dyDescent="0.25">
      <c r="A2606" t="s">
        <v>432</v>
      </c>
      <c r="B2606" t="str">
        <f>_xlfn.XLOOKUP(A2606,[1]Municipios!$B:$B,[1]Municipios!$C:$C)</f>
        <v>Noroeste</v>
      </c>
      <c r="C2606" t="str">
        <f>_xlfn.XLOOKUP(A2606,[1]Municipios!$B:$B,[1]Municipios!$D:$D)</f>
        <v>Terra Roxa</v>
      </c>
      <c r="D2606">
        <v>2025</v>
      </c>
      <c r="E2606" t="s">
        <v>234</v>
      </c>
      <c r="F2606">
        <v>0.77780000000000005</v>
      </c>
      <c r="G2606">
        <v>53.07</v>
      </c>
    </row>
    <row r="2607" spans="1:7" x14ac:dyDescent="0.25">
      <c r="A2607" t="s">
        <v>432</v>
      </c>
      <c r="B2607" t="str">
        <f>_xlfn.XLOOKUP(A2607,[1]Municipios!$B:$B,[1]Municipios!$C:$C)</f>
        <v>Noroeste</v>
      </c>
      <c r="C2607" t="str">
        <f>_xlfn.XLOOKUP(A2607,[1]Municipios!$B:$B,[1]Municipios!$D:$D)</f>
        <v>Terra Roxa</v>
      </c>
      <c r="D2607">
        <v>2025</v>
      </c>
      <c r="E2607" t="s">
        <v>235</v>
      </c>
      <c r="F2607">
        <v>0.85710000000000008</v>
      </c>
      <c r="G2607">
        <v>53.07</v>
      </c>
    </row>
    <row r="2608" spans="1:7" x14ac:dyDescent="0.25">
      <c r="A2608" t="s">
        <v>432</v>
      </c>
      <c r="B2608" t="str">
        <f>_xlfn.XLOOKUP(A2608,[1]Municipios!$B:$B,[1]Municipios!$C:$C)</f>
        <v>Noroeste</v>
      </c>
      <c r="C2608" t="str">
        <f>_xlfn.XLOOKUP(A2608,[1]Municipios!$B:$B,[1]Municipios!$D:$D)</f>
        <v>Terra Roxa</v>
      </c>
      <c r="D2608">
        <v>2025</v>
      </c>
      <c r="E2608" t="s">
        <v>236</v>
      </c>
      <c r="F2608">
        <v>0</v>
      </c>
      <c r="G2608">
        <v>53.07</v>
      </c>
    </row>
    <row r="2609" spans="1:7" x14ac:dyDescent="0.25">
      <c r="A2609" t="s">
        <v>432</v>
      </c>
      <c r="B2609" t="str">
        <f>_xlfn.XLOOKUP(A2609,[1]Municipios!$B:$B,[1]Municipios!$C:$C)</f>
        <v>Noroeste</v>
      </c>
      <c r="C2609" t="str">
        <f>_xlfn.XLOOKUP(A2609,[1]Municipios!$B:$B,[1]Municipios!$D:$D)</f>
        <v>Terra Roxa</v>
      </c>
      <c r="D2609">
        <v>2025</v>
      </c>
      <c r="E2609" t="s">
        <v>237</v>
      </c>
      <c r="F2609">
        <v>0.5</v>
      </c>
      <c r="G2609">
        <v>53.07</v>
      </c>
    </row>
    <row r="2610" spans="1:7" x14ac:dyDescent="0.25">
      <c r="A2610" t="s">
        <v>413</v>
      </c>
      <c r="B2610" t="str">
        <f>_xlfn.XLOOKUP(A2610,[1]Municipios!$B:$B,[1]Municipios!$C:$C)</f>
        <v>Noroeste</v>
      </c>
      <c r="C2610" t="str">
        <f>_xlfn.XLOOKUP(A2610,[1]Municipios!$B:$B,[1]Municipios!$D:$D)</f>
        <v>Costa Noroeste</v>
      </c>
      <c r="D2610">
        <v>2025</v>
      </c>
      <c r="E2610" t="s">
        <v>231</v>
      </c>
      <c r="F2610">
        <v>0.77779999999999994</v>
      </c>
      <c r="G2610">
        <v>58.98</v>
      </c>
    </row>
    <row r="2611" spans="1:7" x14ac:dyDescent="0.25">
      <c r="A2611" t="s">
        <v>413</v>
      </c>
      <c r="B2611" t="str">
        <f>_xlfn.XLOOKUP(A2611,[1]Municipios!$B:$B,[1]Municipios!$C:$C)</f>
        <v>Noroeste</v>
      </c>
      <c r="C2611" t="str">
        <f>_xlfn.XLOOKUP(A2611,[1]Municipios!$B:$B,[1]Municipios!$D:$D)</f>
        <v>Costa Noroeste</v>
      </c>
      <c r="D2611">
        <v>2025</v>
      </c>
      <c r="E2611" t="s">
        <v>232</v>
      </c>
      <c r="F2611">
        <v>0.61549999999999994</v>
      </c>
      <c r="G2611">
        <v>58.98</v>
      </c>
    </row>
    <row r="2612" spans="1:7" x14ac:dyDescent="0.25">
      <c r="A2612" t="s">
        <v>413</v>
      </c>
      <c r="B2612" t="str">
        <f>_xlfn.XLOOKUP(A2612,[1]Municipios!$B:$B,[1]Municipios!$C:$C)</f>
        <v>Noroeste</v>
      </c>
      <c r="C2612" t="str">
        <f>_xlfn.XLOOKUP(A2612,[1]Municipios!$B:$B,[1]Municipios!$D:$D)</f>
        <v>Costa Noroeste</v>
      </c>
      <c r="D2612">
        <v>2025</v>
      </c>
      <c r="E2612" t="s">
        <v>233</v>
      </c>
      <c r="F2612">
        <v>0.5</v>
      </c>
      <c r="G2612">
        <v>58.98</v>
      </c>
    </row>
    <row r="2613" spans="1:7" x14ac:dyDescent="0.25">
      <c r="A2613" t="s">
        <v>413</v>
      </c>
      <c r="B2613" t="str">
        <f>_xlfn.XLOOKUP(A2613,[1]Municipios!$B:$B,[1]Municipios!$C:$C)</f>
        <v>Noroeste</v>
      </c>
      <c r="C2613" t="str">
        <f>_xlfn.XLOOKUP(A2613,[1]Municipios!$B:$B,[1]Municipios!$D:$D)</f>
        <v>Costa Noroeste</v>
      </c>
      <c r="D2613">
        <v>2025</v>
      </c>
      <c r="E2613" t="s">
        <v>215</v>
      </c>
      <c r="F2613">
        <v>0.19999999999999998</v>
      </c>
      <c r="G2613">
        <v>58.98</v>
      </c>
    </row>
    <row r="2614" spans="1:7" x14ac:dyDescent="0.25">
      <c r="A2614" t="s">
        <v>413</v>
      </c>
      <c r="B2614" t="str">
        <f>_xlfn.XLOOKUP(A2614,[1]Municipios!$B:$B,[1]Municipios!$C:$C)</f>
        <v>Noroeste</v>
      </c>
      <c r="C2614" t="str">
        <f>_xlfn.XLOOKUP(A2614,[1]Municipios!$B:$B,[1]Municipios!$D:$D)</f>
        <v>Costa Noroeste</v>
      </c>
      <c r="D2614">
        <v>2025</v>
      </c>
      <c r="E2614" t="s">
        <v>234</v>
      </c>
      <c r="F2614">
        <v>0.66659999999999997</v>
      </c>
      <c r="G2614">
        <v>58.98</v>
      </c>
    </row>
    <row r="2615" spans="1:7" x14ac:dyDescent="0.25">
      <c r="A2615" t="s">
        <v>413</v>
      </c>
      <c r="B2615" t="str">
        <f>_xlfn.XLOOKUP(A2615,[1]Municipios!$B:$B,[1]Municipios!$C:$C)</f>
        <v>Noroeste</v>
      </c>
      <c r="C2615" t="str">
        <f>_xlfn.XLOOKUP(A2615,[1]Municipios!$B:$B,[1]Municipios!$D:$D)</f>
        <v>Costa Noroeste</v>
      </c>
      <c r="D2615">
        <v>2025</v>
      </c>
      <c r="E2615" t="s">
        <v>235</v>
      </c>
      <c r="F2615">
        <v>0.71429999999999993</v>
      </c>
      <c r="G2615">
        <v>58.98</v>
      </c>
    </row>
    <row r="2616" spans="1:7" x14ac:dyDescent="0.25">
      <c r="A2616" t="s">
        <v>413</v>
      </c>
      <c r="B2616" t="str">
        <f>_xlfn.XLOOKUP(A2616,[1]Municipios!$B:$B,[1]Municipios!$C:$C)</f>
        <v>Noroeste</v>
      </c>
      <c r="C2616" t="str">
        <f>_xlfn.XLOOKUP(A2616,[1]Municipios!$B:$B,[1]Municipios!$D:$D)</f>
        <v>Costa Noroeste</v>
      </c>
      <c r="D2616">
        <v>2025</v>
      </c>
      <c r="E2616" t="s">
        <v>236</v>
      </c>
      <c r="F2616">
        <v>0.15390000000000001</v>
      </c>
      <c r="G2616">
        <v>58.98</v>
      </c>
    </row>
    <row r="2617" spans="1:7" x14ac:dyDescent="0.25">
      <c r="A2617" t="s">
        <v>413</v>
      </c>
      <c r="B2617" t="str">
        <f>_xlfn.XLOOKUP(A2617,[1]Municipios!$B:$B,[1]Municipios!$C:$C)</f>
        <v>Noroeste</v>
      </c>
      <c r="C2617" t="str">
        <f>_xlfn.XLOOKUP(A2617,[1]Municipios!$B:$B,[1]Municipios!$D:$D)</f>
        <v>Costa Noroeste</v>
      </c>
      <c r="D2617">
        <v>2025</v>
      </c>
      <c r="E2617" t="s">
        <v>237</v>
      </c>
      <c r="F2617">
        <v>1</v>
      </c>
      <c r="G2617">
        <v>58.98</v>
      </c>
    </row>
    <row r="2618" spans="1:7" x14ac:dyDescent="0.25">
      <c r="A2618" t="s">
        <v>394</v>
      </c>
      <c r="B2618" t="str">
        <f>_xlfn.XLOOKUP(A2618,[1]Municipios!$B:$B,[1]Municipios!$C:$C)</f>
        <v>Sul</v>
      </c>
      <c r="C2618" t="str">
        <f>_xlfn.XLOOKUP(A2618,[1]Municipios!$B:$B,[1]Municipios!$D:$D)</f>
        <v>Sudoeste La Frontera</v>
      </c>
      <c r="D2618">
        <v>2025</v>
      </c>
      <c r="E2618" t="s">
        <v>231</v>
      </c>
      <c r="F2618">
        <v>0.33339999999999992</v>
      </c>
      <c r="G2618">
        <v>57.13</v>
      </c>
    </row>
    <row r="2619" spans="1:7" x14ac:dyDescent="0.25">
      <c r="A2619" t="s">
        <v>394</v>
      </c>
      <c r="B2619" t="str">
        <f>_xlfn.XLOOKUP(A2619,[1]Municipios!$B:$B,[1]Municipios!$C:$C)</f>
        <v>Sul</v>
      </c>
      <c r="C2619" t="str">
        <f>_xlfn.XLOOKUP(A2619,[1]Municipios!$B:$B,[1]Municipios!$D:$D)</f>
        <v>Sudoeste La Frontera</v>
      </c>
      <c r="D2619">
        <v>2025</v>
      </c>
      <c r="E2619" t="s">
        <v>232</v>
      </c>
      <c r="F2619">
        <v>0.69230000000000003</v>
      </c>
      <c r="G2619">
        <v>57.13</v>
      </c>
    </row>
    <row r="2620" spans="1:7" x14ac:dyDescent="0.25">
      <c r="A2620" t="s">
        <v>394</v>
      </c>
      <c r="B2620" t="str">
        <f>_xlfn.XLOOKUP(A2620,[1]Municipios!$B:$B,[1]Municipios!$C:$C)</f>
        <v>Sul</v>
      </c>
      <c r="C2620" t="str">
        <f>_xlfn.XLOOKUP(A2620,[1]Municipios!$B:$B,[1]Municipios!$D:$D)</f>
        <v>Sudoeste La Frontera</v>
      </c>
      <c r="D2620">
        <v>2025</v>
      </c>
      <c r="E2620" t="s">
        <v>233</v>
      </c>
      <c r="F2620">
        <v>0.75</v>
      </c>
      <c r="G2620">
        <v>57.13</v>
      </c>
    </row>
    <row r="2621" spans="1:7" x14ac:dyDescent="0.25">
      <c r="A2621" t="s">
        <v>394</v>
      </c>
      <c r="B2621" t="str">
        <f>_xlfn.XLOOKUP(A2621,[1]Municipios!$B:$B,[1]Municipios!$C:$C)</f>
        <v>Sul</v>
      </c>
      <c r="C2621" t="str">
        <f>_xlfn.XLOOKUP(A2621,[1]Municipios!$B:$B,[1]Municipios!$D:$D)</f>
        <v>Sudoeste La Frontera</v>
      </c>
      <c r="D2621">
        <v>2025</v>
      </c>
      <c r="E2621" t="s">
        <v>215</v>
      </c>
      <c r="F2621">
        <v>0.9</v>
      </c>
      <c r="G2621">
        <v>57.13</v>
      </c>
    </row>
    <row r="2622" spans="1:7" x14ac:dyDescent="0.25">
      <c r="A2622" t="s">
        <v>394</v>
      </c>
      <c r="B2622" t="str">
        <f>_xlfn.XLOOKUP(A2622,[1]Municipios!$B:$B,[1]Municipios!$C:$C)</f>
        <v>Sul</v>
      </c>
      <c r="C2622" t="str">
        <f>_xlfn.XLOOKUP(A2622,[1]Municipios!$B:$B,[1]Municipios!$D:$D)</f>
        <v>Sudoeste La Frontera</v>
      </c>
      <c r="D2622">
        <v>2025</v>
      </c>
      <c r="E2622" t="s">
        <v>234</v>
      </c>
      <c r="F2622">
        <v>0.55549999999999999</v>
      </c>
      <c r="G2622">
        <v>57.13</v>
      </c>
    </row>
    <row r="2623" spans="1:7" x14ac:dyDescent="0.25">
      <c r="A2623" t="s">
        <v>394</v>
      </c>
      <c r="B2623" t="str">
        <f>_xlfn.XLOOKUP(A2623,[1]Municipios!$B:$B,[1]Municipios!$C:$C)</f>
        <v>Sul</v>
      </c>
      <c r="C2623" t="str">
        <f>_xlfn.XLOOKUP(A2623,[1]Municipios!$B:$B,[1]Municipios!$D:$D)</f>
        <v>Sudoeste La Frontera</v>
      </c>
      <c r="D2623">
        <v>2025</v>
      </c>
      <c r="E2623" t="s">
        <v>235</v>
      </c>
      <c r="F2623">
        <v>0.71429999999999993</v>
      </c>
      <c r="G2623">
        <v>57.13</v>
      </c>
    </row>
    <row r="2624" spans="1:7" x14ac:dyDescent="0.25">
      <c r="A2624" t="s">
        <v>394</v>
      </c>
      <c r="B2624" t="str">
        <f>_xlfn.XLOOKUP(A2624,[1]Municipios!$B:$B,[1]Municipios!$C:$C)</f>
        <v>Sul</v>
      </c>
      <c r="C2624" t="str">
        <f>_xlfn.XLOOKUP(A2624,[1]Municipios!$B:$B,[1]Municipios!$D:$D)</f>
        <v>Sudoeste La Frontera</v>
      </c>
      <c r="D2624">
        <v>2025</v>
      </c>
      <c r="E2624" t="s">
        <v>236</v>
      </c>
      <c r="F2624">
        <v>0.15390000000000001</v>
      </c>
      <c r="G2624">
        <v>57.13</v>
      </c>
    </row>
    <row r="2625" spans="1:7" x14ac:dyDescent="0.25">
      <c r="A2625" t="s">
        <v>394</v>
      </c>
      <c r="B2625" t="str">
        <f>_xlfn.XLOOKUP(A2625,[1]Municipios!$B:$B,[1]Municipios!$C:$C)</f>
        <v>Sul</v>
      </c>
      <c r="C2625" t="str">
        <f>_xlfn.XLOOKUP(A2625,[1]Municipios!$B:$B,[1]Municipios!$D:$D)</f>
        <v>Sudoeste La Frontera</v>
      </c>
      <c r="D2625">
        <v>2025</v>
      </c>
      <c r="E2625" t="s">
        <v>237</v>
      </c>
      <c r="F2625">
        <v>0.5</v>
      </c>
      <c r="G2625">
        <v>57.13</v>
      </c>
    </row>
    <row r="2626" spans="1:7" x14ac:dyDescent="0.25">
      <c r="A2626" t="s">
        <v>461</v>
      </c>
      <c r="B2626" t="str">
        <f>_xlfn.XLOOKUP(A2626,[1]Municipios!$B:$B,[1]Municipios!$C:$C)</f>
        <v>Oeste</v>
      </c>
      <c r="C2626" t="str">
        <f>_xlfn.XLOOKUP(A2626,[1]Municipios!$B:$B,[1]Municipios!$D:$D)</f>
        <v>Oeste Integrado</v>
      </c>
      <c r="D2626">
        <v>2025</v>
      </c>
      <c r="E2626" t="s">
        <v>231</v>
      </c>
      <c r="F2626">
        <v>0.22219999999999998</v>
      </c>
      <c r="G2626">
        <v>28.43</v>
      </c>
    </row>
    <row r="2627" spans="1:7" x14ac:dyDescent="0.25">
      <c r="A2627" t="s">
        <v>461</v>
      </c>
      <c r="B2627" t="str">
        <f>_xlfn.XLOOKUP(A2627,[1]Municipios!$B:$B,[1]Municipios!$C:$C)</f>
        <v>Oeste</v>
      </c>
      <c r="C2627" t="str">
        <f>_xlfn.XLOOKUP(A2627,[1]Municipios!$B:$B,[1]Municipios!$D:$D)</f>
        <v>Oeste Integrado</v>
      </c>
      <c r="D2627">
        <v>2025</v>
      </c>
      <c r="E2627" t="s">
        <v>232</v>
      </c>
      <c r="F2627">
        <v>0.46150000000000002</v>
      </c>
      <c r="G2627">
        <v>28.43</v>
      </c>
    </row>
    <row r="2628" spans="1:7" x14ac:dyDescent="0.25">
      <c r="A2628" t="s">
        <v>461</v>
      </c>
      <c r="B2628" t="str">
        <f>_xlfn.XLOOKUP(A2628,[1]Municipios!$B:$B,[1]Municipios!$C:$C)</f>
        <v>Oeste</v>
      </c>
      <c r="C2628" t="str">
        <f>_xlfn.XLOOKUP(A2628,[1]Municipios!$B:$B,[1]Municipios!$D:$D)</f>
        <v>Oeste Integrado</v>
      </c>
      <c r="D2628">
        <v>2025</v>
      </c>
      <c r="E2628" t="s">
        <v>233</v>
      </c>
      <c r="F2628">
        <v>0.375</v>
      </c>
      <c r="G2628">
        <v>28.43</v>
      </c>
    </row>
    <row r="2629" spans="1:7" x14ac:dyDescent="0.25">
      <c r="A2629" t="s">
        <v>461</v>
      </c>
      <c r="B2629" t="str">
        <f>_xlfn.XLOOKUP(A2629,[1]Municipios!$B:$B,[1]Municipios!$C:$C)</f>
        <v>Oeste</v>
      </c>
      <c r="C2629" t="str">
        <f>_xlfn.XLOOKUP(A2629,[1]Municipios!$B:$B,[1]Municipios!$D:$D)</f>
        <v>Oeste Integrado</v>
      </c>
      <c r="D2629">
        <v>2025</v>
      </c>
      <c r="E2629" t="s">
        <v>215</v>
      </c>
      <c r="F2629">
        <v>0</v>
      </c>
      <c r="G2629">
        <v>28.43</v>
      </c>
    </row>
    <row r="2630" spans="1:7" x14ac:dyDescent="0.25">
      <c r="A2630" t="s">
        <v>461</v>
      </c>
      <c r="B2630" t="str">
        <f>_xlfn.XLOOKUP(A2630,[1]Municipios!$B:$B,[1]Municipios!$C:$C)</f>
        <v>Oeste</v>
      </c>
      <c r="C2630" t="str">
        <f>_xlfn.XLOOKUP(A2630,[1]Municipios!$B:$B,[1]Municipios!$D:$D)</f>
        <v>Oeste Integrado</v>
      </c>
      <c r="D2630">
        <v>2025</v>
      </c>
      <c r="E2630" t="s">
        <v>234</v>
      </c>
      <c r="F2630">
        <v>0.55549999999999999</v>
      </c>
      <c r="G2630">
        <v>28.43</v>
      </c>
    </row>
    <row r="2631" spans="1:7" x14ac:dyDescent="0.25">
      <c r="A2631" t="s">
        <v>461</v>
      </c>
      <c r="B2631" t="str">
        <f>_xlfn.XLOOKUP(A2631,[1]Municipios!$B:$B,[1]Municipios!$C:$C)</f>
        <v>Oeste</v>
      </c>
      <c r="C2631" t="str">
        <f>_xlfn.XLOOKUP(A2631,[1]Municipios!$B:$B,[1]Municipios!$D:$D)</f>
        <v>Oeste Integrado</v>
      </c>
      <c r="D2631">
        <v>2025</v>
      </c>
      <c r="E2631" t="s">
        <v>235</v>
      </c>
      <c r="F2631">
        <v>0.28570000000000001</v>
      </c>
      <c r="G2631">
        <v>28.43</v>
      </c>
    </row>
    <row r="2632" spans="1:7" x14ac:dyDescent="0.25">
      <c r="A2632" t="s">
        <v>461</v>
      </c>
      <c r="B2632" t="str">
        <f>_xlfn.XLOOKUP(A2632,[1]Municipios!$B:$B,[1]Municipios!$C:$C)</f>
        <v>Oeste</v>
      </c>
      <c r="C2632" t="str">
        <f>_xlfn.XLOOKUP(A2632,[1]Municipios!$B:$B,[1]Municipios!$D:$D)</f>
        <v>Oeste Integrado</v>
      </c>
      <c r="D2632">
        <v>2025</v>
      </c>
      <c r="E2632" t="s">
        <v>236</v>
      </c>
      <c r="F2632">
        <v>0.23089999999999999</v>
      </c>
      <c r="G2632">
        <v>28.43</v>
      </c>
    </row>
    <row r="2633" spans="1:7" x14ac:dyDescent="0.25">
      <c r="A2633" t="s">
        <v>461</v>
      </c>
      <c r="B2633" t="str">
        <f>_xlfn.XLOOKUP(A2633,[1]Municipios!$B:$B,[1]Municipios!$C:$C)</f>
        <v>Oeste</v>
      </c>
      <c r="C2633" t="str">
        <f>_xlfn.XLOOKUP(A2633,[1]Municipios!$B:$B,[1]Municipios!$D:$D)</f>
        <v>Oeste Integrado</v>
      </c>
      <c r="D2633">
        <v>2025</v>
      </c>
      <c r="E2633" t="s">
        <v>237</v>
      </c>
      <c r="F2633">
        <v>0</v>
      </c>
      <c r="G2633">
        <v>28.43</v>
      </c>
    </row>
    <row r="2634" spans="1:7" x14ac:dyDescent="0.25">
      <c r="A2634" t="s">
        <v>242</v>
      </c>
      <c r="B2634" t="str">
        <f>_xlfn.XLOOKUP(A2634,[1]Municipios!$B:$B,[1]Municipios!$C:$C)</f>
        <v>Centro</v>
      </c>
      <c r="C2634" t="str">
        <f>_xlfn.XLOOKUP(A2634,[1]Municipios!$B:$B,[1]Municipios!$D:$D)</f>
        <v>Paraná Centro</v>
      </c>
      <c r="D2634">
        <v>2025</v>
      </c>
      <c r="E2634" t="s">
        <v>231</v>
      </c>
      <c r="F2634">
        <v>0.33339999999999992</v>
      </c>
      <c r="G2634">
        <v>34.14</v>
      </c>
    </row>
    <row r="2635" spans="1:7" x14ac:dyDescent="0.25">
      <c r="A2635" t="s">
        <v>242</v>
      </c>
      <c r="B2635" t="str">
        <f>_xlfn.XLOOKUP(A2635,[1]Municipios!$B:$B,[1]Municipios!$C:$C)</f>
        <v>Centro</v>
      </c>
      <c r="C2635" t="str">
        <f>_xlfn.XLOOKUP(A2635,[1]Municipios!$B:$B,[1]Municipios!$D:$D)</f>
        <v>Paraná Centro</v>
      </c>
      <c r="D2635">
        <v>2025</v>
      </c>
      <c r="E2635" t="s">
        <v>232</v>
      </c>
      <c r="F2635">
        <v>0.69240000000000002</v>
      </c>
      <c r="G2635">
        <v>34.14</v>
      </c>
    </row>
    <row r="2636" spans="1:7" x14ac:dyDescent="0.25">
      <c r="A2636" t="s">
        <v>242</v>
      </c>
      <c r="B2636" t="str">
        <f>_xlfn.XLOOKUP(A2636,[1]Municipios!$B:$B,[1]Municipios!$C:$C)</f>
        <v>Centro</v>
      </c>
      <c r="C2636" t="str">
        <f>_xlfn.XLOOKUP(A2636,[1]Municipios!$B:$B,[1]Municipios!$D:$D)</f>
        <v>Paraná Centro</v>
      </c>
      <c r="D2636">
        <v>2025</v>
      </c>
      <c r="E2636" t="s">
        <v>233</v>
      </c>
      <c r="F2636">
        <v>0.25</v>
      </c>
      <c r="G2636">
        <v>34.14</v>
      </c>
    </row>
    <row r="2637" spans="1:7" x14ac:dyDescent="0.25">
      <c r="A2637" t="s">
        <v>242</v>
      </c>
      <c r="B2637" t="str">
        <f>_xlfn.XLOOKUP(A2637,[1]Municipios!$B:$B,[1]Municipios!$C:$C)</f>
        <v>Centro</v>
      </c>
      <c r="C2637" t="str">
        <f>_xlfn.XLOOKUP(A2637,[1]Municipios!$B:$B,[1]Municipios!$D:$D)</f>
        <v>Paraná Centro</v>
      </c>
      <c r="D2637">
        <v>2025</v>
      </c>
      <c r="E2637" t="s">
        <v>215</v>
      </c>
      <c r="F2637">
        <v>0.19999999999999998</v>
      </c>
      <c r="G2637">
        <v>34.14</v>
      </c>
    </row>
    <row r="2638" spans="1:7" x14ac:dyDescent="0.25">
      <c r="A2638" t="s">
        <v>242</v>
      </c>
      <c r="B2638" t="str">
        <f>_xlfn.XLOOKUP(A2638,[1]Municipios!$B:$B,[1]Municipios!$C:$C)</f>
        <v>Centro</v>
      </c>
      <c r="C2638" t="str">
        <f>_xlfn.XLOOKUP(A2638,[1]Municipios!$B:$B,[1]Municipios!$D:$D)</f>
        <v>Paraná Centro</v>
      </c>
      <c r="D2638">
        <v>2025</v>
      </c>
      <c r="E2638" t="s">
        <v>234</v>
      </c>
      <c r="F2638">
        <v>0.22220000000000001</v>
      </c>
      <c r="G2638">
        <v>34.14</v>
      </c>
    </row>
    <row r="2639" spans="1:7" x14ac:dyDescent="0.25">
      <c r="A2639" t="s">
        <v>242</v>
      </c>
      <c r="B2639" t="str">
        <f>_xlfn.XLOOKUP(A2639,[1]Municipios!$B:$B,[1]Municipios!$C:$C)</f>
        <v>Centro</v>
      </c>
      <c r="C2639" t="str">
        <f>_xlfn.XLOOKUP(A2639,[1]Municipios!$B:$B,[1]Municipios!$D:$D)</f>
        <v>Paraná Centro</v>
      </c>
      <c r="D2639">
        <v>2025</v>
      </c>
      <c r="E2639" t="s">
        <v>235</v>
      </c>
      <c r="F2639">
        <v>0.28570000000000001</v>
      </c>
      <c r="G2639">
        <v>34.14</v>
      </c>
    </row>
    <row r="2640" spans="1:7" x14ac:dyDescent="0.25">
      <c r="A2640" t="s">
        <v>242</v>
      </c>
      <c r="B2640" t="str">
        <f>_xlfn.XLOOKUP(A2640,[1]Municipios!$B:$B,[1]Municipios!$C:$C)</f>
        <v>Centro</v>
      </c>
      <c r="C2640" t="str">
        <f>_xlfn.XLOOKUP(A2640,[1]Municipios!$B:$B,[1]Municipios!$D:$D)</f>
        <v>Paraná Centro</v>
      </c>
      <c r="D2640">
        <v>2025</v>
      </c>
      <c r="E2640" t="s">
        <v>236</v>
      </c>
      <c r="F2640">
        <v>0.15390000000000001</v>
      </c>
      <c r="G2640">
        <v>34.14</v>
      </c>
    </row>
    <row r="2641" spans="1:7" x14ac:dyDescent="0.25">
      <c r="A2641" t="s">
        <v>242</v>
      </c>
      <c r="B2641" t="str">
        <f>_xlfn.XLOOKUP(A2641,[1]Municipios!$B:$B,[1]Municipios!$C:$C)</f>
        <v>Centro</v>
      </c>
      <c r="C2641" t="str">
        <f>_xlfn.XLOOKUP(A2641,[1]Municipios!$B:$B,[1]Municipios!$D:$D)</f>
        <v>Paraná Centro</v>
      </c>
      <c r="D2641">
        <v>2025</v>
      </c>
      <c r="E2641" t="s">
        <v>237</v>
      </c>
      <c r="F2641">
        <v>0.5</v>
      </c>
      <c r="G2641">
        <v>34.14</v>
      </c>
    </row>
    <row r="2642" spans="1:7" x14ac:dyDescent="0.25">
      <c r="A2642" t="s">
        <v>613</v>
      </c>
      <c r="B2642" t="str">
        <f>_xlfn.XLOOKUP(A2642,[1]Municipios!$B:$B,[1]Municipios!$C:$C)</f>
        <v>Norte</v>
      </c>
      <c r="C2642" t="str">
        <f>_xlfn.XLOOKUP(A2642,[1]Municipios!$B:$B,[1]Municipios!$D:$D)</f>
        <v>Norte Central</v>
      </c>
      <c r="D2642">
        <v>2025</v>
      </c>
      <c r="E2642" t="s">
        <v>231</v>
      </c>
      <c r="F2642">
        <v>0</v>
      </c>
      <c r="G2642">
        <v>25.55</v>
      </c>
    </row>
    <row r="2643" spans="1:7" x14ac:dyDescent="0.25">
      <c r="A2643" t="s">
        <v>613</v>
      </c>
      <c r="B2643" t="str">
        <f>_xlfn.XLOOKUP(A2643,[1]Municipios!$B:$B,[1]Municipios!$C:$C)</f>
        <v>Norte</v>
      </c>
      <c r="C2643" t="str">
        <f>_xlfn.XLOOKUP(A2643,[1]Municipios!$B:$B,[1]Municipios!$D:$D)</f>
        <v>Norte Central</v>
      </c>
      <c r="D2643">
        <v>2025</v>
      </c>
      <c r="E2643" t="s">
        <v>232</v>
      </c>
      <c r="F2643">
        <v>0.61529999999999996</v>
      </c>
      <c r="G2643">
        <v>25.55</v>
      </c>
    </row>
    <row r="2644" spans="1:7" x14ac:dyDescent="0.25">
      <c r="A2644" t="s">
        <v>613</v>
      </c>
      <c r="B2644" t="str">
        <f>_xlfn.XLOOKUP(A2644,[1]Municipios!$B:$B,[1]Municipios!$C:$C)</f>
        <v>Norte</v>
      </c>
      <c r="C2644" t="str">
        <f>_xlfn.XLOOKUP(A2644,[1]Municipios!$B:$B,[1]Municipios!$D:$D)</f>
        <v>Norte Central</v>
      </c>
      <c r="D2644">
        <v>2025</v>
      </c>
      <c r="E2644" t="s">
        <v>233</v>
      </c>
      <c r="F2644">
        <v>0.5</v>
      </c>
      <c r="G2644">
        <v>25.55</v>
      </c>
    </row>
    <row r="2645" spans="1:7" x14ac:dyDescent="0.25">
      <c r="A2645" t="s">
        <v>613</v>
      </c>
      <c r="B2645" t="str">
        <f>_xlfn.XLOOKUP(A2645,[1]Municipios!$B:$B,[1]Municipios!$C:$C)</f>
        <v>Norte</v>
      </c>
      <c r="C2645" t="str">
        <f>_xlfn.XLOOKUP(A2645,[1]Municipios!$B:$B,[1]Municipios!$D:$D)</f>
        <v>Norte Central</v>
      </c>
      <c r="D2645">
        <v>2025</v>
      </c>
      <c r="E2645" t="s">
        <v>215</v>
      </c>
      <c r="F2645">
        <v>0.25</v>
      </c>
      <c r="G2645">
        <v>25.55</v>
      </c>
    </row>
    <row r="2646" spans="1:7" x14ac:dyDescent="0.25">
      <c r="A2646" t="s">
        <v>613</v>
      </c>
      <c r="B2646" t="str">
        <f>_xlfn.XLOOKUP(A2646,[1]Municipios!$B:$B,[1]Municipios!$C:$C)</f>
        <v>Norte</v>
      </c>
      <c r="C2646" t="str">
        <f>_xlfn.XLOOKUP(A2646,[1]Municipios!$B:$B,[1]Municipios!$D:$D)</f>
        <v>Norte Central</v>
      </c>
      <c r="D2646">
        <v>2025</v>
      </c>
      <c r="E2646" t="s">
        <v>234</v>
      </c>
      <c r="F2646">
        <v>0.22220000000000001</v>
      </c>
      <c r="G2646">
        <v>25.55</v>
      </c>
    </row>
    <row r="2647" spans="1:7" x14ac:dyDescent="0.25">
      <c r="A2647" t="s">
        <v>613</v>
      </c>
      <c r="B2647" t="str">
        <f>_xlfn.XLOOKUP(A2647,[1]Municipios!$B:$B,[1]Municipios!$C:$C)</f>
        <v>Norte</v>
      </c>
      <c r="C2647" t="str">
        <f>_xlfn.XLOOKUP(A2647,[1]Municipios!$B:$B,[1]Municipios!$D:$D)</f>
        <v>Norte Central</v>
      </c>
      <c r="D2647">
        <v>2025</v>
      </c>
      <c r="E2647" t="s">
        <v>235</v>
      </c>
      <c r="F2647">
        <v>0.42859999999999998</v>
      </c>
      <c r="G2647">
        <v>25.55</v>
      </c>
    </row>
    <row r="2648" spans="1:7" x14ac:dyDescent="0.25">
      <c r="A2648" t="s">
        <v>613</v>
      </c>
      <c r="B2648" t="str">
        <f>_xlfn.XLOOKUP(A2648,[1]Municipios!$B:$B,[1]Municipios!$C:$C)</f>
        <v>Norte</v>
      </c>
      <c r="C2648" t="str">
        <f>_xlfn.XLOOKUP(A2648,[1]Municipios!$B:$B,[1]Municipios!$D:$D)</f>
        <v>Norte Central</v>
      </c>
      <c r="D2648">
        <v>2025</v>
      </c>
      <c r="E2648" t="s">
        <v>236</v>
      </c>
      <c r="F2648">
        <v>0</v>
      </c>
      <c r="G2648">
        <v>25.55</v>
      </c>
    </row>
    <row r="2649" spans="1:7" x14ac:dyDescent="0.25">
      <c r="A2649" t="s">
        <v>613</v>
      </c>
      <c r="B2649" t="str">
        <f>_xlfn.XLOOKUP(A2649,[1]Municipios!$B:$B,[1]Municipios!$C:$C)</f>
        <v>Norte</v>
      </c>
      <c r="C2649" t="str">
        <f>_xlfn.XLOOKUP(A2649,[1]Municipios!$B:$B,[1]Municipios!$D:$D)</f>
        <v>Norte Central</v>
      </c>
      <c r="D2649">
        <v>2025</v>
      </c>
      <c r="E2649" t="s">
        <v>237</v>
      </c>
      <c r="F2649">
        <v>0</v>
      </c>
      <c r="G2649">
        <v>25.55</v>
      </c>
    </row>
    <row r="2650" spans="1:7" x14ac:dyDescent="0.25">
      <c r="A2650" t="s">
        <v>614</v>
      </c>
      <c r="B2650" t="str">
        <f>_xlfn.XLOOKUP(A2650,[1]Municipios!$B:$B,[1]Municipios!$C:$C)</f>
        <v>Noroeste</v>
      </c>
      <c r="C2650" t="str">
        <f>_xlfn.XLOOKUP(A2650,[1]Municipios!$B:$B,[1]Municipios!$D:$D)</f>
        <v>Costa Noroeste</v>
      </c>
      <c r="D2650">
        <v>2025</v>
      </c>
      <c r="E2650" t="s">
        <v>231</v>
      </c>
      <c r="F2650">
        <v>0.22219999999999998</v>
      </c>
      <c r="G2650">
        <v>19</v>
      </c>
    </row>
    <row r="2651" spans="1:7" x14ac:dyDescent="0.25">
      <c r="A2651" t="s">
        <v>614</v>
      </c>
      <c r="B2651" t="str">
        <f>_xlfn.XLOOKUP(A2651,[1]Municipios!$B:$B,[1]Municipios!$C:$C)</f>
        <v>Noroeste</v>
      </c>
      <c r="C2651" t="str">
        <f>_xlfn.XLOOKUP(A2651,[1]Municipios!$B:$B,[1]Municipios!$D:$D)</f>
        <v>Costa Noroeste</v>
      </c>
      <c r="D2651">
        <v>2025</v>
      </c>
      <c r="E2651" t="s">
        <v>232</v>
      </c>
      <c r="F2651">
        <v>0.30760000000000004</v>
      </c>
      <c r="G2651">
        <v>19</v>
      </c>
    </row>
    <row r="2652" spans="1:7" x14ac:dyDescent="0.25">
      <c r="A2652" t="s">
        <v>614</v>
      </c>
      <c r="B2652" t="str">
        <f>_xlfn.XLOOKUP(A2652,[1]Municipios!$B:$B,[1]Municipios!$C:$C)</f>
        <v>Noroeste</v>
      </c>
      <c r="C2652" t="str">
        <f>_xlfn.XLOOKUP(A2652,[1]Municipios!$B:$B,[1]Municipios!$D:$D)</f>
        <v>Costa Noroeste</v>
      </c>
      <c r="D2652">
        <v>2025</v>
      </c>
      <c r="E2652" t="s">
        <v>233</v>
      </c>
      <c r="F2652">
        <v>0.375</v>
      </c>
      <c r="G2652">
        <v>19</v>
      </c>
    </row>
    <row r="2653" spans="1:7" x14ac:dyDescent="0.25">
      <c r="A2653" t="s">
        <v>614</v>
      </c>
      <c r="B2653" t="str">
        <f>_xlfn.XLOOKUP(A2653,[1]Municipios!$B:$B,[1]Municipios!$C:$C)</f>
        <v>Noroeste</v>
      </c>
      <c r="C2653" t="str">
        <f>_xlfn.XLOOKUP(A2653,[1]Municipios!$B:$B,[1]Municipios!$D:$D)</f>
        <v>Costa Noroeste</v>
      </c>
      <c r="D2653">
        <v>2025</v>
      </c>
      <c r="E2653" t="s">
        <v>215</v>
      </c>
      <c r="F2653">
        <v>0</v>
      </c>
      <c r="G2653">
        <v>19</v>
      </c>
    </row>
    <row r="2654" spans="1:7" x14ac:dyDescent="0.25">
      <c r="A2654" t="s">
        <v>614</v>
      </c>
      <c r="B2654" t="str">
        <f>_xlfn.XLOOKUP(A2654,[1]Municipios!$B:$B,[1]Municipios!$C:$C)</f>
        <v>Noroeste</v>
      </c>
      <c r="C2654" t="str">
        <f>_xlfn.XLOOKUP(A2654,[1]Municipios!$B:$B,[1]Municipios!$D:$D)</f>
        <v>Costa Noroeste</v>
      </c>
      <c r="D2654">
        <v>2025</v>
      </c>
      <c r="E2654" t="s">
        <v>234</v>
      </c>
      <c r="F2654">
        <v>0.1111</v>
      </c>
      <c r="G2654">
        <v>19</v>
      </c>
    </row>
    <row r="2655" spans="1:7" x14ac:dyDescent="0.25">
      <c r="A2655" t="s">
        <v>614</v>
      </c>
      <c r="B2655" t="str">
        <f>_xlfn.XLOOKUP(A2655,[1]Municipios!$B:$B,[1]Municipios!$C:$C)</f>
        <v>Noroeste</v>
      </c>
      <c r="C2655" t="str">
        <f>_xlfn.XLOOKUP(A2655,[1]Municipios!$B:$B,[1]Municipios!$D:$D)</f>
        <v>Costa Noroeste</v>
      </c>
      <c r="D2655">
        <v>2025</v>
      </c>
      <c r="E2655" t="s">
        <v>235</v>
      </c>
      <c r="F2655">
        <v>0.1429</v>
      </c>
      <c r="G2655">
        <v>19</v>
      </c>
    </row>
    <row r="2656" spans="1:7" x14ac:dyDescent="0.25">
      <c r="A2656" t="s">
        <v>614</v>
      </c>
      <c r="B2656" t="str">
        <f>_xlfn.XLOOKUP(A2656,[1]Municipios!$B:$B,[1]Municipios!$C:$C)</f>
        <v>Noroeste</v>
      </c>
      <c r="C2656" t="str">
        <f>_xlfn.XLOOKUP(A2656,[1]Municipios!$B:$B,[1]Municipios!$D:$D)</f>
        <v>Costa Noroeste</v>
      </c>
      <c r="D2656">
        <v>2025</v>
      </c>
      <c r="E2656" t="s">
        <v>236</v>
      </c>
      <c r="F2656">
        <v>0</v>
      </c>
      <c r="G2656">
        <v>19</v>
      </c>
    </row>
    <row r="2657" spans="1:7" x14ac:dyDescent="0.25">
      <c r="A2657" t="s">
        <v>614</v>
      </c>
      <c r="B2657" t="str">
        <f>_xlfn.XLOOKUP(A2657,[1]Municipios!$B:$B,[1]Municipios!$C:$C)</f>
        <v>Noroeste</v>
      </c>
      <c r="C2657" t="str">
        <f>_xlfn.XLOOKUP(A2657,[1]Municipios!$B:$B,[1]Municipios!$D:$D)</f>
        <v>Costa Noroeste</v>
      </c>
      <c r="D2657">
        <v>2025</v>
      </c>
      <c r="E2657" t="s">
        <v>237</v>
      </c>
      <c r="F2657">
        <v>0.5</v>
      </c>
      <c r="G2657">
        <v>19</v>
      </c>
    </row>
    <row r="2658" spans="1:7" x14ac:dyDescent="0.25">
      <c r="A2658" t="s">
        <v>462</v>
      </c>
      <c r="B2658" t="str">
        <f>_xlfn.XLOOKUP(A2658,[1]Municipios!$B:$B,[1]Municipios!$C:$C)</f>
        <v>Oeste</v>
      </c>
      <c r="C2658" t="str">
        <f>_xlfn.XLOOKUP(A2658,[1]Municipios!$B:$B,[1]Municipios!$D:$D)</f>
        <v>Oeste Integrado</v>
      </c>
      <c r="D2658">
        <v>2025</v>
      </c>
      <c r="E2658" t="s">
        <v>231</v>
      </c>
      <c r="F2658">
        <v>0.55559999999999998</v>
      </c>
      <c r="G2658">
        <v>78.260000000000005</v>
      </c>
    </row>
    <row r="2659" spans="1:7" x14ac:dyDescent="0.25">
      <c r="A2659" t="s">
        <v>462</v>
      </c>
      <c r="B2659" t="str">
        <f>_xlfn.XLOOKUP(A2659,[1]Municipios!$B:$B,[1]Municipios!$C:$C)</f>
        <v>Oeste</v>
      </c>
      <c r="C2659" t="str">
        <f>_xlfn.XLOOKUP(A2659,[1]Municipios!$B:$B,[1]Municipios!$D:$D)</f>
        <v>Oeste Integrado</v>
      </c>
      <c r="D2659">
        <v>2025</v>
      </c>
      <c r="E2659" t="s">
        <v>232</v>
      </c>
      <c r="F2659">
        <v>0.92310000000000003</v>
      </c>
      <c r="G2659">
        <v>78.260000000000005</v>
      </c>
    </row>
    <row r="2660" spans="1:7" x14ac:dyDescent="0.25">
      <c r="A2660" t="s">
        <v>462</v>
      </c>
      <c r="B2660" t="str">
        <f>_xlfn.XLOOKUP(A2660,[1]Municipios!$B:$B,[1]Municipios!$C:$C)</f>
        <v>Oeste</v>
      </c>
      <c r="C2660" t="str">
        <f>_xlfn.XLOOKUP(A2660,[1]Municipios!$B:$B,[1]Municipios!$D:$D)</f>
        <v>Oeste Integrado</v>
      </c>
      <c r="D2660">
        <v>2025</v>
      </c>
      <c r="E2660" t="s">
        <v>233</v>
      </c>
      <c r="F2660">
        <v>0.75</v>
      </c>
      <c r="G2660">
        <v>78.260000000000005</v>
      </c>
    </row>
    <row r="2661" spans="1:7" x14ac:dyDescent="0.25">
      <c r="A2661" t="s">
        <v>462</v>
      </c>
      <c r="B2661" t="str">
        <f>_xlfn.XLOOKUP(A2661,[1]Municipios!$B:$B,[1]Municipios!$C:$C)</f>
        <v>Oeste</v>
      </c>
      <c r="C2661" t="str">
        <f>_xlfn.XLOOKUP(A2661,[1]Municipios!$B:$B,[1]Municipios!$D:$D)</f>
        <v>Oeste Integrado</v>
      </c>
      <c r="D2661">
        <v>2025</v>
      </c>
      <c r="E2661" t="s">
        <v>215</v>
      </c>
      <c r="F2661">
        <v>1</v>
      </c>
      <c r="G2661">
        <v>78.260000000000005</v>
      </c>
    </row>
    <row r="2662" spans="1:7" x14ac:dyDescent="0.25">
      <c r="A2662" t="s">
        <v>462</v>
      </c>
      <c r="B2662" t="str">
        <f>_xlfn.XLOOKUP(A2662,[1]Municipios!$B:$B,[1]Municipios!$C:$C)</f>
        <v>Oeste</v>
      </c>
      <c r="C2662" t="str">
        <f>_xlfn.XLOOKUP(A2662,[1]Municipios!$B:$B,[1]Municipios!$D:$D)</f>
        <v>Oeste Integrado</v>
      </c>
      <c r="D2662">
        <v>2025</v>
      </c>
      <c r="E2662" t="s">
        <v>234</v>
      </c>
      <c r="F2662">
        <v>0.77780000000000005</v>
      </c>
      <c r="G2662">
        <v>78.260000000000005</v>
      </c>
    </row>
    <row r="2663" spans="1:7" x14ac:dyDescent="0.25">
      <c r="A2663" t="s">
        <v>462</v>
      </c>
      <c r="B2663" t="str">
        <f>_xlfn.XLOOKUP(A2663,[1]Municipios!$B:$B,[1]Municipios!$C:$C)</f>
        <v>Oeste</v>
      </c>
      <c r="C2663" t="str">
        <f>_xlfn.XLOOKUP(A2663,[1]Municipios!$B:$B,[1]Municipios!$D:$D)</f>
        <v>Oeste Integrado</v>
      </c>
      <c r="D2663">
        <v>2025</v>
      </c>
      <c r="E2663" t="s">
        <v>235</v>
      </c>
      <c r="F2663">
        <v>1</v>
      </c>
      <c r="G2663">
        <v>78.260000000000005</v>
      </c>
    </row>
    <row r="2664" spans="1:7" x14ac:dyDescent="0.25">
      <c r="A2664" t="s">
        <v>462</v>
      </c>
      <c r="B2664" t="str">
        <f>_xlfn.XLOOKUP(A2664,[1]Municipios!$B:$B,[1]Municipios!$C:$C)</f>
        <v>Oeste</v>
      </c>
      <c r="C2664" t="str">
        <f>_xlfn.XLOOKUP(A2664,[1]Municipios!$B:$B,[1]Municipios!$D:$D)</f>
        <v>Oeste Integrado</v>
      </c>
      <c r="D2664">
        <v>2025</v>
      </c>
      <c r="E2664" t="s">
        <v>236</v>
      </c>
      <c r="F2664">
        <v>0.15390000000000001</v>
      </c>
      <c r="G2664">
        <v>78.260000000000005</v>
      </c>
    </row>
    <row r="2665" spans="1:7" x14ac:dyDescent="0.25">
      <c r="A2665" t="s">
        <v>462</v>
      </c>
      <c r="B2665" t="str">
        <f>_xlfn.XLOOKUP(A2665,[1]Municipios!$B:$B,[1]Municipios!$C:$C)</f>
        <v>Oeste</v>
      </c>
      <c r="C2665" t="str">
        <f>_xlfn.XLOOKUP(A2665,[1]Municipios!$B:$B,[1]Municipios!$D:$D)</f>
        <v>Oeste Integrado</v>
      </c>
      <c r="D2665">
        <v>2025</v>
      </c>
      <c r="E2665" t="s">
        <v>237</v>
      </c>
      <c r="F2665">
        <v>1</v>
      </c>
      <c r="G2665">
        <v>78.260000000000005</v>
      </c>
    </row>
    <row r="2666" spans="1:7" x14ac:dyDescent="0.25">
      <c r="A2666" t="s">
        <v>463</v>
      </c>
      <c r="B2666" t="str">
        <f>_xlfn.XLOOKUP(A2666,[1]Municipios!$B:$B,[1]Municipios!$C:$C)</f>
        <v>Oeste</v>
      </c>
      <c r="C2666" t="str">
        <f>_xlfn.XLOOKUP(A2666,[1]Municipios!$B:$B,[1]Municipios!$D:$D)</f>
        <v>Oeste Integrado</v>
      </c>
      <c r="D2666">
        <v>2025</v>
      </c>
      <c r="E2666" t="s">
        <v>231</v>
      </c>
      <c r="F2666">
        <v>0.77779999999999994</v>
      </c>
      <c r="G2666">
        <v>81.290000000000006</v>
      </c>
    </row>
    <row r="2667" spans="1:7" x14ac:dyDescent="0.25">
      <c r="A2667" t="s">
        <v>463</v>
      </c>
      <c r="B2667" t="str">
        <f>_xlfn.XLOOKUP(A2667,[1]Municipios!$B:$B,[1]Municipios!$C:$C)</f>
        <v>Oeste</v>
      </c>
      <c r="C2667" t="str">
        <f>_xlfn.XLOOKUP(A2667,[1]Municipios!$B:$B,[1]Municipios!$D:$D)</f>
        <v>Oeste Integrado</v>
      </c>
      <c r="D2667">
        <v>2025</v>
      </c>
      <c r="E2667" t="s">
        <v>232</v>
      </c>
      <c r="F2667">
        <v>0.84609999999999996</v>
      </c>
      <c r="G2667">
        <v>81.290000000000006</v>
      </c>
    </row>
    <row r="2668" spans="1:7" x14ac:dyDescent="0.25">
      <c r="A2668" t="s">
        <v>463</v>
      </c>
      <c r="B2668" t="str">
        <f>_xlfn.XLOOKUP(A2668,[1]Municipios!$B:$B,[1]Municipios!$C:$C)</f>
        <v>Oeste</v>
      </c>
      <c r="C2668" t="str">
        <f>_xlfn.XLOOKUP(A2668,[1]Municipios!$B:$B,[1]Municipios!$D:$D)</f>
        <v>Oeste Integrado</v>
      </c>
      <c r="D2668">
        <v>2025</v>
      </c>
      <c r="E2668" t="s">
        <v>233</v>
      </c>
      <c r="F2668">
        <v>0.875</v>
      </c>
      <c r="G2668">
        <v>81.290000000000006</v>
      </c>
    </row>
    <row r="2669" spans="1:7" x14ac:dyDescent="0.25">
      <c r="A2669" t="s">
        <v>463</v>
      </c>
      <c r="B2669" t="str">
        <f>_xlfn.XLOOKUP(A2669,[1]Municipios!$B:$B,[1]Municipios!$C:$C)</f>
        <v>Oeste</v>
      </c>
      <c r="C2669" t="str">
        <f>_xlfn.XLOOKUP(A2669,[1]Municipios!$B:$B,[1]Municipios!$D:$D)</f>
        <v>Oeste Integrado</v>
      </c>
      <c r="D2669">
        <v>2025</v>
      </c>
      <c r="E2669" t="s">
        <v>215</v>
      </c>
      <c r="F2669">
        <v>0.85</v>
      </c>
      <c r="G2669">
        <v>81.290000000000006</v>
      </c>
    </row>
    <row r="2670" spans="1:7" x14ac:dyDescent="0.25">
      <c r="A2670" t="s">
        <v>463</v>
      </c>
      <c r="B2670" t="str">
        <f>_xlfn.XLOOKUP(A2670,[1]Municipios!$B:$B,[1]Municipios!$C:$C)</f>
        <v>Oeste</v>
      </c>
      <c r="C2670" t="str">
        <f>_xlfn.XLOOKUP(A2670,[1]Municipios!$B:$B,[1]Municipios!$D:$D)</f>
        <v>Oeste Integrado</v>
      </c>
      <c r="D2670">
        <v>2025</v>
      </c>
      <c r="E2670" t="s">
        <v>234</v>
      </c>
      <c r="F2670">
        <v>0.77780000000000005</v>
      </c>
      <c r="G2670">
        <v>81.290000000000006</v>
      </c>
    </row>
    <row r="2671" spans="1:7" x14ac:dyDescent="0.25">
      <c r="A2671" t="s">
        <v>463</v>
      </c>
      <c r="B2671" t="str">
        <f>_xlfn.XLOOKUP(A2671,[1]Municipios!$B:$B,[1]Municipios!$C:$C)</f>
        <v>Oeste</v>
      </c>
      <c r="C2671" t="str">
        <f>_xlfn.XLOOKUP(A2671,[1]Municipios!$B:$B,[1]Municipios!$D:$D)</f>
        <v>Oeste Integrado</v>
      </c>
      <c r="D2671">
        <v>2025</v>
      </c>
      <c r="E2671" t="s">
        <v>235</v>
      </c>
      <c r="F2671">
        <v>1</v>
      </c>
      <c r="G2671">
        <v>81.290000000000006</v>
      </c>
    </row>
    <row r="2672" spans="1:7" x14ac:dyDescent="0.25">
      <c r="A2672" t="s">
        <v>463</v>
      </c>
      <c r="B2672" t="str">
        <f>_xlfn.XLOOKUP(A2672,[1]Municipios!$B:$B,[1]Municipios!$C:$C)</f>
        <v>Oeste</v>
      </c>
      <c r="C2672" t="str">
        <f>_xlfn.XLOOKUP(A2672,[1]Municipios!$B:$B,[1]Municipios!$D:$D)</f>
        <v>Oeste Integrado</v>
      </c>
      <c r="D2672">
        <v>2025</v>
      </c>
      <c r="E2672" t="s">
        <v>236</v>
      </c>
      <c r="F2672">
        <v>0.38480000000000003</v>
      </c>
      <c r="G2672">
        <v>81.290000000000006</v>
      </c>
    </row>
    <row r="2673" spans="1:7" x14ac:dyDescent="0.25">
      <c r="A2673" t="s">
        <v>463</v>
      </c>
      <c r="B2673" t="str">
        <f>_xlfn.XLOOKUP(A2673,[1]Municipios!$B:$B,[1]Municipios!$C:$C)</f>
        <v>Oeste</v>
      </c>
      <c r="C2673" t="str">
        <f>_xlfn.XLOOKUP(A2673,[1]Municipios!$B:$B,[1]Municipios!$D:$D)</f>
        <v>Oeste Integrado</v>
      </c>
      <c r="D2673">
        <v>2025</v>
      </c>
      <c r="E2673" t="s">
        <v>237</v>
      </c>
      <c r="F2673">
        <v>1</v>
      </c>
      <c r="G2673">
        <v>81.290000000000006</v>
      </c>
    </row>
    <row r="2674" spans="1:7" x14ac:dyDescent="0.25">
      <c r="A2674" t="s">
        <v>357</v>
      </c>
      <c r="B2674" t="str">
        <f>_xlfn.XLOOKUP(A2674,[1]Municipios!$B:$B,[1]Municipios!$C:$C)</f>
        <v>Norte</v>
      </c>
      <c r="C2674" t="str">
        <f>_xlfn.XLOOKUP(A2674,[1]Municipios!$B:$B,[1]Municipios!$D:$D)</f>
        <v>Norte Pioneiro</v>
      </c>
      <c r="D2674">
        <v>2025</v>
      </c>
      <c r="E2674" t="s">
        <v>231</v>
      </c>
      <c r="F2674">
        <v>0.66669999999999996</v>
      </c>
      <c r="G2674">
        <v>84.54</v>
      </c>
    </row>
    <row r="2675" spans="1:7" x14ac:dyDescent="0.25">
      <c r="A2675" t="s">
        <v>357</v>
      </c>
      <c r="B2675" t="str">
        <f>_xlfn.XLOOKUP(A2675,[1]Municipios!$B:$B,[1]Municipios!$C:$C)</f>
        <v>Norte</v>
      </c>
      <c r="C2675" t="str">
        <f>_xlfn.XLOOKUP(A2675,[1]Municipios!$B:$B,[1]Municipios!$D:$D)</f>
        <v>Norte Pioneiro</v>
      </c>
      <c r="D2675">
        <v>2025</v>
      </c>
      <c r="E2675" t="s">
        <v>232</v>
      </c>
      <c r="F2675">
        <v>1</v>
      </c>
      <c r="G2675">
        <v>84.54</v>
      </c>
    </row>
    <row r="2676" spans="1:7" x14ac:dyDescent="0.25">
      <c r="A2676" t="s">
        <v>357</v>
      </c>
      <c r="B2676" t="str">
        <f>_xlfn.XLOOKUP(A2676,[1]Municipios!$B:$B,[1]Municipios!$C:$C)</f>
        <v>Norte</v>
      </c>
      <c r="C2676" t="str">
        <f>_xlfn.XLOOKUP(A2676,[1]Municipios!$B:$B,[1]Municipios!$D:$D)</f>
        <v>Norte Pioneiro</v>
      </c>
      <c r="D2676">
        <v>2025</v>
      </c>
      <c r="E2676" t="s">
        <v>233</v>
      </c>
      <c r="F2676">
        <v>0.875</v>
      </c>
      <c r="G2676">
        <v>84.54</v>
      </c>
    </row>
    <row r="2677" spans="1:7" x14ac:dyDescent="0.25">
      <c r="A2677" t="s">
        <v>357</v>
      </c>
      <c r="B2677" t="str">
        <f>_xlfn.XLOOKUP(A2677,[1]Municipios!$B:$B,[1]Municipios!$C:$C)</f>
        <v>Norte</v>
      </c>
      <c r="C2677" t="str">
        <f>_xlfn.XLOOKUP(A2677,[1]Municipios!$B:$B,[1]Municipios!$D:$D)</f>
        <v>Norte Pioneiro</v>
      </c>
      <c r="D2677">
        <v>2025</v>
      </c>
      <c r="E2677" t="s">
        <v>215</v>
      </c>
      <c r="F2677">
        <v>0.95000000000000007</v>
      </c>
      <c r="G2677">
        <v>84.54</v>
      </c>
    </row>
    <row r="2678" spans="1:7" x14ac:dyDescent="0.25">
      <c r="A2678" t="s">
        <v>357</v>
      </c>
      <c r="B2678" t="str">
        <f>_xlfn.XLOOKUP(A2678,[1]Municipios!$B:$B,[1]Municipios!$C:$C)</f>
        <v>Norte</v>
      </c>
      <c r="C2678" t="str">
        <f>_xlfn.XLOOKUP(A2678,[1]Municipios!$B:$B,[1]Municipios!$D:$D)</f>
        <v>Norte Pioneiro</v>
      </c>
      <c r="D2678">
        <v>2025</v>
      </c>
      <c r="E2678" t="s">
        <v>234</v>
      </c>
      <c r="F2678">
        <v>0.77780000000000005</v>
      </c>
      <c r="G2678">
        <v>84.54</v>
      </c>
    </row>
    <row r="2679" spans="1:7" x14ac:dyDescent="0.25">
      <c r="A2679" t="s">
        <v>357</v>
      </c>
      <c r="B2679" t="str">
        <f>_xlfn.XLOOKUP(A2679,[1]Municipios!$B:$B,[1]Municipios!$C:$C)</f>
        <v>Norte</v>
      </c>
      <c r="C2679" t="str">
        <f>_xlfn.XLOOKUP(A2679,[1]Municipios!$B:$B,[1]Municipios!$D:$D)</f>
        <v>Norte Pioneiro</v>
      </c>
      <c r="D2679">
        <v>2025</v>
      </c>
      <c r="E2679" t="s">
        <v>235</v>
      </c>
      <c r="F2679">
        <v>1</v>
      </c>
      <c r="G2679">
        <v>84.54</v>
      </c>
    </row>
    <row r="2680" spans="1:7" x14ac:dyDescent="0.25">
      <c r="A2680" t="s">
        <v>357</v>
      </c>
      <c r="B2680" t="str">
        <f>_xlfn.XLOOKUP(A2680,[1]Municipios!$B:$B,[1]Municipios!$C:$C)</f>
        <v>Norte</v>
      </c>
      <c r="C2680" t="str">
        <f>_xlfn.XLOOKUP(A2680,[1]Municipios!$B:$B,[1]Municipios!$D:$D)</f>
        <v>Norte Pioneiro</v>
      </c>
      <c r="D2680">
        <v>2025</v>
      </c>
      <c r="E2680" t="s">
        <v>236</v>
      </c>
      <c r="F2680">
        <v>0.46159999999999995</v>
      </c>
      <c r="G2680">
        <v>84.54</v>
      </c>
    </row>
    <row r="2681" spans="1:7" x14ac:dyDescent="0.25">
      <c r="A2681" t="s">
        <v>357</v>
      </c>
      <c r="B2681" t="str">
        <f>_xlfn.XLOOKUP(A2681,[1]Municipios!$B:$B,[1]Municipios!$C:$C)</f>
        <v>Norte</v>
      </c>
      <c r="C2681" t="str">
        <f>_xlfn.XLOOKUP(A2681,[1]Municipios!$B:$B,[1]Municipios!$D:$D)</f>
        <v>Norte Pioneiro</v>
      </c>
      <c r="D2681">
        <v>2025</v>
      </c>
      <c r="E2681" t="s">
        <v>237</v>
      </c>
      <c r="F2681">
        <v>1</v>
      </c>
      <c r="G2681">
        <v>84.54</v>
      </c>
    </row>
    <row r="2682" spans="1:7" x14ac:dyDescent="0.25">
      <c r="A2682" t="s">
        <v>358</v>
      </c>
      <c r="B2682" t="str">
        <f>_xlfn.XLOOKUP(A2682,[1]Municipios!$B:$B,[1]Municipios!$C:$C)</f>
        <v>Norte</v>
      </c>
      <c r="C2682" t="str">
        <f>_xlfn.XLOOKUP(A2682,[1]Municipios!$B:$B,[1]Municipios!$D:$D)</f>
        <v>Norte Pioneiro</v>
      </c>
      <c r="D2682">
        <v>2025</v>
      </c>
      <c r="E2682" t="s">
        <v>231</v>
      </c>
      <c r="F2682">
        <v>0.77769999999999995</v>
      </c>
      <c r="G2682">
        <v>81.260000000000005</v>
      </c>
    </row>
    <row r="2683" spans="1:7" x14ac:dyDescent="0.25">
      <c r="A2683" t="s">
        <v>358</v>
      </c>
      <c r="B2683" t="str">
        <f>_xlfn.XLOOKUP(A2683,[1]Municipios!$B:$B,[1]Municipios!$C:$C)</f>
        <v>Norte</v>
      </c>
      <c r="C2683" t="str">
        <f>_xlfn.XLOOKUP(A2683,[1]Municipios!$B:$B,[1]Municipios!$D:$D)</f>
        <v>Norte Pioneiro</v>
      </c>
      <c r="D2683">
        <v>2025</v>
      </c>
      <c r="E2683" t="s">
        <v>232</v>
      </c>
      <c r="F2683">
        <v>0.84609999999999996</v>
      </c>
      <c r="G2683">
        <v>81.260000000000005</v>
      </c>
    </row>
    <row r="2684" spans="1:7" x14ac:dyDescent="0.25">
      <c r="A2684" t="s">
        <v>358</v>
      </c>
      <c r="B2684" t="str">
        <f>_xlfn.XLOOKUP(A2684,[1]Municipios!$B:$B,[1]Municipios!$C:$C)</f>
        <v>Norte</v>
      </c>
      <c r="C2684" t="str">
        <f>_xlfn.XLOOKUP(A2684,[1]Municipios!$B:$B,[1]Municipios!$D:$D)</f>
        <v>Norte Pioneiro</v>
      </c>
      <c r="D2684">
        <v>2025</v>
      </c>
      <c r="E2684" t="s">
        <v>233</v>
      </c>
      <c r="F2684">
        <v>0.75</v>
      </c>
      <c r="G2684">
        <v>81.260000000000005</v>
      </c>
    </row>
    <row r="2685" spans="1:7" x14ac:dyDescent="0.25">
      <c r="A2685" t="s">
        <v>358</v>
      </c>
      <c r="B2685" t="str">
        <f>_xlfn.XLOOKUP(A2685,[1]Municipios!$B:$B,[1]Municipios!$C:$C)</f>
        <v>Norte</v>
      </c>
      <c r="C2685" t="str">
        <f>_xlfn.XLOOKUP(A2685,[1]Municipios!$B:$B,[1]Municipios!$D:$D)</f>
        <v>Norte Pioneiro</v>
      </c>
      <c r="D2685">
        <v>2025</v>
      </c>
      <c r="E2685" t="s">
        <v>215</v>
      </c>
      <c r="F2685">
        <v>0.75</v>
      </c>
      <c r="G2685">
        <v>81.260000000000005</v>
      </c>
    </row>
    <row r="2686" spans="1:7" x14ac:dyDescent="0.25">
      <c r="A2686" t="s">
        <v>358</v>
      </c>
      <c r="B2686" t="str">
        <f>_xlfn.XLOOKUP(A2686,[1]Municipios!$B:$B,[1]Municipios!$C:$C)</f>
        <v>Norte</v>
      </c>
      <c r="C2686" t="str">
        <f>_xlfn.XLOOKUP(A2686,[1]Municipios!$B:$B,[1]Municipios!$D:$D)</f>
        <v>Norte Pioneiro</v>
      </c>
      <c r="D2686">
        <v>2025</v>
      </c>
      <c r="E2686" t="s">
        <v>234</v>
      </c>
      <c r="F2686">
        <v>0.66669999999999996</v>
      </c>
      <c r="G2686">
        <v>81.260000000000005</v>
      </c>
    </row>
    <row r="2687" spans="1:7" x14ac:dyDescent="0.25">
      <c r="A2687" t="s">
        <v>358</v>
      </c>
      <c r="B2687" t="str">
        <f>_xlfn.XLOOKUP(A2687,[1]Municipios!$B:$B,[1]Municipios!$C:$C)</f>
        <v>Norte</v>
      </c>
      <c r="C2687" t="str">
        <f>_xlfn.XLOOKUP(A2687,[1]Municipios!$B:$B,[1]Municipios!$D:$D)</f>
        <v>Norte Pioneiro</v>
      </c>
      <c r="D2687">
        <v>2025</v>
      </c>
      <c r="E2687" t="s">
        <v>235</v>
      </c>
      <c r="F2687">
        <v>1</v>
      </c>
      <c r="G2687">
        <v>81.260000000000005</v>
      </c>
    </row>
    <row r="2688" spans="1:7" x14ac:dyDescent="0.25">
      <c r="A2688" t="s">
        <v>358</v>
      </c>
      <c r="B2688" t="str">
        <f>_xlfn.XLOOKUP(A2688,[1]Municipios!$B:$B,[1]Municipios!$C:$C)</f>
        <v>Norte</v>
      </c>
      <c r="C2688" t="str">
        <f>_xlfn.XLOOKUP(A2688,[1]Municipios!$B:$B,[1]Municipios!$D:$D)</f>
        <v>Norte Pioneiro</v>
      </c>
      <c r="D2688">
        <v>2025</v>
      </c>
      <c r="E2688" t="s">
        <v>236</v>
      </c>
      <c r="F2688">
        <v>0.69229999999999992</v>
      </c>
      <c r="G2688">
        <v>81.260000000000005</v>
      </c>
    </row>
    <row r="2689" spans="1:7" x14ac:dyDescent="0.25">
      <c r="A2689" t="s">
        <v>358</v>
      </c>
      <c r="B2689" t="str">
        <f>_xlfn.XLOOKUP(A2689,[1]Municipios!$B:$B,[1]Municipios!$C:$C)</f>
        <v>Norte</v>
      </c>
      <c r="C2689" t="str">
        <f>_xlfn.XLOOKUP(A2689,[1]Municipios!$B:$B,[1]Municipios!$D:$D)</f>
        <v>Norte Pioneiro</v>
      </c>
      <c r="D2689">
        <v>2025</v>
      </c>
      <c r="E2689" t="s">
        <v>237</v>
      </c>
      <c r="F2689">
        <v>1</v>
      </c>
      <c r="G2689">
        <v>81.260000000000005</v>
      </c>
    </row>
    <row r="2690" spans="1:7" x14ac:dyDescent="0.25">
      <c r="A2690" t="s">
        <v>615</v>
      </c>
      <c r="B2690" t="str">
        <f>_xlfn.XLOOKUP(A2690,[1]Municipios!$B:$B,[1]Municipios!$C:$C)</f>
        <v>Noroeste</v>
      </c>
      <c r="C2690" t="str">
        <f>_xlfn.XLOOKUP(A2690,[1]Municipios!$B:$B,[1]Municipios!$D:$D)</f>
        <v>Costa Noroeste</v>
      </c>
      <c r="D2690">
        <v>2025</v>
      </c>
      <c r="E2690" t="s">
        <v>231</v>
      </c>
      <c r="F2690">
        <v>0.22219999999999998</v>
      </c>
      <c r="G2690">
        <v>29.91</v>
      </c>
    </row>
    <row r="2691" spans="1:7" x14ac:dyDescent="0.25">
      <c r="A2691" t="s">
        <v>615</v>
      </c>
      <c r="B2691" t="str">
        <f>_xlfn.XLOOKUP(A2691,[1]Municipios!$B:$B,[1]Municipios!$C:$C)</f>
        <v>Noroeste</v>
      </c>
      <c r="C2691" t="str">
        <f>_xlfn.XLOOKUP(A2691,[1]Municipios!$B:$B,[1]Municipios!$D:$D)</f>
        <v>Costa Noroeste</v>
      </c>
      <c r="D2691">
        <v>2025</v>
      </c>
      <c r="E2691" t="s">
        <v>232</v>
      </c>
      <c r="F2691">
        <v>0.46150000000000002</v>
      </c>
      <c r="G2691">
        <v>29.91</v>
      </c>
    </row>
    <row r="2692" spans="1:7" x14ac:dyDescent="0.25">
      <c r="A2692" t="s">
        <v>615</v>
      </c>
      <c r="B2692" t="str">
        <f>_xlfn.XLOOKUP(A2692,[1]Municipios!$B:$B,[1]Municipios!$C:$C)</f>
        <v>Noroeste</v>
      </c>
      <c r="C2692" t="str">
        <f>_xlfn.XLOOKUP(A2692,[1]Municipios!$B:$B,[1]Municipios!$D:$D)</f>
        <v>Costa Noroeste</v>
      </c>
      <c r="D2692">
        <v>2025</v>
      </c>
      <c r="E2692" t="s">
        <v>233</v>
      </c>
      <c r="F2692">
        <v>0.125</v>
      </c>
      <c r="G2692">
        <v>29.91</v>
      </c>
    </row>
    <row r="2693" spans="1:7" x14ac:dyDescent="0.25">
      <c r="A2693" t="s">
        <v>615</v>
      </c>
      <c r="B2693" t="str">
        <f>_xlfn.XLOOKUP(A2693,[1]Municipios!$B:$B,[1]Municipios!$C:$C)</f>
        <v>Noroeste</v>
      </c>
      <c r="C2693" t="str">
        <f>_xlfn.XLOOKUP(A2693,[1]Municipios!$B:$B,[1]Municipios!$D:$D)</f>
        <v>Costa Noroeste</v>
      </c>
      <c r="D2693">
        <v>2025</v>
      </c>
      <c r="E2693" t="s">
        <v>215</v>
      </c>
      <c r="F2693">
        <v>0</v>
      </c>
      <c r="G2693">
        <v>29.91</v>
      </c>
    </row>
    <row r="2694" spans="1:7" x14ac:dyDescent="0.25">
      <c r="A2694" t="s">
        <v>615</v>
      </c>
      <c r="B2694" t="str">
        <f>_xlfn.XLOOKUP(A2694,[1]Municipios!$B:$B,[1]Municipios!$C:$C)</f>
        <v>Noroeste</v>
      </c>
      <c r="C2694" t="str">
        <f>_xlfn.XLOOKUP(A2694,[1]Municipios!$B:$B,[1]Municipios!$D:$D)</f>
        <v>Costa Noroeste</v>
      </c>
      <c r="D2694">
        <v>2025</v>
      </c>
      <c r="E2694" t="s">
        <v>234</v>
      </c>
      <c r="F2694">
        <v>0.55549999999999999</v>
      </c>
      <c r="G2694">
        <v>29.91</v>
      </c>
    </row>
    <row r="2695" spans="1:7" x14ac:dyDescent="0.25">
      <c r="A2695" t="s">
        <v>615</v>
      </c>
      <c r="B2695" t="str">
        <f>_xlfn.XLOOKUP(A2695,[1]Municipios!$B:$B,[1]Municipios!$C:$C)</f>
        <v>Noroeste</v>
      </c>
      <c r="C2695" t="str">
        <f>_xlfn.XLOOKUP(A2695,[1]Municipios!$B:$B,[1]Municipios!$D:$D)</f>
        <v>Costa Noroeste</v>
      </c>
      <c r="D2695">
        <v>2025</v>
      </c>
      <c r="E2695" t="s">
        <v>235</v>
      </c>
      <c r="F2695">
        <v>0.2858</v>
      </c>
      <c r="G2695">
        <v>29.91</v>
      </c>
    </row>
    <row r="2696" spans="1:7" x14ac:dyDescent="0.25">
      <c r="A2696" t="s">
        <v>615</v>
      </c>
      <c r="B2696" t="str">
        <f>_xlfn.XLOOKUP(A2696,[1]Municipios!$B:$B,[1]Municipios!$C:$C)</f>
        <v>Noroeste</v>
      </c>
      <c r="C2696" t="str">
        <f>_xlfn.XLOOKUP(A2696,[1]Municipios!$B:$B,[1]Municipios!$D:$D)</f>
        <v>Costa Noroeste</v>
      </c>
      <c r="D2696">
        <v>2025</v>
      </c>
      <c r="E2696" t="s">
        <v>236</v>
      </c>
      <c r="F2696">
        <v>0</v>
      </c>
      <c r="G2696">
        <v>29.91</v>
      </c>
    </row>
    <row r="2697" spans="1:7" x14ac:dyDescent="0.25">
      <c r="A2697" t="s">
        <v>615</v>
      </c>
      <c r="B2697" t="str">
        <f>_xlfn.XLOOKUP(A2697,[1]Municipios!$B:$B,[1]Municipios!$C:$C)</f>
        <v>Noroeste</v>
      </c>
      <c r="C2697" t="str">
        <f>_xlfn.XLOOKUP(A2697,[1]Municipios!$B:$B,[1]Municipios!$D:$D)</f>
        <v>Costa Noroeste</v>
      </c>
      <c r="D2697">
        <v>2025</v>
      </c>
      <c r="E2697" t="s">
        <v>237</v>
      </c>
      <c r="F2697">
        <v>0.5</v>
      </c>
      <c r="G2697">
        <v>29.91</v>
      </c>
    </row>
    <row r="2698" spans="1:7" x14ac:dyDescent="0.25">
      <c r="A2698" t="s">
        <v>399</v>
      </c>
      <c r="B2698" t="str">
        <f>_xlfn.XLOOKUP(A2698,[1]Municipios!$B:$B,[1]Municipios!$C:$C)</f>
        <v>Norte</v>
      </c>
      <c r="C2698" t="str">
        <f>_xlfn.XLOOKUP(A2698,[1]Municipios!$B:$B,[1]Municipios!$D:$D)</f>
        <v>Norte Central</v>
      </c>
      <c r="D2698">
        <v>2025</v>
      </c>
      <c r="E2698" t="s">
        <v>231</v>
      </c>
      <c r="F2698">
        <v>0.66659999999999997</v>
      </c>
      <c r="G2698">
        <v>36.19</v>
      </c>
    </row>
    <row r="2699" spans="1:7" x14ac:dyDescent="0.25">
      <c r="A2699" t="s">
        <v>399</v>
      </c>
      <c r="B2699" t="str">
        <f>_xlfn.XLOOKUP(A2699,[1]Municipios!$B:$B,[1]Municipios!$C:$C)</f>
        <v>Norte</v>
      </c>
      <c r="C2699" t="str">
        <f>_xlfn.XLOOKUP(A2699,[1]Municipios!$B:$B,[1]Municipios!$D:$D)</f>
        <v>Norte Central</v>
      </c>
      <c r="D2699">
        <v>2025</v>
      </c>
      <c r="E2699" t="s">
        <v>232</v>
      </c>
      <c r="F2699">
        <v>0.61529999999999996</v>
      </c>
      <c r="G2699">
        <v>36.19</v>
      </c>
    </row>
    <row r="2700" spans="1:7" x14ac:dyDescent="0.25">
      <c r="A2700" t="s">
        <v>399</v>
      </c>
      <c r="B2700" t="str">
        <f>_xlfn.XLOOKUP(A2700,[1]Municipios!$B:$B,[1]Municipios!$C:$C)</f>
        <v>Norte</v>
      </c>
      <c r="C2700" t="str">
        <f>_xlfn.XLOOKUP(A2700,[1]Municipios!$B:$B,[1]Municipios!$D:$D)</f>
        <v>Norte Central</v>
      </c>
      <c r="D2700">
        <v>2025</v>
      </c>
      <c r="E2700" t="s">
        <v>233</v>
      </c>
      <c r="F2700">
        <v>0.375</v>
      </c>
      <c r="G2700">
        <v>36.19</v>
      </c>
    </row>
    <row r="2701" spans="1:7" x14ac:dyDescent="0.25">
      <c r="A2701" t="s">
        <v>399</v>
      </c>
      <c r="B2701" t="str">
        <f>_xlfn.XLOOKUP(A2701,[1]Municipios!$B:$B,[1]Municipios!$C:$C)</f>
        <v>Norte</v>
      </c>
      <c r="C2701" t="str">
        <f>_xlfn.XLOOKUP(A2701,[1]Municipios!$B:$B,[1]Municipios!$D:$D)</f>
        <v>Norte Central</v>
      </c>
      <c r="D2701">
        <v>2025</v>
      </c>
      <c r="E2701" t="s">
        <v>215</v>
      </c>
      <c r="F2701">
        <v>4.9999999999999996E-2</v>
      </c>
      <c r="G2701">
        <v>36.19</v>
      </c>
    </row>
    <row r="2702" spans="1:7" x14ac:dyDescent="0.25">
      <c r="A2702" t="s">
        <v>399</v>
      </c>
      <c r="B2702" t="str">
        <f>_xlfn.XLOOKUP(A2702,[1]Municipios!$B:$B,[1]Municipios!$C:$C)</f>
        <v>Norte</v>
      </c>
      <c r="C2702" t="str">
        <f>_xlfn.XLOOKUP(A2702,[1]Municipios!$B:$B,[1]Municipios!$D:$D)</f>
        <v>Norte Central</v>
      </c>
      <c r="D2702">
        <v>2025</v>
      </c>
      <c r="E2702" t="s">
        <v>234</v>
      </c>
      <c r="F2702">
        <v>0.55549999999999999</v>
      </c>
      <c r="G2702">
        <v>36.19</v>
      </c>
    </row>
    <row r="2703" spans="1:7" x14ac:dyDescent="0.25">
      <c r="A2703" t="s">
        <v>399</v>
      </c>
      <c r="B2703" t="str">
        <f>_xlfn.XLOOKUP(A2703,[1]Municipios!$B:$B,[1]Municipios!$C:$C)</f>
        <v>Norte</v>
      </c>
      <c r="C2703" t="str">
        <f>_xlfn.XLOOKUP(A2703,[1]Municipios!$B:$B,[1]Municipios!$D:$D)</f>
        <v>Norte Central</v>
      </c>
      <c r="D2703">
        <v>2025</v>
      </c>
      <c r="E2703" t="s">
        <v>235</v>
      </c>
      <c r="F2703">
        <v>0.42869999999999997</v>
      </c>
      <c r="G2703">
        <v>36.19</v>
      </c>
    </row>
    <row r="2704" spans="1:7" x14ac:dyDescent="0.25">
      <c r="A2704" t="s">
        <v>399</v>
      </c>
      <c r="B2704" t="str">
        <f>_xlfn.XLOOKUP(A2704,[1]Municipios!$B:$B,[1]Municipios!$C:$C)</f>
        <v>Norte</v>
      </c>
      <c r="C2704" t="str">
        <f>_xlfn.XLOOKUP(A2704,[1]Municipios!$B:$B,[1]Municipios!$D:$D)</f>
        <v>Norte Central</v>
      </c>
      <c r="D2704">
        <v>2025</v>
      </c>
      <c r="E2704" t="s">
        <v>236</v>
      </c>
      <c r="F2704">
        <v>0</v>
      </c>
      <c r="G2704">
        <v>36.19</v>
      </c>
    </row>
    <row r="2705" spans="1:7" x14ac:dyDescent="0.25">
      <c r="A2705" t="s">
        <v>399</v>
      </c>
      <c r="B2705" t="str">
        <f>_xlfn.XLOOKUP(A2705,[1]Municipios!$B:$B,[1]Municipios!$C:$C)</f>
        <v>Norte</v>
      </c>
      <c r="C2705" t="str">
        <f>_xlfn.XLOOKUP(A2705,[1]Municipios!$B:$B,[1]Municipios!$D:$D)</f>
        <v>Norte Central</v>
      </c>
      <c r="D2705">
        <v>2025</v>
      </c>
      <c r="E2705" t="s">
        <v>237</v>
      </c>
      <c r="F2705">
        <v>0</v>
      </c>
      <c r="G2705">
        <v>36.19</v>
      </c>
    </row>
    <row r="2706" spans="1:7" x14ac:dyDescent="0.25">
      <c r="A2706" t="s">
        <v>395</v>
      </c>
      <c r="B2706" t="str">
        <f>_xlfn.XLOOKUP(A2706,[1]Municipios!$B:$B,[1]Municipios!$C:$C)</f>
        <v>Sul</v>
      </c>
      <c r="C2706" t="str">
        <f>_xlfn.XLOOKUP(A2706,[1]Municipios!$B:$B,[1]Municipios!$D:$D)</f>
        <v>Sudoeste La Frontera</v>
      </c>
      <c r="D2706">
        <v>2025</v>
      </c>
      <c r="E2706" t="s">
        <v>231</v>
      </c>
      <c r="F2706">
        <v>0.77779999999999994</v>
      </c>
      <c r="G2706">
        <v>84.28</v>
      </c>
    </row>
    <row r="2707" spans="1:7" x14ac:dyDescent="0.25">
      <c r="A2707" t="s">
        <v>395</v>
      </c>
      <c r="B2707" t="str">
        <f>_xlfn.XLOOKUP(A2707,[1]Municipios!$B:$B,[1]Municipios!$C:$C)</f>
        <v>Sul</v>
      </c>
      <c r="C2707" t="str">
        <f>_xlfn.XLOOKUP(A2707,[1]Municipios!$B:$B,[1]Municipios!$D:$D)</f>
        <v>Sudoeste La Frontera</v>
      </c>
      <c r="D2707">
        <v>2025</v>
      </c>
      <c r="E2707" t="s">
        <v>232</v>
      </c>
      <c r="F2707">
        <v>1</v>
      </c>
      <c r="G2707">
        <v>84.28</v>
      </c>
    </row>
    <row r="2708" spans="1:7" x14ac:dyDescent="0.25">
      <c r="A2708" t="s">
        <v>395</v>
      </c>
      <c r="B2708" t="str">
        <f>_xlfn.XLOOKUP(A2708,[1]Municipios!$B:$B,[1]Municipios!$C:$C)</f>
        <v>Sul</v>
      </c>
      <c r="C2708" t="str">
        <f>_xlfn.XLOOKUP(A2708,[1]Municipios!$B:$B,[1]Municipios!$D:$D)</f>
        <v>Sudoeste La Frontera</v>
      </c>
      <c r="D2708">
        <v>2025</v>
      </c>
      <c r="E2708" t="s">
        <v>233</v>
      </c>
      <c r="F2708">
        <v>1</v>
      </c>
      <c r="G2708">
        <v>84.28</v>
      </c>
    </row>
    <row r="2709" spans="1:7" x14ac:dyDescent="0.25">
      <c r="A2709" t="s">
        <v>395</v>
      </c>
      <c r="B2709" t="str">
        <f>_xlfn.XLOOKUP(A2709,[1]Municipios!$B:$B,[1]Municipios!$C:$C)</f>
        <v>Sul</v>
      </c>
      <c r="C2709" t="str">
        <f>_xlfn.XLOOKUP(A2709,[1]Municipios!$B:$B,[1]Municipios!$D:$D)</f>
        <v>Sudoeste La Frontera</v>
      </c>
      <c r="D2709">
        <v>2025</v>
      </c>
      <c r="E2709" t="s">
        <v>215</v>
      </c>
      <c r="F2709">
        <v>1</v>
      </c>
      <c r="G2709">
        <v>84.28</v>
      </c>
    </row>
    <row r="2710" spans="1:7" x14ac:dyDescent="0.25">
      <c r="A2710" t="s">
        <v>395</v>
      </c>
      <c r="B2710" t="str">
        <f>_xlfn.XLOOKUP(A2710,[1]Municipios!$B:$B,[1]Municipios!$C:$C)</f>
        <v>Sul</v>
      </c>
      <c r="C2710" t="str">
        <f>_xlfn.XLOOKUP(A2710,[1]Municipios!$B:$B,[1]Municipios!$D:$D)</f>
        <v>Sudoeste La Frontera</v>
      </c>
      <c r="D2710">
        <v>2025</v>
      </c>
      <c r="E2710" t="s">
        <v>234</v>
      </c>
      <c r="F2710">
        <v>0.66669999999999996</v>
      </c>
      <c r="G2710">
        <v>84.28</v>
      </c>
    </row>
    <row r="2711" spans="1:7" x14ac:dyDescent="0.25">
      <c r="A2711" t="s">
        <v>395</v>
      </c>
      <c r="B2711" t="str">
        <f>_xlfn.XLOOKUP(A2711,[1]Municipios!$B:$B,[1]Municipios!$C:$C)</f>
        <v>Sul</v>
      </c>
      <c r="C2711" t="str">
        <f>_xlfn.XLOOKUP(A2711,[1]Municipios!$B:$B,[1]Municipios!$D:$D)</f>
        <v>Sudoeste La Frontera</v>
      </c>
      <c r="D2711">
        <v>2025</v>
      </c>
      <c r="E2711" t="s">
        <v>235</v>
      </c>
      <c r="F2711">
        <v>1</v>
      </c>
      <c r="G2711">
        <v>84.28</v>
      </c>
    </row>
    <row r="2712" spans="1:7" x14ac:dyDescent="0.25">
      <c r="A2712" t="s">
        <v>395</v>
      </c>
      <c r="B2712" t="str">
        <f>_xlfn.XLOOKUP(A2712,[1]Municipios!$B:$B,[1]Municipios!$C:$C)</f>
        <v>Sul</v>
      </c>
      <c r="C2712" t="str">
        <f>_xlfn.XLOOKUP(A2712,[1]Municipios!$B:$B,[1]Municipios!$D:$D)</f>
        <v>Sudoeste La Frontera</v>
      </c>
      <c r="D2712">
        <v>2025</v>
      </c>
      <c r="E2712" t="s">
        <v>236</v>
      </c>
      <c r="F2712">
        <v>0.38469999999999999</v>
      </c>
      <c r="G2712">
        <v>84.28</v>
      </c>
    </row>
    <row r="2713" spans="1:7" x14ac:dyDescent="0.25">
      <c r="A2713" t="s">
        <v>395</v>
      </c>
      <c r="B2713" t="str">
        <f>_xlfn.XLOOKUP(A2713,[1]Municipios!$B:$B,[1]Municipios!$C:$C)</f>
        <v>Sul</v>
      </c>
      <c r="C2713" t="str">
        <f>_xlfn.XLOOKUP(A2713,[1]Municipios!$B:$B,[1]Municipios!$D:$D)</f>
        <v>Sudoeste La Frontera</v>
      </c>
      <c r="D2713">
        <v>2025</v>
      </c>
      <c r="E2713" t="s">
        <v>237</v>
      </c>
      <c r="F2713">
        <v>1</v>
      </c>
      <c r="G2713">
        <v>84.28</v>
      </c>
    </row>
    <row r="2714" spans="1:7" x14ac:dyDescent="0.25">
      <c r="A2714" t="s">
        <v>616</v>
      </c>
      <c r="B2714" t="str">
        <f>_xlfn.XLOOKUP(A2714,[1]Municipios!$B:$B,[1]Municipios!$C:$C)</f>
        <v>Noroeste</v>
      </c>
      <c r="C2714" t="str">
        <f>_xlfn.XLOOKUP(A2714,[1]Municipios!$B:$B,[1]Municipios!$D:$D)</f>
        <v>Terra Roxa</v>
      </c>
      <c r="D2714">
        <v>2025</v>
      </c>
      <c r="E2714" t="s">
        <v>231</v>
      </c>
      <c r="F2714">
        <v>0.55559999999999998</v>
      </c>
      <c r="G2714">
        <v>47.84</v>
      </c>
    </row>
    <row r="2715" spans="1:7" x14ac:dyDescent="0.25">
      <c r="A2715" t="s">
        <v>616</v>
      </c>
      <c r="B2715" t="str">
        <f>_xlfn.XLOOKUP(A2715,[1]Municipios!$B:$B,[1]Municipios!$C:$C)</f>
        <v>Noroeste</v>
      </c>
      <c r="C2715" t="str">
        <f>_xlfn.XLOOKUP(A2715,[1]Municipios!$B:$B,[1]Municipios!$D:$D)</f>
        <v>Terra Roxa</v>
      </c>
      <c r="D2715">
        <v>2025</v>
      </c>
      <c r="E2715" t="s">
        <v>232</v>
      </c>
      <c r="F2715">
        <v>0.53849999999999998</v>
      </c>
      <c r="G2715">
        <v>47.84</v>
      </c>
    </row>
    <row r="2716" spans="1:7" x14ac:dyDescent="0.25">
      <c r="A2716" t="s">
        <v>616</v>
      </c>
      <c r="B2716" t="str">
        <f>_xlfn.XLOOKUP(A2716,[1]Municipios!$B:$B,[1]Municipios!$C:$C)</f>
        <v>Noroeste</v>
      </c>
      <c r="C2716" t="str">
        <f>_xlfn.XLOOKUP(A2716,[1]Municipios!$B:$B,[1]Municipios!$D:$D)</f>
        <v>Terra Roxa</v>
      </c>
      <c r="D2716">
        <v>2025</v>
      </c>
      <c r="E2716" t="s">
        <v>233</v>
      </c>
      <c r="F2716">
        <v>0.75</v>
      </c>
      <c r="G2716">
        <v>47.84</v>
      </c>
    </row>
    <row r="2717" spans="1:7" x14ac:dyDescent="0.25">
      <c r="A2717" t="s">
        <v>616</v>
      </c>
      <c r="B2717" t="str">
        <f>_xlfn.XLOOKUP(A2717,[1]Municipios!$B:$B,[1]Municipios!$C:$C)</f>
        <v>Noroeste</v>
      </c>
      <c r="C2717" t="str">
        <f>_xlfn.XLOOKUP(A2717,[1]Municipios!$B:$B,[1]Municipios!$D:$D)</f>
        <v>Terra Roxa</v>
      </c>
      <c r="D2717">
        <v>2025</v>
      </c>
      <c r="E2717" t="s">
        <v>215</v>
      </c>
      <c r="F2717">
        <v>0.5</v>
      </c>
      <c r="G2717">
        <v>47.84</v>
      </c>
    </row>
    <row r="2718" spans="1:7" x14ac:dyDescent="0.25">
      <c r="A2718" t="s">
        <v>616</v>
      </c>
      <c r="B2718" t="str">
        <f>_xlfn.XLOOKUP(A2718,[1]Municipios!$B:$B,[1]Municipios!$C:$C)</f>
        <v>Noroeste</v>
      </c>
      <c r="C2718" t="str">
        <f>_xlfn.XLOOKUP(A2718,[1]Municipios!$B:$B,[1]Municipios!$D:$D)</f>
        <v>Terra Roxa</v>
      </c>
      <c r="D2718">
        <v>2025</v>
      </c>
      <c r="E2718" t="s">
        <v>234</v>
      </c>
      <c r="F2718">
        <v>0.33329999999999999</v>
      </c>
      <c r="G2718">
        <v>47.84</v>
      </c>
    </row>
    <row r="2719" spans="1:7" x14ac:dyDescent="0.25">
      <c r="A2719" t="s">
        <v>616</v>
      </c>
      <c r="B2719" t="str">
        <f>_xlfn.XLOOKUP(A2719,[1]Municipios!$B:$B,[1]Municipios!$C:$C)</f>
        <v>Noroeste</v>
      </c>
      <c r="C2719" t="str">
        <f>_xlfn.XLOOKUP(A2719,[1]Municipios!$B:$B,[1]Municipios!$D:$D)</f>
        <v>Terra Roxa</v>
      </c>
      <c r="D2719">
        <v>2025</v>
      </c>
      <c r="E2719" t="s">
        <v>235</v>
      </c>
      <c r="F2719">
        <v>0.71439999999999992</v>
      </c>
      <c r="G2719">
        <v>47.84</v>
      </c>
    </row>
    <row r="2720" spans="1:7" x14ac:dyDescent="0.25">
      <c r="A2720" t="s">
        <v>616</v>
      </c>
      <c r="B2720" t="str">
        <f>_xlfn.XLOOKUP(A2720,[1]Municipios!$B:$B,[1]Municipios!$C:$C)</f>
        <v>Noroeste</v>
      </c>
      <c r="C2720" t="str">
        <f>_xlfn.XLOOKUP(A2720,[1]Municipios!$B:$B,[1]Municipios!$D:$D)</f>
        <v>Terra Roxa</v>
      </c>
      <c r="D2720">
        <v>2025</v>
      </c>
      <c r="E2720" t="s">
        <v>236</v>
      </c>
      <c r="F2720">
        <v>7.690000000000001E-2</v>
      </c>
      <c r="G2720">
        <v>47.84</v>
      </c>
    </row>
    <row r="2721" spans="1:7" x14ac:dyDescent="0.25">
      <c r="A2721" t="s">
        <v>616</v>
      </c>
      <c r="B2721" t="str">
        <f>_xlfn.XLOOKUP(A2721,[1]Municipios!$B:$B,[1]Municipios!$C:$C)</f>
        <v>Noroeste</v>
      </c>
      <c r="C2721" t="str">
        <f>_xlfn.XLOOKUP(A2721,[1]Municipios!$B:$B,[1]Municipios!$D:$D)</f>
        <v>Terra Roxa</v>
      </c>
      <c r="D2721">
        <v>2025</v>
      </c>
      <c r="E2721" t="s">
        <v>237</v>
      </c>
      <c r="F2721">
        <v>0.5</v>
      </c>
      <c r="G2721">
        <v>47.84</v>
      </c>
    </row>
    <row r="2722" spans="1:7" x14ac:dyDescent="0.25">
      <c r="A2722" t="s">
        <v>617</v>
      </c>
      <c r="B2722" t="str">
        <f>_xlfn.XLOOKUP(A2722,[1]Municipios!$B:$B,[1]Municipios!$C:$C)</f>
        <v>Noroeste</v>
      </c>
      <c r="C2722" t="str">
        <f>_xlfn.XLOOKUP(A2722,[1]Municipios!$B:$B,[1]Municipios!$D:$D)</f>
        <v>Costa Noroeste</v>
      </c>
      <c r="D2722">
        <v>2025</v>
      </c>
      <c r="E2722" t="s">
        <v>231</v>
      </c>
      <c r="F2722">
        <v>0</v>
      </c>
      <c r="G2722">
        <v>29.38</v>
      </c>
    </row>
    <row r="2723" spans="1:7" x14ac:dyDescent="0.25">
      <c r="A2723" t="s">
        <v>617</v>
      </c>
      <c r="B2723" t="str">
        <f>_xlfn.XLOOKUP(A2723,[1]Municipios!$B:$B,[1]Municipios!$C:$C)</f>
        <v>Noroeste</v>
      </c>
      <c r="C2723" t="str">
        <f>_xlfn.XLOOKUP(A2723,[1]Municipios!$B:$B,[1]Municipios!$D:$D)</f>
        <v>Costa Noroeste</v>
      </c>
      <c r="D2723">
        <v>2025</v>
      </c>
      <c r="E2723" t="s">
        <v>232</v>
      </c>
      <c r="F2723">
        <v>0.46150000000000002</v>
      </c>
      <c r="G2723">
        <v>29.38</v>
      </c>
    </row>
    <row r="2724" spans="1:7" x14ac:dyDescent="0.25">
      <c r="A2724" t="s">
        <v>617</v>
      </c>
      <c r="B2724" t="str">
        <f>_xlfn.XLOOKUP(A2724,[1]Municipios!$B:$B,[1]Municipios!$C:$C)</f>
        <v>Noroeste</v>
      </c>
      <c r="C2724" t="str">
        <f>_xlfn.XLOOKUP(A2724,[1]Municipios!$B:$B,[1]Municipios!$D:$D)</f>
        <v>Costa Noroeste</v>
      </c>
      <c r="D2724">
        <v>2025</v>
      </c>
      <c r="E2724" t="s">
        <v>233</v>
      </c>
      <c r="F2724">
        <v>0.125</v>
      </c>
      <c r="G2724">
        <v>29.38</v>
      </c>
    </row>
    <row r="2725" spans="1:7" x14ac:dyDescent="0.25">
      <c r="A2725" t="s">
        <v>617</v>
      </c>
      <c r="B2725" t="str">
        <f>_xlfn.XLOOKUP(A2725,[1]Municipios!$B:$B,[1]Municipios!$C:$C)</f>
        <v>Noroeste</v>
      </c>
      <c r="C2725" t="str">
        <f>_xlfn.XLOOKUP(A2725,[1]Municipios!$B:$B,[1]Municipios!$D:$D)</f>
        <v>Costa Noroeste</v>
      </c>
      <c r="D2725">
        <v>2025</v>
      </c>
      <c r="E2725" t="s">
        <v>215</v>
      </c>
      <c r="F2725">
        <v>0</v>
      </c>
      <c r="G2725">
        <v>29.38</v>
      </c>
    </row>
    <row r="2726" spans="1:7" x14ac:dyDescent="0.25">
      <c r="A2726" t="s">
        <v>617</v>
      </c>
      <c r="B2726" t="str">
        <f>_xlfn.XLOOKUP(A2726,[1]Municipios!$B:$B,[1]Municipios!$C:$C)</f>
        <v>Noroeste</v>
      </c>
      <c r="C2726" t="str">
        <f>_xlfn.XLOOKUP(A2726,[1]Municipios!$B:$B,[1]Municipios!$D:$D)</f>
        <v>Costa Noroeste</v>
      </c>
      <c r="D2726">
        <v>2025</v>
      </c>
      <c r="E2726" t="s">
        <v>234</v>
      </c>
      <c r="F2726">
        <v>0.55549999999999999</v>
      </c>
      <c r="G2726">
        <v>29.38</v>
      </c>
    </row>
    <row r="2727" spans="1:7" x14ac:dyDescent="0.25">
      <c r="A2727" t="s">
        <v>617</v>
      </c>
      <c r="B2727" t="str">
        <f>_xlfn.XLOOKUP(A2727,[1]Municipios!$B:$B,[1]Municipios!$C:$C)</f>
        <v>Noroeste</v>
      </c>
      <c r="C2727" t="str">
        <f>_xlfn.XLOOKUP(A2727,[1]Municipios!$B:$B,[1]Municipios!$D:$D)</f>
        <v>Costa Noroeste</v>
      </c>
      <c r="D2727">
        <v>2025</v>
      </c>
      <c r="E2727" t="s">
        <v>235</v>
      </c>
      <c r="F2727">
        <v>0.42869999999999997</v>
      </c>
      <c r="G2727">
        <v>29.38</v>
      </c>
    </row>
    <row r="2728" spans="1:7" x14ac:dyDescent="0.25">
      <c r="A2728" t="s">
        <v>617</v>
      </c>
      <c r="B2728" t="str">
        <f>_xlfn.XLOOKUP(A2728,[1]Municipios!$B:$B,[1]Municipios!$C:$C)</f>
        <v>Noroeste</v>
      </c>
      <c r="C2728" t="str">
        <f>_xlfn.XLOOKUP(A2728,[1]Municipios!$B:$B,[1]Municipios!$D:$D)</f>
        <v>Costa Noroeste</v>
      </c>
      <c r="D2728">
        <v>2025</v>
      </c>
      <c r="E2728" t="s">
        <v>236</v>
      </c>
      <c r="F2728">
        <v>0</v>
      </c>
      <c r="G2728">
        <v>29.38</v>
      </c>
    </row>
    <row r="2729" spans="1:7" x14ac:dyDescent="0.25">
      <c r="A2729" t="s">
        <v>617</v>
      </c>
      <c r="B2729" t="str">
        <f>_xlfn.XLOOKUP(A2729,[1]Municipios!$B:$B,[1]Municipios!$C:$C)</f>
        <v>Noroeste</v>
      </c>
      <c r="C2729" t="str">
        <f>_xlfn.XLOOKUP(A2729,[1]Municipios!$B:$B,[1]Municipios!$D:$D)</f>
        <v>Costa Noroeste</v>
      </c>
      <c r="D2729">
        <v>2025</v>
      </c>
      <c r="E2729" t="s">
        <v>237</v>
      </c>
      <c r="F2729">
        <v>0.5</v>
      </c>
      <c r="G2729">
        <v>29.38</v>
      </c>
    </row>
    <row r="2730" spans="1:7" x14ac:dyDescent="0.25">
      <c r="A2730" t="s">
        <v>400</v>
      </c>
      <c r="B2730" t="str">
        <f>_xlfn.XLOOKUP(A2730,[1]Municipios!$B:$B,[1]Municipios!$C:$C)</f>
        <v>Norte</v>
      </c>
      <c r="C2730" t="str">
        <f>_xlfn.XLOOKUP(A2730,[1]Municipios!$B:$B,[1]Municipios!$D:$D)</f>
        <v>Norte Central</v>
      </c>
      <c r="D2730">
        <v>2025</v>
      </c>
      <c r="E2730" t="s">
        <v>231</v>
      </c>
      <c r="F2730">
        <v>0.33339999999999992</v>
      </c>
      <c r="G2730">
        <v>59.75</v>
      </c>
    </row>
    <row r="2731" spans="1:7" x14ac:dyDescent="0.25">
      <c r="A2731" t="s">
        <v>400</v>
      </c>
      <c r="B2731" t="str">
        <f>_xlfn.XLOOKUP(A2731,[1]Municipios!$B:$B,[1]Municipios!$C:$C)</f>
        <v>Norte</v>
      </c>
      <c r="C2731" t="str">
        <f>_xlfn.XLOOKUP(A2731,[1]Municipios!$B:$B,[1]Municipios!$D:$D)</f>
        <v>Norte Central</v>
      </c>
      <c r="D2731">
        <v>2025</v>
      </c>
      <c r="E2731" t="s">
        <v>232</v>
      </c>
      <c r="F2731">
        <v>0.76929999999999998</v>
      </c>
      <c r="G2731">
        <v>59.75</v>
      </c>
    </row>
    <row r="2732" spans="1:7" x14ac:dyDescent="0.25">
      <c r="A2732" t="s">
        <v>400</v>
      </c>
      <c r="B2732" t="str">
        <f>_xlfn.XLOOKUP(A2732,[1]Municipios!$B:$B,[1]Municipios!$C:$C)</f>
        <v>Norte</v>
      </c>
      <c r="C2732" t="str">
        <f>_xlfn.XLOOKUP(A2732,[1]Municipios!$B:$B,[1]Municipios!$D:$D)</f>
        <v>Norte Central</v>
      </c>
      <c r="D2732">
        <v>2025</v>
      </c>
      <c r="E2732" t="s">
        <v>233</v>
      </c>
      <c r="F2732">
        <v>0.625</v>
      </c>
      <c r="G2732">
        <v>59.75</v>
      </c>
    </row>
    <row r="2733" spans="1:7" x14ac:dyDescent="0.25">
      <c r="A2733" t="s">
        <v>400</v>
      </c>
      <c r="B2733" t="str">
        <f>_xlfn.XLOOKUP(A2733,[1]Municipios!$B:$B,[1]Municipios!$C:$C)</f>
        <v>Norte</v>
      </c>
      <c r="C2733" t="str">
        <f>_xlfn.XLOOKUP(A2733,[1]Municipios!$B:$B,[1]Municipios!$D:$D)</f>
        <v>Norte Central</v>
      </c>
      <c r="D2733">
        <v>2025</v>
      </c>
      <c r="E2733" t="s">
        <v>215</v>
      </c>
      <c r="F2733">
        <v>0.54999999999999993</v>
      </c>
      <c r="G2733">
        <v>59.75</v>
      </c>
    </row>
    <row r="2734" spans="1:7" x14ac:dyDescent="0.25">
      <c r="A2734" t="s">
        <v>400</v>
      </c>
      <c r="B2734" t="str">
        <f>_xlfn.XLOOKUP(A2734,[1]Municipios!$B:$B,[1]Municipios!$C:$C)</f>
        <v>Norte</v>
      </c>
      <c r="C2734" t="str">
        <f>_xlfn.XLOOKUP(A2734,[1]Municipios!$B:$B,[1]Municipios!$D:$D)</f>
        <v>Norte Central</v>
      </c>
      <c r="D2734">
        <v>2025</v>
      </c>
      <c r="E2734" t="s">
        <v>234</v>
      </c>
      <c r="F2734">
        <v>0.77780000000000005</v>
      </c>
      <c r="G2734">
        <v>59.75</v>
      </c>
    </row>
    <row r="2735" spans="1:7" x14ac:dyDescent="0.25">
      <c r="A2735" t="s">
        <v>400</v>
      </c>
      <c r="B2735" t="str">
        <f>_xlfn.XLOOKUP(A2735,[1]Municipios!$B:$B,[1]Municipios!$C:$C)</f>
        <v>Norte</v>
      </c>
      <c r="C2735" t="str">
        <f>_xlfn.XLOOKUP(A2735,[1]Municipios!$B:$B,[1]Municipios!$D:$D)</f>
        <v>Norte Central</v>
      </c>
      <c r="D2735">
        <v>2025</v>
      </c>
      <c r="E2735" t="s">
        <v>235</v>
      </c>
      <c r="F2735">
        <v>0.57140000000000002</v>
      </c>
      <c r="G2735">
        <v>59.75</v>
      </c>
    </row>
    <row r="2736" spans="1:7" x14ac:dyDescent="0.25">
      <c r="A2736" t="s">
        <v>400</v>
      </c>
      <c r="B2736" t="str">
        <f>_xlfn.XLOOKUP(A2736,[1]Municipios!$B:$B,[1]Municipios!$C:$C)</f>
        <v>Norte</v>
      </c>
      <c r="C2736" t="str">
        <f>_xlfn.XLOOKUP(A2736,[1]Municipios!$B:$B,[1]Municipios!$D:$D)</f>
        <v>Norte Central</v>
      </c>
      <c r="D2736">
        <v>2025</v>
      </c>
      <c r="E2736" t="s">
        <v>236</v>
      </c>
      <c r="F2736">
        <v>7.6999999999999999E-2</v>
      </c>
      <c r="G2736">
        <v>59.75</v>
      </c>
    </row>
    <row r="2737" spans="1:7" x14ac:dyDescent="0.25">
      <c r="A2737" t="s">
        <v>400</v>
      </c>
      <c r="B2737" t="str">
        <f>_xlfn.XLOOKUP(A2737,[1]Municipios!$B:$B,[1]Municipios!$C:$C)</f>
        <v>Norte</v>
      </c>
      <c r="C2737" t="str">
        <f>_xlfn.XLOOKUP(A2737,[1]Municipios!$B:$B,[1]Municipios!$D:$D)</f>
        <v>Norte Central</v>
      </c>
      <c r="D2737">
        <v>2025</v>
      </c>
      <c r="E2737" t="s">
        <v>237</v>
      </c>
      <c r="F2737">
        <v>1</v>
      </c>
      <c r="G2737">
        <v>59.75</v>
      </c>
    </row>
    <row r="2738" spans="1:7" x14ac:dyDescent="0.25">
      <c r="A2738" t="s">
        <v>264</v>
      </c>
      <c r="B2738" t="str">
        <f>_xlfn.XLOOKUP(A2738,[1]Municipios!$B:$B,[1]Municipios!$C:$C)</f>
        <v>Sul</v>
      </c>
      <c r="C2738" t="str">
        <f>_xlfn.XLOOKUP(A2738,[1]Municipios!$B:$B,[1]Municipios!$D:$D)</f>
        <v>Sudoeste Pioneiro</v>
      </c>
      <c r="D2738">
        <v>2025</v>
      </c>
      <c r="E2738" t="s">
        <v>231</v>
      </c>
      <c r="F2738">
        <v>0.88890000000000002</v>
      </c>
      <c r="G2738">
        <v>81.709999999999994</v>
      </c>
    </row>
    <row r="2739" spans="1:7" x14ac:dyDescent="0.25">
      <c r="A2739" t="s">
        <v>264</v>
      </c>
      <c r="B2739" t="str">
        <f>_xlfn.XLOOKUP(A2739,[1]Municipios!$B:$B,[1]Municipios!$C:$C)</f>
        <v>Sul</v>
      </c>
      <c r="C2739" t="str">
        <f>_xlfn.XLOOKUP(A2739,[1]Municipios!$B:$B,[1]Municipios!$D:$D)</f>
        <v>Sudoeste Pioneiro</v>
      </c>
      <c r="D2739">
        <v>2025</v>
      </c>
      <c r="E2739" t="s">
        <v>232</v>
      </c>
      <c r="F2739">
        <v>0.76929999999999998</v>
      </c>
      <c r="G2739">
        <v>81.709999999999994</v>
      </c>
    </row>
    <row r="2740" spans="1:7" x14ac:dyDescent="0.25">
      <c r="A2740" t="s">
        <v>264</v>
      </c>
      <c r="B2740" t="str">
        <f>_xlfn.XLOOKUP(A2740,[1]Municipios!$B:$B,[1]Municipios!$C:$C)</f>
        <v>Sul</v>
      </c>
      <c r="C2740" t="str">
        <f>_xlfn.XLOOKUP(A2740,[1]Municipios!$B:$B,[1]Municipios!$D:$D)</f>
        <v>Sudoeste Pioneiro</v>
      </c>
      <c r="D2740">
        <v>2025</v>
      </c>
      <c r="E2740" t="s">
        <v>233</v>
      </c>
      <c r="F2740">
        <v>0.875</v>
      </c>
      <c r="G2740">
        <v>81.709999999999994</v>
      </c>
    </row>
    <row r="2741" spans="1:7" x14ac:dyDescent="0.25">
      <c r="A2741" t="s">
        <v>264</v>
      </c>
      <c r="B2741" t="str">
        <f>_xlfn.XLOOKUP(A2741,[1]Municipios!$B:$B,[1]Municipios!$C:$C)</f>
        <v>Sul</v>
      </c>
      <c r="C2741" t="str">
        <f>_xlfn.XLOOKUP(A2741,[1]Municipios!$B:$B,[1]Municipios!$D:$D)</f>
        <v>Sudoeste Pioneiro</v>
      </c>
      <c r="D2741">
        <v>2025</v>
      </c>
      <c r="E2741" t="s">
        <v>215</v>
      </c>
      <c r="F2741">
        <v>0.79999999999999993</v>
      </c>
      <c r="G2741">
        <v>81.709999999999994</v>
      </c>
    </row>
    <row r="2742" spans="1:7" x14ac:dyDescent="0.25">
      <c r="A2742" t="s">
        <v>264</v>
      </c>
      <c r="B2742" t="str">
        <f>_xlfn.XLOOKUP(A2742,[1]Municipios!$B:$B,[1]Municipios!$C:$C)</f>
        <v>Sul</v>
      </c>
      <c r="C2742" t="str">
        <f>_xlfn.XLOOKUP(A2742,[1]Municipios!$B:$B,[1]Municipios!$D:$D)</f>
        <v>Sudoeste Pioneiro</v>
      </c>
      <c r="D2742">
        <v>2025</v>
      </c>
      <c r="E2742" t="s">
        <v>234</v>
      </c>
      <c r="F2742">
        <v>0.77780000000000005</v>
      </c>
      <c r="G2742">
        <v>81.709999999999994</v>
      </c>
    </row>
    <row r="2743" spans="1:7" x14ac:dyDescent="0.25">
      <c r="A2743" t="s">
        <v>264</v>
      </c>
      <c r="B2743" t="str">
        <f>_xlfn.XLOOKUP(A2743,[1]Municipios!$B:$B,[1]Municipios!$C:$C)</f>
        <v>Sul</v>
      </c>
      <c r="C2743" t="str">
        <f>_xlfn.XLOOKUP(A2743,[1]Municipios!$B:$B,[1]Municipios!$D:$D)</f>
        <v>Sudoeste Pioneiro</v>
      </c>
      <c r="D2743">
        <v>2025</v>
      </c>
      <c r="E2743" t="s">
        <v>235</v>
      </c>
      <c r="F2743">
        <v>1</v>
      </c>
      <c r="G2743">
        <v>81.709999999999994</v>
      </c>
    </row>
    <row r="2744" spans="1:7" x14ac:dyDescent="0.25">
      <c r="A2744" t="s">
        <v>264</v>
      </c>
      <c r="B2744" t="str">
        <f>_xlfn.XLOOKUP(A2744,[1]Municipios!$B:$B,[1]Municipios!$C:$C)</f>
        <v>Sul</v>
      </c>
      <c r="C2744" t="str">
        <f>_xlfn.XLOOKUP(A2744,[1]Municipios!$B:$B,[1]Municipios!$D:$D)</f>
        <v>Sudoeste Pioneiro</v>
      </c>
      <c r="D2744">
        <v>2025</v>
      </c>
      <c r="E2744" t="s">
        <v>236</v>
      </c>
      <c r="F2744">
        <v>0.46159999999999995</v>
      </c>
      <c r="G2744">
        <v>81.709999999999994</v>
      </c>
    </row>
    <row r="2745" spans="1:7" x14ac:dyDescent="0.25">
      <c r="A2745" t="s">
        <v>264</v>
      </c>
      <c r="B2745" t="str">
        <f>_xlfn.XLOOKUP(A2745,[1]Municipios!$B:$B,[1]Municipios!$C:$C)</f>
        <v>Sul</v>
      </c>
      <c r="C2745" t="str">
        <f>_xlfn.XLOOKUP(A2745,[1]Municipios!$B:$B,[1]Municipios!$D:$D)</f>
        <v>Sudoeste Pioneiro</v>
      </c>
      <c r="D2745">
        <v>2025</v>
      </c>
      <c r="E2745" t="s">
        <v>237</v>
      </c>
      <c r="F2745">
        <v>1</v>
      </c>
      <c r="G2745">
        <v>81.709999999999994</v>
      </c>
    </row>
    <row r="2746" spans="1:7" x14ac:dyDescent="0.25">
      <c r="A2746" t="s">
        <v>618</v>
      </c>
      <c r="B2746" t="str">
        <f>_xlfn.XLOOKUP(A2746,[1]Municipios!$B:$B,[1]Municipios!$C:$C)</f>
        <v>Noroeste</v>
      </c>
      <c r="C2746" t="str">
        <f>_xlfn.XLOOKUP(A2746,[1]Municipios!$B:$B,[1]Municipios!$D:$D)</f>
        <v>Costa Noroeste</v>
      </c>
      <c r="D2746">
        <v>2025</v>
      </c>
      <c r="E2746" t="s">
        <v>231</v>
      </c>
      <c r="F2746">
        <v>0.11109999999999999</v>
      </c>
      <c r="G2746">
        <v>28.37</v>
      </c>
    </row>
    <row r="2747" spans="1:7" x14ac:dyDescent="0.25">
      <c r="A2747" t="s">
        <v>618</v>
      </c>
      <c r="B2747" t="str">
        <f>_xlfn.XLOOKUP(A2747,[1]Municipios!$B:$B,[1]Municipios!$C:$C)</f>
        <v>Noroeste</v>
      </c>
      <c r="C2747" t="str">
        <f>_xlfn.XLOOKUP(A2747,[1]Municipios!$B:$B,[1]Municipios!$D:$D)</f>
        <v>Costa Noroeste</v>
      </c>
      <c r="D2747">
        <v>2025</v>
      </c>
      <c r="E2747" t="s">
        <v>232</v>
      </c>
      <c r="F2747">
        <v>0.3846</v>
      </c>
      <c r="G2747">
        <v>28.37</v>
      </c>
    </row>
    <row r="2748" spans="1:7" x14ac:dyDescent="0.25">
      <c r="A2748" t="s">
        <v>618</v>
      </c>
      <c r="B2748" t="str">
        <f>_xlfn.XLOOKUP(A2748,[1]Municipios!$B:$B,[1]Municipios!$C:$C)</f>
        <v>Noroeste</v>
      </c>
      <c r="C2748" t="str">
        <f>_xlfn.XLOOKUP(A2748,[1]Municipios!$B:$B,[1]Municipios!$D:$D)</f>
        <v>Costa Noroeste</v>
      </c>
      <c r="D2748">
        <v>2025</v>
      </c>
      <c r="E2748" t="s">
        <v>233</v>
      </c>
      <c r="F2748">
        <v>0.125</v>
      </c>
      <c r="G2748">
        <v>28.37</v>
      </c>
    </row>
    <row r="2749" spans="1:7" x14ac:dyDescent="0.25">
      <c r="A2749" t="s">
        <v>618</v>
      </c>
      <c r="B2749" t="str">
        <f>_xlfn.XLOOKUP(A2749,[1]Municipios!$B:$B,[1]Municipios!$C:$C)</f>
        <v>Noroeste</v>
      </c>
      <c r="C2749" t="str">
        <f>_xlfn.XLOOKUP(A2749,[1]Municipios!$B:$B,[1]Municipios!$D:$D)</f>
        <v>Costa Noroeste</v>
      </c>
      <c r="D2749">
        <v>2025</v>
      </c>
      <c r="E2749" t="s">
        <v>215</v>
      </c>
      <c r="F2749">
        <v>0.6</v>
      </c>
      <c r="G2749">
        <v>28.37</v>
      </c>
    </row>
    <row r="2750" spans="1:7" x14ac:dyDescent="0.25">
      <c r="A2750" t="s">
        <v>618</v>
      </c>
      <c r="B2750" t="str">
        <f>_xlfn.XLOOKUP(A2750,[1]Municipios!$B:$B,[1]Municipios!$C:$C)</f>
        <v>Noroeste</v>
      </c>
      <c r="C2750" t="str">
        <f>_xlfn.XLOOKUP(A2750,[1]Municipios!$B:$B,[1]Municipios!$D:$D)</f>
        <v>Costa Noroeste</v>
      </c>
      <c r="D2750">
        <v>2025</v>
      </c>
      <c r="E2750" t="s">
        <v>234</v>
      </c>
      <c r="F2750">
        <v>0.44440000000000002</v>
      </c>
      <c r="G2750">
        <v>28.37</v>
      </c>
    </row>
    <row r="2751" spans="1:7" x14ac:dyDescent="0.25">
      <c r="A2751" t="s">
        <v>618</v>
      </c>
      <c r="B2751" t="str">
        <f>_xlfn.XLOOKUP(A2751,[1]Municipios!$B:$B,[1]Municipios!$C:$C)</f>
        <v>Noroeste</v>
      </c>
      <c r="C2751" t="str">
        <f>_xlfn.XLOOKUP(A2751,[1]Municipios!$B:$B,[1]Municipios!$D:$D)</f>
        <v>Costa Noroeste</v>
      </c>
      <c r="D2751">
        <v>2025</v>
      </c>
      <c r="E2751" t="s">
        <v>235</v>
      </c>
      <c r="F2751">
        <v>0</v>
      </c>
      <c r="G2751">
        <v>28.37</v>
      </c>
    </row>
    <row r="2752" spans="1:7" x14ac:dyDescent="0.25">
      <c r="A2752" t="s">
        <v>618</v>
      </c>
      <c r="B2752" t="str">
        <f>_xlfn.XLOOKUP(A2752,[1]Municipios!$B:$B,[1]Municipios!$C:$C)</f>
        <v>Noroeste</v>
      </c>
      <c r="C2752" t="str">
        <f>_xlfn.XLOOKUP(A2752,[1]Municipios!$B:$B,[1]Municipios!$D:$D)</f>
        <v>Costa Noroeste</v>
      </c>
      <c r="D2752">
        <v>2025</v>
      </c>
      <c r="E2752" t="s">
        <v>236</v>
      </c>
      <c r="F2752">
        <v>0</v>
      </c>
      <c r="G2752">
        <v>28.37</v>
      </c>
    </row>
    <row r="2753" spans="1:7" x14ac:dyDescent="0.25">
      <c r="A2753" t="s">
        <v>618</v>
      </c>
      <c r="B2753" t="str">
        <f>_xlfn.XLOOKUP(A2753,[1]Municipios!$B:$B,[1]Municipios!$C:$C)</f>
        <v>Noroeste</v>
      </c>
      <c r="C2753" t="str">
        <f>_xlfn.XLOOKUP(A2753,[1]Municipios!$B:$B,[1]Municipios!$D:$D)</f>
        <v>Costa Noroeste</v>
      </c>
      <c r="D2753">
        <v>2025</v>
      </c>
      <c r="E2753" t="s">
        <v>237</v>
      </c>
      <c r="F2753">
        <v>0.5</v>
      </c>
      <c r="G2753">
        <v>28.37</v>
      </c>
    </row>
    <row r="2754" spans="1:7" x14ac:dyDescent="0.25">
      <c r="A2754" t="s">
        <v>619</v>
      </c>
      <c r="B2754" t="str">
        <f>_xlfn.XLOOKUP(A2754,[1]Municipios!$B:$B,[1]Municipios!$C:$C)</f>
        <v>Norte</v>
      </c>
      <c r="C2754" t="str">
        <f>_xlfn.XLOOKUP(A2754,[1]Municipios!$B:$B,[1]Municipios!$D:$D)</f>
        <v>Vale Do Ivaí</v>
      </c>
      <c r="D2754">
        <v>2025</v>
      </c>
      <c r="E2754" t="s">
        <v>231</v>
      </c>
      <c r="F2754">
        <v>0.88890000000000002</v>
      </c>
      <c r="G2754">
        <v>60.83</v>
      </c>
    </row>
    <row r="2755" spans="1:7" x14ac:dyDescent="0.25">
      <c r="A2755" t="s">
        <v>619</v>
      </c>
      <c r="B2755" t="str">
        <f>_xlfn.XLOOKUP(A2755,[1]Municipios!$B:$B,[1]Municipios!$C:$C)</f>
        <v>Norte</v>
      </c>
      <c r="C2755" t="str">
        <f>_xlfn.XLOOKUP(A2755,[1]Municipios!$B:$B,[1]Municipios!$D:$D)</f>
        <v>Vale Do Ivaí</v>
      </c>
      <c r="D2755">
        <v>2025</v>
      </c>
      <c r="E2755" t="s">
        <v>232</v>
      </c>
      <c r="F2755">
        <v>0.92310000000000003</v>
      </c>
      <c r="G2755">
        <v>60.83</v>
      </c>
    </row>
    <row r="2756" spans="1:7" x14ac:dyDescent="0.25">
      <c r="A2756" t="s">
        <v>619</v>
      </c>
      <c r="B2756" t="str">
        <f>_xlfn.XLOOKUP(A2756,[1]Municipios!$B:$B,[1]Municipios!$C:$C)</f>
        <v>Norte</v>
      </c>
      <c r="C2756" t="str">
        <f>_xlfn.XLOOKUP(A2756,[1]Municipios!$B:$B,[1]Municipios!$D:$D)</f>
        <v>Vale Do Ivaí</v>
      </c>
      <c r="D2756">
        <v>2025</v>
      </c>
      <c r="E2756" t="s">
        <v>233</v>
      </c>
      <c r="F2756">
        <v>0.5</v>
      </c>
      <c r="G2756">
        <v>60.83</v>
      </c>
    </row>
    <row r="2757" spans="1:7" x14ac:dyDescent="0.25">
      <c r="A2757" t="s">
        <v>619</v>
      </c>
      <c r="B2757" t="str">
        <f>_xlfn.XLOOKUP(A2757,[1]Municipios!$B:$B,[1]Municipios!$C:$C)</f>
        <v>Norte</v>
      </c>
      <c r="C2757" t="str">
        <f>_xlfn.XLOOKUP(A2757,[1]Municipios!$B:$B,[1]Municipios!$D:$D)</f>
        <v>Vale Do Ivaí</v>
      </c>
      <c r="D2757">
        <v>2025</v>
      </c>
      <c r="E2757" t="s">
        <v>215</v>
      </c>
      <c r="F2757">
        <v>0.75</v>
      </c>
      <c r="G2757">
        <v>60.83</v>
      </c>
    </row>
    <row r="2758" spans="1:7" x14ac:dyDescent="0.25">
      <c r="A2758" t="s">
        <v>619</v>
      </c>
      <c r="B2758" t="str">
        <f>_xlfn.XLOOKUP(A2758,[1]Municipios!$B:$B,[1]Municipios!$C:$C)</f>
        <v>Norte</v>
      </c>
      <c r="C2758" t="str">
        <f>_xlfn.XLOOKUP(A2758,[1]Municipios!$B:$B,[1]Municipios!$D:$D)</f>
        <v>Vale Do Ivaí</v>
      </c>
      <c r="D2758">
        <v>2025</v>
      </c>
      <c r="E2758" t="s">
        <v>234</v>
      </c>
      <c r="F2758">
        <v>0.66659999999999997</v>
      </c>
      <c r="G2758">
        <v>60.83</v>
      </c>
    </row>
    <row r="2759" spans="1:7" x14ac:dyDescent="0.25">
      <c r="A2759" t="s">
        <v>619</v>
      </c>
      <c r="B2759" t="str">
        <f>_xlfn.XLOOKUP(A2759,[1]Municipios!$B:$B,[1]Municipios!$C:$C)</f>
        <v>Norte</v>
      </c>
      <c r="C2759" t="str">
        <f>_xlfn.XLOOKUP(A2759,[1]Municipios!$B:$B,[1]Municipios!$D:$D)</f>
        <v>Vale Do Ivaí</v>
      </c>
      <c r="D2759">
        <v>2025</v>
      </c>
      <c r="E2759" t="s">
        <v>235</v>
      </c>
      <c r="F2759">
        <v>0.28570000000000001</v>
      </c>
      <c r="G2759">
        <v>60.83</v>
      </c>
    </row>
    <row r="2760" spans="1:7" x14ac:dyDescent="0.25">
      <c r="A2760" t="s">
        <v>619</v>
      </c>
      <c r="B2760" t="str">
        <f>_xlfn.XLOOKUP(A2760,[1]Municipios!$B:$B,[1]Municipios!$C:$C)</f>
        <v>Norte</v>
      </c>
      <c r="C2760" t="str">
        <f>_xlfn.XLOOKUP(A2760,[1]Municipios!$B:$B,[1]Municipios!$D:$D)</f>
        <v>Vale Do Ivaí</v>
      </c>
      <c r="D2760">
        <v>2025</v>
      </c>
      <c r="E2760" t="s">
        <v>236</v>
      </c>
      <c r="F2760">
        <v>0.23099999999999998</v>
      </c>
      <c r="G2760">
        <v>60.83</v>
      </c>
    </row>
    <row r="2761" spans="1:7" x14ac:dyDescent="0.25">
      <c r="A2761" t="s">
        <v>619</v>
      </c>
      <c r="B2761" t="str">
        <f>_xlfn.XLOOKUP(A2761,[1]Municipios!$B:$B,[1]Municipios!$C:$C)</f>
        <v>Norte</v>
      </c>
      <c r="C2761" t="str">
        <f>_xlfn.XLOOKUP(A2761,[1]Municipios!$B:$B,[1]Municipios!$D:$D)</f>
        <v>Vale Do Ivaí</v>
      </c>
      <c r="D2761">
        <v>2025</v>
      </c>
      <c r="E2761" t="s">
        <v>237</v>
      </c>
      <c r="F2761">
        <v>0.5</v>
      </c>
      <c r="G2761">
        <v>60.83</v>
      </c>
    </row>
    <row r="2762" spans="1:7" x14ac:dyDescent="0.25">
      <c r="A2762" t="s">
        <v>620</v>
      </c>
      <c r="B2762" t="str">
        <f>_xlfn.XLOOKUP(A2762,[1]Municipios!$B:$B,[1]Municipios!$C:$C)</f>
        <v>Centro</v>
      </c>
      <c r="C2762" t="str">
        <f>_xlfn.XLOOKUP(A2762,[1]Municipios!$B:$B,[1]Municipios!$D:$D)</f>
        <v>Campos Gerais</v>
      </c>
      <c r="D2762">
        <v>2025</v>
      </c>
      <c r="E2762" t="s">
        <v>231</v>
      </c>
      <c r="F2762">
        <v>0.22219999999999998</v>
      </c>
      <c r="G2762">
        <v>54.67</v>
      </c>
    </row>
    <row r="2763" spans="1:7" x14ac:dyDescent="0.25">
      <c r="A2763" t="s">
        <v>620</v>
      </c>
      <c r="B2763" t="str">
        <f>_xlfn.XLOOKUP(A2763,[1]Municipios!$B:$B,[1]Municipios!$C:$C)</f>
        <v>Centro</v>
      </c>
      <c r="C2763" t="str">
        <f>_xlfn.XLOOKUP(A2763,[1]Municipios!$B:$B,[1]Municipios!$D:$D)</f>
        <v>Campos Gerais</v>
      </c>
      <c r="D2763">
        <v>2025</v>
      </c>
      <c r="E2763" t="s">
        <v>232</v>
      </c>
      <c r="F2763">
        <v>0.84609999999999996</v>
      </c>
      <c r="G2763">
        <v>54.67</v>
      </c>
    </row>
    <row r="2764" spans="1:7" x14ac:dyDescent="0.25">
      <c r="A2764" t="s">
        <v>620</v>
      </c>
      <c r="B2764" t="str">
        <f>_xlfn.XLOOKUP(A2764,[1]Municipios!$B:$B,[1]Municipios!$C:$C)</f>
        <v>Centro</v>
      </c>
      <c r="C2764" t="str">
        <f>_xlfn.XLOOKUP(A2764,[1]Municipios!$B:$B,[1]Municipios!$D:$D)</f>
        <v>Campos Gerais</v>
      </c>
      <c r="D2764">
        <v>2025</v>
      </c>
      <c r="E2764" t="s">
        <v>233</v>
      </c>
      <c r="F2764">
        <v>0.75</v>
      </c>
      <c r="G2764">
        <v>54.67</v>
      </c>
    </row>
    <row r="2765" spans="1:7" x14ac:dyDescent="0.25">
      <c r="A2765" t="s">
        <v>620</v>
      </c>
      <c r="B2765" t="str">
        <f>_xlfn.XLOOKUP(A2765,[1]Municipios!$B:$B,[1]Municipios!$C:$C)</f>
        <v>Centro</v>
      </c>
      <c r="C2765" t="str">
        <f>_xlfn.XLOOKUP(A2765,[1]Municipios!$B:$B,[1]Municipios!$D:$D)</f>
        <v>Campos Gerais</v>
      </c>
      <c r="D2765">
        <v>2025</v>
      </c>
      <c r="E2765" t="s">
        <v>215</v>
      </c>
      <c r="F2765">
        <v>0.5</v>
      </c>
      <c r="G2765">
        <v>54.67</v>
      </c>
    </row>
    <row r="2766" spans="1:7" x14ac:dyDescent="0.25">
      <c r="A2766" t="s">
        <v>620</v>
      </c>
      <c r="B2766" t="str">
        <f>_xlfn.XLOOKUP(A2766,[1]Municipios!$B:$B,[1]Municipios!$C:$C)</f>
        <v>Centro</v>
      </c>
      <c r="C2766" t="str">
        <f>_xlfn.XLOOKUP(A2766,[1]Municipios!$B:$B,[1]Municipios!$D:$D)</f>
        <v>Campos Gerais</v>
      </c>
      <c r="D2766">
        <v>2025</v>
      </c>
      <c r="E2766" t="s">
        <v>234</v>
      </c>
      <c r="F2766">
        <v>0.55559999999999998</v>
      </c>
      <c r="G2766">
        <v>54.67</v>
      </c>
    </row>
    <row r="2767" spans="1:7" x14ac:dyDescent="0.25">
      <c r="A2767" t="s">
        <v>620</v>
      </c>
      <c r="B2767" t="str">
        <f>_xlfn.XLOOKUP(A2767,[1]Municipios!$B:$B,[1]Municipios!$C:$C)</f>
        <v>Centro</v>
      </c>
      <c r="C2767" t="str">
        <f>_xlfn.XLOOKUP(A2767,[1]Municipios!$B:$B,[1]Municipios!$D:$D)</f>
        <v>Campos Gerais</v>
      </c>
      <c r="D2767">
        <v>2025</v>
      </c>
      <c r="E2767" t="s">
        <v>235</v>
      </c>
      <c r="F2767">
        <v>0.42849999999999999</v>
      </c>
      <c r="G2767">
        <v>54.67</v>
      </c>
    </row>
    <row r="2768" spans="1:7" x14ac:dyDescent="0.25">
      <c r="A2768" t="s">
        <v>620</v>
      </c>
      <c r="B2768" t="str">
        <f>_xlfn.XLOOKUP(A2768,[1]Municipios!$B:$B,[1]Municipios!$C:$C)</f>
        <v>Centro</v>
      </c>
      <c r="C2768" t="str">
        <f>_xlfn.XLOOKUP(A2768,[1]Municipios!$B:$B,[1]Municipios!$D:$D)</f>
        <v>Campos Gerais</v>
      </c>
      <c r="D2768">
        <v>2025</v>
      </c>
      <c r="E2768" t="s">
        <v>236</v>
      </c>
      <c r="F2768">
        <v>0.15379999999999999</v>
      </c>
      <c r="G2768">
        <v>54.67</v>
      </c>
    </row>
    <row r="2769" spans="1:7" x14ac:dyDescent="0.25">
      <c r="A2769" t="s">
        <v>620</v>
      </c>
      <c r="B2769" t="str">
        <f>_xlfn.XLOOKUP(A2769,[1]Municipios!$B:$B,[1]Municipios!$C:$C)</f>
        <v>Centro</v>
      </c>
      <c r="C2769" t="str">
        <f>_xlfn.XLOOKUP(A2769,[1]Municipios!$B:$B,[1]Municipios!$D:$D)</f>
        <v>Campos Gerais</v>
      </c>
      <c r="D2769">
        <v>2025</v>
      </c>
      <c r="E2769" t="s">
        <v>237</v>
      </c>
      <c r="F2769">
        <v>1</v>
      </c>
      <c r="G2769">
        <v>54.67</v>
      </c>
    </row>
    <row r="2770" spans="1:7" x14ac:dyDescent="0.25">
      <c r="A2770" t="s">
        <v>621</v>
      </c>
      <c r="B2770" t="str">
        <f>_xlfn.XLOOKUP(A2770,[1]Municipios!$B:$B,[1]Municipios!$C:$C)</f>
        <v>Noroeste</v>
      </c>
      <c r="C2770" t="str">
        <f>_xlfn.XLOOKUP(A2770,[1]Municipios!$B:$B,[1]Municipios!$D:$D)</f>
        <v>Terra Roxa</v>
      </c>
      <c r="D2770">
        <v>2025</v>
      </c>
      <c r="E2770" t="s">
        <v>231</v>
      </c>
      <c r="F2770">
        <v>0.22219999999999998</v>
      </c>
      <c r="G2770">
        <v>44</v>
      </c>
    </row>
    <row r="2771" spans="1:7" x14ac:dyDescent="0.25">
      <c r="A2771" t="s">
        <v>621</v>
      </c>
      <c r="B2771" t="str">
        <f>_xlfn.XLOOKUP(A2771,[1]Municipios!$B:$B,[1]Municipios!$C:$C)</f>
        <v>Noroeste</v>
      </c>
      <c r="C2771" t="str">
        <f>_xlfn.XLOOKUP(A2771,[1]Municipios!$B:$B,[1]Municipios!$D:$D)</f>
        <v>Terra Roxa</v>
      </c>
      <c r="D2771">
        <v>2025</v>
      </c>
      <c r="E2771" t="s">
        <v>232</v>
      </c>
      <c r="F2771">
        <v>0.69230000000000003</v>
      </c>
      <c r="G2771">
        <v>44</v>
      </c>
    </row>
    <row r="2772" spans="1:7" x14ac:dyDescent="0.25">
      <c r="A2772" t="s">
        <v>621</v>
      </c>
      <c r="B2772" t="str">
        <f>_xlfn.XLOOKUP(A2772,[1]Municipios!$B:$B,[1]Municipios!$C:$C)</f>
        <v>Noroeste</v>
      </c>
      <c r="C2772" t="str">
        <f>_xlfn.XLOOKUP(A2772,[1]Municipios!$B:$B,[1]Municipios!$D:$D)</f>
        <v>Terra Roxa</v>
      </c>
      <c r="D2772">
        <v>2025</v>
      </c>
      <c r="E2772" t="s">
        <v>233</v>
      </c>
      <c r="F2772">
        <v>0.25</v>
      </c>
      <c r="G2772">
        <v>44</v>
      </c>
    </row>
    <row r="2773" spans="1:7" x14ac:dyDescent="0.25">
      <c r="A2773" t="s">
        <v>621</v>
      </c>
      <c r="B2773" t="str">
        <f>_xlfn.XLOOKUP(A2773,[1]Municipios!$B:$B,[1]Municipios!$C:$C)</f>
        <v>Noroeste</v>
      </c>
      <c r="C2773" t="str">
        <f>_xlfn.XLOOKUP(A2773,[1]Municipios!$B:$B,[1]Municipios!$D:$D)</f>
        <v>Terra Roxa</v>
      </c>
      <c r="D2773">
        <v>2025</v>
      </c>
      <c r="E2773" t="s">
        <v>215</v>
      </c>
      <c r="F2773">
        <v>0.3</v>
      </c>
      <c r="G2773">
        <v>44</v>
      </c>
    </row>
    <row r="2774" spans="1:7" x14ac:dyDescent="0.25">
      <c r="A2774" t="s">
        <v>621</v>
      </c>
      <c r="B2774" t="str">
        <f>_xlfn.XLOOKUP(A2774,[1]Municipios!$B:$B,[1]Municipios!$C:$C)</f>
        <v>Noroeste</v>
      </c>
      <c r="C2774" t="str">
        <f>_xlfn.XLOOKUP(A2774,[1]Municipios!$B:$B,[1]Municipios!$D:$D)</f>
        <v>Terra Roxa</v>
      </c>
      <c r="D2774">
        <v>2025</v>
      </c>
      <c r="E2774" t="s">
        <v>234</v>
      </c>
      <c r="F2774">
        <v>0.66659999999999997</v>
      </c>
      <c r="G2774">
        <v>44</v>
      </c>
    </row>
    <row r="2775" spans="1:7" x14ac:dyDescent="0.25">
      <c r="A2775" t="s">
        <v>621</v>
      </c>
      <c r="B2775" t="str">
        <f>_xlfn.XLOOKUP(A2775,[1]Municipios!$B:$B,[1]Municipios!$C:$C)</f>
        <v>Noroeste</v>
      </c>
      <c r="C2775" t="str">
        <f>_xlfn.XLOOKUP(A2775,[1]Municipios!$B:$B,[1]Municipios!$D:$D)</f>
        <v>Terra Roxa</v>
      </c>
      <c r="D2775">
        <v>2025</v>
      </c>
      <c r="E2775" t="s">
        <v>235</v>
      </c>
      <c r="F2775">
        <v>0.57150000000000001</v>
      </c>
      <c r="G2775">
        <v>44</v>
      </c>
    </row>
    <row r="2776" spans="1:7" x14ac:dyDescent="0.25">
      <c r="A2776" t="s">
        <v>621</v>
      </c>
      <c r="B2776" t="str">
        <f>_xlfn.XLOOKUP(A2776,[1]Municipios!$B:$B,[1]Municipios!$C:$C)</f>
        <v>Noroeste</v>
      </c>
      <c r="C2776" t="str">
        <f>_xlfn.XLOOKUP(A2776,[1]Municipios!$B:$B,[1]Municipios!$D:$D)</f>
        <v>Terra Roxa</v>
      </c>
      <c r="D2776">
        <v>2025</v>
      </c>
      <c r="E2776" t="s">
        <v>236</v>
      </c>
      <c r="F2776">
        <v>0</v>
      </c>
      <c r="G2776">
        <v>44</v>
      </c>
    </row>
    <row r="2777" spans="1:7" x14ac:dyDescent="0.25">
      <c r="A2777" t="s">
        <v>621</v>
      </c>
      <c r="B2777" t="str">
        <f>_xlfn.XLOOKUP(A2777,[1]Municipios!$B:$B,[1]Municipios!$C:$C)</f>
        <v>Noroeste</v>
      </c>
      <c r="C2777" t="str">
        <f>_xlfn.XLOOKUP(A2777,[1]Municipios!$B:$B,[1]Municipios!$D:$D)</f>
        <v>Terra Roxa</v>
      </c>
      <c r="D2777">
        <v>2025</v>
      </c>
      <c r="E2777" t="s">
        <v>237</v>
      </c>
      <c r="F2777">
        <v>0.5</v>
      </c>
      <c r="G2777">
        <v>44</v>
      </c>
    </row>
    <row r="2778" spans="1:7" x14ac:dyDescent="0.25">
      <c r="A2778" t="s">
        <v>309</v>
      </c>
      <c r="B2778" t="str">
        <f>_xlfn.XLOOKUP(A2778,[1]Municipios!$B:$B,[1]Municipios!$C:$C)</f>
        <v>Noroeste</v>
      </c>
      <c r="C2778" t="str">
        <f>_xlfn.XLOOKUP(A2778,[1]Municipios!$B:$B,[1]Municipios!$D:$D)</f>
        <v>Arenito-Caiuá</v>
      </c>
      <c r="D2778">
        <v>2025</v>
      </c>
      <c r="E2778" t="s">
        <v>231</v>
      </c>
      <c r="F2778">
        <v>0.33339999999999992</v>
      </c>
      <c r="G2778">
        <v>49.91</v>
      </c>
    </row>
    <row r="2779" spans="1:7" x14ac:dyDescent="0.25">
      <c r="A2779" t="s">
        <v>309</v>
      </c>
      <c r="B2779" t="str">
        <f>_xlfn.XLOOKUP(A2779,[1]Municipios!$B:$B,[1]Municipios!$C:$C)</f>
        <v>Noroeste</v>
      </c>
      <c r="C2779" t="str">
        <f>_xlfn.XLOOKUP(A2779,[1]Municipios!$B:$B,[1]Municipios!$D:$D)</f>
        <v>Arenito-Caiuá</v>
      </c>
      <c r="D2779">
        <v>2025</v>
      </c>
      <c r="E2779" t="s">
        <v>232</v>
      </c>
      <c r="F2779">
        <v>0.69240000000000002</v>
      </c>
      <c r="G2779">
        <v>49.91</v>
      </c>
    </row>
    <row r="2780" spans="1:7" x14ac:dyDescent="0.25">
      <c r="A2780" t="s">
        <v>309</v>
      </c>
      <c r="B2780" t="str">
        <f>_xlfn.XLOOKUP(A2780,[1]Municipios!$B:$B,[1]Municipios!$C:$C)</f>
        <v>Noroeste</v>
      </c>
      <c r="C2780" t="str">
        <f>_xlfn.XLOOKUP(A2780,[1]Municipios!$B:$B,[1]Municipios!$D:$D)</f>
        <v>Arenito-Caiuá</v>
      </c>
      <c r="D2780">
        <v>2025</v>
      </c>
      <c r="E2780" t="s">
        <v>233</v>
      </c>
      <c r="F2780">
        <v>0.5</v>
      </c>
      <c r="G2780">
        <v>49.91</v>
      </c>
    </row>
    <row r="2781" spans="1:7" x14ac:dyDescent="0.25">
      <c r="A2781" t="s">
        <v>309</v>
      </c>
      <c r="B2781" t="str">
        <f>_xlfn.XLOOKUP(A2781,[1]Municipios!$B:$B,[1]Municipios!$C:$C)</f>
        <v>Noroeste</v>
      </c>
      <c r="C2781" t="str">
        <f>_xlfn.XLOOKUP(A2781,[1]Municipios!$B:$B,[1]Municipios!$D:$D)</f>
        <v>Arenito-Caiuá</v>
      </c>
      <c r="D2781">
        <v>2025</v>
      </c>
      <c r="E2781" t="s">
        <v>215</v>
      </c>
      <c r="F2781">
        <v>0.5</v>
      </c>
      <c r="G2781">
        <v>49.91</v>
      </c>
    </row>
    <row r="2782" spans="1:7" x14ac:dyDescent="0.25">
      <c r="A2782" t="s">
        <v>309</v>
      </c>
      <c r="B2782" t="str">
        <f>_xlfn.XLOOKUP(A2782,[1]Municipios!$B:$B,[1]Municipios!$C:$C)</f>
        <v>Noroeste</v>
      </c>
      <c r="C2782" t="str">
        <f>_xlfn.XLOOKUP(A2782,[1]Municipios!$B:$B,[1]Municipios!$D:$D)</f>
        <v>Arenito-Caiuá</v>
      </c>
      <c r="D2782">
        <v>2025</v>
      </c>
      <c r="E2782" t="s">
        <v>234</v>
      </c>
      <c r="F2782">
        <v>0.66659999999999997</v>
      </c>
      <c r="G2782">
        <v>49.91</v>
      </c>
    </row>
    <row r="2783" spans="1:7" x14ac:dyDescent="0.25">
      <c r="A2783" t="s">
        <v>309</v>
      </c>
      <c r="B2783" t="str">
        <f>_xlfn.XLOOKUP(A2783,[1]Municipios!$B:$B,[1]Municipios!$C:$C)</f>
        <v>Noroeste</v>
      </c>
      <c r="C2783" t="str">
        <f>_xlfn.XLOOKUP(A2783,[1]Municipios!$B:$B,[1]Municipios!$D:$D)</f>
        <v>Arenito-Caiuá</v>
      </c>
      <c r="D2783">
        <v>2025</v>
      </c>
      <c r="E2783" t="s">
        <v>235</v>
      </c>
      <c r="F2783">
        <v>0.57140000000000002</v>
      </c>
      <c r="G2783">
        <v>49.91</v>
      </c>
    </row>
    <row r="2784" spans="1:7" x14ac:dyDescent="0.25">
      <c r="A2784" t="s">
        <v>309</v>
      </c>
      <c r="B2784" t="str">
        <f>_xlfn.XLOOKUP(A2784,[1]Municipios!$B:$B,[1]Municipios!$C:$C)</f>
        <v>Noroeste</v>
      </c>
      <c r="C2784" t="str">
        <f>_xlfn.XLOOKUP(A2784,[1]Municipios!$B:$B,[1]Municipios!$D:$D)</f>
        <v>Arenito-Caiuá</v>
      </c>
      <c r="D2784">
        <v>2025</v>
      </c>
      <c r="E2784" t="s">
        <v>236</v>
      </c>
      <c r="F2784">
        <v>7.6999999999999999E-2</v>
      </c>
      <c r="G2784">
        <v>49.91</v>
      </c>
    </row>
    <row r="2785" spans="1:7" x14ac:dyDescent="0.25">
      <c r="A2785" t="s">
        <v>309</v>
      </c>
      <c r="B2785" t="str">
        <f>_xlfn.XLOOKUP(A2785,[1]Municipios!$B:$B,[1]Municipios!$C:$C)</f>
        <v>Noroeste</v>
      </c>
      <c r="C2785" t="str">
        <f>_xlfn.XLOOKUP(A2785,[1]Municipios!$B:$B,[1]Municipios!$D:$D)</f>
        <v>Arenito-Caiuá</v>
      </c>
      <c r="D2785">
        <v>2025</v>
      </c>
      <c r="E2785" t="s">
        <v>237</v>
      </c>
      <c r="F2785">
        <v>0.5</v>
      </c>
      <c r="G2785">
        <v>49.91</v>
      </c>
    </row>
    <row r="2786" spans="1:7" x14ac:dyDescent="0.25">
      <c r="A2786" t="s">
        <v>265</v>
      </c>
      <c r="B2786" t="str">
        <f>_xlfn.XLOOKUP(A2786,[1]Municipios!$B:$B,[1]Municipios!$C:$C)</f>
        <v>Sul</v>
      </c>
      <c r="C2786" t="str">
        <f>_xlfn.XLOOKUP(A2786,[1]Municipios!$B:$B,[1]Municipios!$D:$D)</f>
        <v>Sudoeste Pioneiro</v>
      </c>
      <c r="D2786">
        <v>2025</v>
      </c>
      <c r="E2786" t="s">
        <v>231</v>
      </c>
      <c r="F2786">
        <v>0.88890000000000002</v>
      </c>
      <c r="G2786">
        <v>81.14</v>
      </c>
    </row>
    <row r="2787" spans="1:7" x14ac:dyDescent="0.25">
      <c r="A2787" t="s">
        <v>265</v>
      </c>
      <c r="B2787" t="str">
        <f>_xlfn.XLOOKUP(A2787,[1]Municipios!$B:$B,[1]Municipios!$C:$C)</f>
        <v>Sul</v>
      </c>
      <c r="C2787" t="str">
        <f>_xlfn.XLOOKUP(A2787,[1]Municipios!$B:$B,[1]Municipios!$D:$D)</f>
        <v>Sudoeste Pioneiro</v>
      </c>
      <c r="D2787">
        <v>2025</v>
      </c>
      <c r="E2787" t="s">
        <v>232</v>
      </c>
      <c r="F2787">
        <v>0.84619999999999995</v>
      </c>
      <c r="G2787">
        <v>81.14</v>
      </c>
    </row>
    <row r="2788" spans="1:7" x14ac:dyDescent="0.25">
      <c r="A2788" t="s">
        <v>265</v>
      </c>
      <c r="B2788" t="str">
        <f>_xlfn.XLOOKUP(A2788,[1]Municipios!$B:$B,[1]Municipios!$C:$C)</f>
        <v>Sul</v>
      </c>
      <c r="C2788" t="str">
        <f>_xlfn.XLOOKUP(A2788,[1]Municipios!$B:$B,[1]Municipios!$D:$D)</f>
        <v>Sudoeste Pioneiro</v>
      </c>
      <c r="D2788">
        <v>2025</v>
      </c>
      <c r="E2788" t="s">
        <v>233</v>
      </c>
      <c r="F2788">
        <v>0.875</v>
      </c>
      <c r="G2788">
        <v>81.14</v>
      </c>
    </row>
    <row r="2789" spans="1:7" x14ac:dyDescent="0.25">
      <c r="A2789" t="s">
        <v>265</v>
      </c>
      <c r="B2789" t="str">
        <f>_xlfn.XLOOKUP(A2789,[1]Municipios!$B:$B,[1]Municipios!$C:$C)</f>
        <v>Sul</v>
      </c>
      <c r="C2789" t="str">
        <f>_xlfn.XLOOKUP(A2789,[1]Municipios!$B:$B,[1]Municipios!$D:$D)</f>
        <v>Sudoeste Pioneiro</v>
      </c>
      <c r="D2789">
        <v>2025</v>
      </c>
      <c r="E2789" t="s">
        <v>215</v>
      </c>
      <c r="F2789">
        <v>0.79999999999999993</v>
      </c>
      <c r="G2789">
        <v>81.14</v>
      </c>
    </row>
    <row r="2790" spans="1:7" x14ac:dyDescent="0.25">
      <c r="A2790" t="s">
        <v>265</v>
      </c>
      <c r="B2790" t="str">
        <f>_xlfn.XLOOKUP(A2790,[1]Municipios!$B:$B,[1]Municipios!$C:$C)</f>
        <v>Sul</v>
      </c>
      <c r="C2790" t="str">
        <f>_xlfn.XLOOKUP(A2790,[1]Municipios!$B:$B,[1]Municipios!$D:$D)</f>
        <v>Sudoeste Pioneiro</v>
      </c>
      <c r="D2790">
        <v>2025</v>
      </c>
      <c r="E2790" t="s">
        <v>234</v>
      </c>
      <c r="F2790">
        <v>0.88890000000000002</v>
      </c>
      <c r="G2790">
        <v>81.14</v>
      </c>
    </row>
    <row r="2791" spans="1:7" x14ac:dyDescent="0.25">
      <c r="A2791" t="s">
        <v>265</v>
      </c>
      <c r="B2791" t="str">
        <f>_xlfn.XLOOKUP(A2791,[1]Municipios!$B:$B,[1]Municipios!$C:$C)</f>
        <v>Sul</v>
      </c>
      <c r="C2791" t="str">
        <f>_xlfn.XLOOKUP(A2791,[1]Municipios!$B:$B,[1]Municipios!$D:$D)</f>
        <v>Sudoeste Pioneiro</v>
      </c>
      <c r="D2791">
        <v>2025</v>
      </c>
      <c r="E2791" t="s">
        <v>235</v>
      </c>
      <c r="F2791">
        <v>1</v>
      </c>
      <c r="G2791">
        <v>81.14</v>
      </c>
    </row>
    <row r="2792" spans="1:7" x14ac:dyDescent="0.25">
      <c r="A2792" t="s">
        <v>265</v>
      </c>
      <c r="B2792" t="str">
        <f>_xlfn.XLOOKUP(A2792,[1]Municipios!$B:$B,[1]Municipios!$C:$C)</f>
        <v>Sul</v>
      </c>
      <c r="C2792" t="str">
        <f>_xlfn.XLOOKUP(A2792,[1]Municipios!$B:$B,[1]Municipios!$D:$D)</f>
        <v>Sudoeste Pioneiro</v>
      </c>
      <c r="D2792">
        <v>2025</v>
      </c>
      <c r="E2792" t="s">
        <v>236</v>
      </c>
      <c r="F2792">
        <v>0.15390000000000001</v>
      </c>
      <c r="G2792">
        <v>81.14</v>
      </c>
    </row>
    <row r="2793" spans="1:7" x14ac:dyDescent="0.25">
      <c r="A2793" t="s">
        <v>265</v>
      </c>
      <c r="B2793" t="str">
        <f>_xlfn.XLOOKUP(A2793,[1]Municipios!$B:$B,[1]Municipios!$C:$C)</f>
        <v>Sul</v>
      </c>
      <c r="C2793" t="str">
        <f>_xlfn.XLOOKUP(A2793,[1]Municipios!$B:$B,[1]Municipios!$D:$D)</f>
        <v>Sudoeste Pioneiro</v>
      </c>
      <c r="D2793">
        <v>2025</v>
      </c>
      <c r="E2793" t="s">
        <v>237</v>
      </c>
      <c r="F2793">
        <v>1</v>
      </c>
      <c r="G2793">
        <v>81.14</v>
      </c>
    </row>
    <row r="2794" spans="1:7" x14ac:dyDescent="0.25">
      <c r="A2794" t="s">
        <v>359</v>
      </c>
      <c r="B2794" t="str">
        <f>_xlfn.XLOOKUP(A2794,[1]Municipios!$B:$B,[1]Municipios!$C:$C)</f>
        <v>Norte</v>
      </c>
      <c r="C2794" t="str">
        <f>_xlfn.XLOOKUP(A2794,[1]Municipios!$B:$B,[1]Municipios!$D:$D)</f>
        <v>Norte Pioneiro</v>
      </c>
      <c r="D2794">
        <v>2025</v>
      </c>
      <c r="E2794" t="s">
        <v>231</v>
      </c>
      <c r="F2794">
        <v>0.88890000000000002</v>
      </c>
      <c r="G2794">
        <v>89.47</v>
      </c>
    </row>
    <row r="2795" spans="1:7" x14ac:dyDescent="0.25">
      <c r="A2795" t="s">
        <v>359</v>
      </c>
      <c r="B2795" t="str">
        <f>_xlfn.XLOOKUP(A2795,[1]Municipios!$B:$B,[1]Municipios!$C:$C)</f>
        <v>Norte</v>
      </c>
      <c r="C2795" t="str">
        <f>_xlfn.XLOOKUP(A2795,[1]Municipios!$B:$B,[1]Municipios!$D:$D)</f>
        <v>Norte Pioneiro</v>
      </c>
      <c r="D2795">
        <v>2025</v>
      </c>
      <c r="E2795" t="s">
        <v>232</v>
      </c>
      <c r="F2795">
        <v>0.92310000000000003</v>
      </c>
      <c r="G2795">
        <v>89.47</v>
      </c>
    </row>
    <row r="2796" spans="1:7" x14ac:dyDescent="0.25">
      <c r="A2796" t="s">
        <v>359</v>
      </c>
      <c r="B2796" t="str">
        <f>_xlfn.XLOOKUP(A2796,[1]Municipios!$B:$B,[1]Municipios!$C:$C)</f>
        <v>Norte</v>
      </c>
      <c r="C2796" t="str">
        <f>_xlfn.XLOOKUP(A2796,[1]Municipios!$B:$B,[1]Municipios!$D:$D)</f>
        <v>Norte Pioneiro</v>
      </c>
      <c r="D2796">
        <v>2025</v>
      </c>
      <c r="E2796" t="s">
        <v>233</v>
      </c>
      <c r="F2796">
        <v>0.875</v>
      </c>
      <c r="G2796">
        <v>89.47</v>
      </c>
    </row>
    <row r="2797" spans="1:7" x14ac:dyDescent="0.25">
      <c r="A2797" t="s">
        <v>359</v>
      </c>
      <c r="B2797" t="str">
        <f>_xlfn.XLOOKUP(A2797,[1]Municipios!$B:$B,[1]Municipios!$C:$C)</f>
        <v>Norte</v>
      </c>
      <c r="C2797" t="str">
        <f>_xlfn.XLOOKUP(A2797,[1]Municipios!$B:$B,[1]Municipios!$D:$D)</f>
        <v>Norte Pioneiro</v>
      </c>
      <c r="D2797">
        <v>2025</v>
      </c>
      <c r="E2797" t="s">
        <v>215</v>
      </c>
      <c r="F2797">
        <v>0.85</v>
      </c>
      <c r="G2797">
        <v>89.47</v>
      </c>
    </row>
    <row r="2798" spans="1:7" x14ac:dyDescent="0.25">
      <c r="A2798" t="s">
        <v>359</v>
      </c>
      <c r="B2798" t="str">
        <f>_xlfn.XLOOKUP(A2798,[1]Municipios!$B:$B,[1]Municipios!$C:$C)</f>
        <v>Norte</v>
      </c>
      <c r="C2798" t="str">
        <f>_xlfn.XLOOKUP(A2798,[1]Municipios!$B:$B,[1]Municipios!$D:$D)</f>
        <v>Norte Pioneiro</v>
      </c>
      <c r="D2798">
        <v>2025</v>
      </c>
      <c r="E2798" t="s">
        <v>234</v>
      </c>
      <c r="F2798">
        <v>1</v>
      </c>
      <c r="G2798">
        <v>89.47</v>
      </c>
    </row>
    <row r="2799" spans="1:7" x14ac:dyDescent="0.25">
      <c r="A2799" t="s">
        <v>359</v>
      </c>
      <c r="B2799" t="str">
        <f>_xlfn.XLOOKUP(A2799,[1]Municipios!$B:$B,[1]Municipios!$C:$C)</f>
        <v>Norte</v>
      </c>
      <c r="C2799" t="str">
        <f>_xlfn.XLOOKUP(A2799,[1]Municipios!$B:$B,[1]Municipios!$D:$D)</f>
        <v>Norte Pioneiro</v>
      </c>
      <c r="D2799">
        <v>2025</v>
      </c>
      <c r="E2799" t="s">
        <v>235</v>
      </c>
      <c r="F2799">
        <v>1</v>
      </c>
      <c r="G2799">
        <v>89.47</v>
      </c>
    </row>
    <row r="2800" spans="1:7" x14ac:dyDescent="0.25">
      <c r="A2800" t="s">
        <v>359</v>
      </c>
      <c r="B2800" t="str">
        <f>_xlfn.XLOOKUP(A2800,[1]Municipios!$B:$B,[1]Municipios!$C:$C)</f>
        <v>Norte</v>
      </c>
      <c r="C2800" t="str">
        <f>_xlfn.XLOOKUP(A2800,[1]Municipios!$B:$B,[1]Municipios!$D:$D)</f>
        <v>Norte Pioneiro</v>
      </c>
      <c r="D2800">
        <v>2025</v>
      </c>
      <c r="E2800" t="s">
        <v>236</v>
      </c>
      <c r="F2800">
        <v>0.53849999999999987</v>
      </c>
      <c r="G2800">
        <v>89.47</v>
      </c>
    </row>
    <row r="2801" spans="1:7" x14ac:dyDescent="0.25">
      <c r="A2801" t="s">
        <v>359</v>
      </c>
      <c r="B2801" t="str">
        <f>_xlfn.XLOOKUP(A2801,[1]Municipios!$B:$B,[1]Municipios!$C:$C)</f>
        <v>Norte</v>
      </c>
      <c r="C2801" t="str">
        <f>_xlfn.XLOOKUP(A2801,[1]Municipios!$B:$B,[1]Municipios!$D:$D)</f>
        <v>Norte Pioneiro</v>
      </c>
      <c r="D2801">
        <v>2025</v>
      </c>
      <c r="E2801" t="s">
        <v>237</v>
      </c>
      <c r="F2801">
        <v>1</v>
      </c>
      <c r="G2801">
        <v>89.47</v>
      </c>
    </row>
    <row r="2802" spans="1:7" x14ac:dyDescent="0.25">
      <c r="A2802" t="s">
        <v>622</v>
      </c>
      <c r="B2802" t="str">
        <f>_xlfn.XLOOKUP(A2802,[1]Municipios!$B:$B,[1]Municipios!$C:$C)</f>
        <v>Oeste</v>
      </c>
      <c r="C2802" t="str">
        <f>_xlfn.XLOOKUP(A2802,[1]Municipios!$B:$B,[1]Municipios!$D:$D)</f>
        <v>Oeste Integrado</v>
      </c>
      <c r="D2802">
        <v>2025</v>
      </c>
      <c r="E2802" t="s">
        <v>231</v>
      </c>
      <c r="F2802">
        <v>0</v>
      </c>
      <c r="G2802">
        <v>29.06</v>
      </c>
    </row>
    <row r="2803" spans="1:7" x14ac:dyDescent="0.25">
      <c r="A2803" t="s">
        <v>622</v>
      </c>
      <c r="B2803" t="str">
        <f>_xlfn.XLOOKUP(A2803,[1]Municipios!$B:$B,[1]Municipios!$C:$C)</f>
        <v>Oeste</v>
      </c>
      <c r="C2803" t="str">
        <f>_xlfn.XLOOKUP(A2803,[1]Municipios!$B:$B,[1]Municipios!$D:$D)</f>
        <v>Oeste Integrado</v>
      </c>
      <c r="D2803">
        <v>2025</v>
      </c>
      <c r="E2803" t="s">
        <v>232</v>
      </c>
      <c r="F2803">
        <v>0.30760000000000004</v>
      </c>
      <c r="G2803">
        <v>29.06</v>
      </c>
    </row>
    <row r="2804" spans="1:7" x14ac:dyDescent="0.25">
      <c r="A2804" t="s">
        <v>622</v>
      </c>
      <c r="B2804" t="str">
        <f>_xlfn.XLOOKUP(A2804,[1]Municipios!$B:$B,[1]Municipios!$C:$C)</f>
        <v>Oeste</v>
      </c>
      <c r="C2804" t="str">
        <f>_xlfn.XLOOKUP(A2804,[1]Municipios!$B:$B,[1]Municipios!$D:$D)</f>
        <v>Oeste Integrado</v>
      </c>
      <c r="D2804">
        <v>2025</v>
      </c>
      <c r="E2804" t="s">
        <v>233</v>
      </c>
      <c r="F2804">
        <v>0.625</v>
      </c>
      <c r="G2804">
        <v>29.06</v>
      </c>
    </row>
    <row r="2805" spans="1:7" x14ac:dyDescent="0.25">
      <c r="A2805" t="s">
        <v>622</v>
      </c>
      <c r="B2805" t="str">
        <f>_xlfn.XLOOKUP(A2805,[1]Municipios!$B:$B,[1]Municipios!$C:$C)</f>
        <v>Oeste</v>
      </c>
      <c r="C2805" t="str">
        <f>_xlfn.XLOOKUP(A2805,[1]Municipios!$B:$B,[1]Municipios!$D:$D)</f>
        <v>Oeste Integrado</v>
      </c>
      <c r="D2805">
        <v>2025</v>
      </c>
      <c r="E2805" t="s">
        <v>215</v>
      </c>
      <c r="F2805">
        <v>0.4499999999999999</v>
      </c>
      <c r="G2805">
        <v>29.06</v>
      </c>
    </row>
    <row r="2806" spans="1:7" x14ac:dyDescent="0.25">
      <c r="A2806" t="s">
        <v>622</v>
      </c>
      <c r="B2806" t="str">
        <f>_xlfn.XLOOKUP(A2806,[1]Municipios!$B:$B,[1]Municipios!$C:$C)</f>
        <v>Oeste</v>
      </c>
      <c r="C2806" t="str">
        <f>_xlfn.XLOOKUP(A2806,[1]Municipios!$B:$B,[1]Municipios!$D:$D)</f>
        <v>Oeste Integrado</v>
      </c>
      <c r="D2806">
        <v>2025</v>
      </c>
      <c r="E2806" t="s">
        <v>234</v>
      </c>
      <c r="F2806">
        <v>0.66659999999999997</v>
      </c>
      <c r="G2806">
        <v>29.06</v>
      </c>
    </row>
    <row r="2807" spans="1:7" x14ac:dyDescent="0.25">
      <c r="A2807" t="s">
        <v>622</v>
      </c>
      <c r="B2807" t="str">
        <f>_xlfn.XLOOKUP(A2807,[1]Municipios!$B:$B,[1]Municipios!$C:$C)</f>
        <v>Oeste</v>
      </c>
      <c r="C2807" t="str">
        <f>_xlfn.XLOOKUP(A2807,[1]Municipios!$B:$B,[1]Municipios!$D:$D)</f>
        <v>Oeste Integrado</v>
      </c>
      <c r="D2807">
        <v>2025</v>
      </c>
      <c r="E2807" t="s">
        <v>235</v>
      </c>
      <c r="F2807">
        <v>0.28570000000000001</v>
      </c>
      <c r="G2807">
        <v>29.06</v>
      </c>
    </row>
    <row r="2808" spans="1:7" x14ac:dyDescent="0.25">
      <c r="A2808" t="s">
        <v>622</v>
      </c>
      <c r="B2808" t="str">
        <f>_xlfn.XLOOKUP(A2808,[1]Municipios!$B:$B,[1]Municipios!$C:$C)</f>
        <v>Oeste</v>
      </c>
      <c r="C2808" t="str">
        <f>_xlfn.XLOOKUP(A2808,[1]Municipios!$B:$B,[1]Municipios!$D:$D)</f>
        <v>Oeste Integrado</v>
      </c>
      <c r="D2808">
        <v>2025</v>
      </c>
      <c r="E2808" t="s">
        <v>236</v>
      </c>
      <c r="F2808">
        <v>0</v>
      </c>
      <c r="G2808">
        <v>29.06</v>
      </c>
    </row>
    <row r="2809" spans="1:7" x14ac:dyDescent="0.25">
      <c r="A2809" t="s">
        <v>622</v>
      </c>
      <c r="B2809" t="str">
        <f>_xlfn.XLOOKUP(A2809,[1]Municipios!$B:$B,[1]Municipios!$C:$C)</f>
        <v>Oeste</v>
      </c>
      <c r="C2809" t="str">
        <f>_xlfn.XLOOKUP(A2809,[1]Municipios!$B:$B,[1]Municipios!$D:$D)</f>
        <v>Oeste Integrado</v>
      </c>
      <c r="D2809">
        <v>2025</v>
      </c>
      <c r="E2809" t="s">
        <v>237</v>
      </c>
      <c r="F2809">
        <v>0</v>
      </c>
      <c r="G2809">
        <v>29.06</v>
      </c>
    </row>
    <row r="2810" spans="1:7" x14ac:dyDescent="0.25">
      <c r="A2810" t="s">
        <v>336</v>
      </c>
      <c r="B2810" t="str">
        <f>_xlfn.XLOOKUP(A2810,[1]Municipios!$B:$B,[1]Municipios!$C:$C)</f>
        <v>Leste</v>
      </c>
      <c r="C2810" t="str">
        <f>_xlfn.XLOOKUP(A2810,[1]Municipios!$B:$B,[1]Municipios!$D:$D)</f>
        <v>RMC</v>
      </c>
      <c r="D2810">
        <v>2025</v>
      </c>
      <c r="E2810" t="s">
        <v>231</v>
      </c>
      <c r="F2810">
        <v>0.77779999999999994</v>
      </c>
      <c r="G2810">
        <v>88.66</v>
      </c>
    </row>
    <row r="2811" spans="1:7" x14ac:dyDescent="0.25">
      <c r="A2811" t="s">
        <v>336</v>
      </c>
      <c r="B2811" t="str">
        <f>_xlfn.XLOOKUP(A2811,[1]Municipios!$B:$B,[1]Municipios!$C:$C)</f>
        <v>Leste</v>
      </c>
      <c r="C2811" t="str">
        <f>_xlfn.XLOOKUP(A2811,[1]Municipios!$B:$B,[1]Municipios!$D:$D)</f>
        <v>RMC</v>
      </c>
      <c r="D2811">
        <v>2025</v>
      </c>
      <c r="E2811" t="s">
        <v>232</v>
      </c>
      <c r="F2811">
        <v>0.92310000000000003</v>
      </c>
      <c r="G2811">
        <v>88.66</v>
      </c>
    </row>
    <row r="2812" spans="1:7" x14ac:dyDescent="0.25">
      <c r="A2812" t="s">
        <v>336</v>
      </c>
      <c r="B2812" t="str">
        <f>_xlfn.XLOOKUP(A2812,[1]Municipios!$B:$B,[1]Municipios!$C:$C)</f>
        <v>Leste</v>
      </c>
      <c r="C2812" t="str">
        <f>_xlfn.XLOOKUP(A2812,[1]Municipios!$B:$B,[1]Municipios!$D:$D)</f>
        <v>RMC</v>
      </c>
      <c r="D2812">
        <v>2025</v>
      </c>
      <c r="E2812" t="s">
        <v>233</v>
      </c>
      <c r="F2812">
        <v>0.875</v>
      </c>
      <c r="G2812">
        <v>88.66</v>
      </c>
    </row>
    <row r="2813" spans="1:7" x14ac:dyDescent="0.25">
      <c r="A2813" t="s">
        <v>336</v>
      </c>
      <c r="B2813" t="str">
        <f>_xlfn.XLOOKUP(A2813,[1]Municipios!$B:$B,[1]Municipios!$C:$C)</f>
        <v>Leste</v>
      </c>
      <c r="C2813" t="str">
        <f>_xlfn.XLOOKUP(A2813,[1]Municipios!$B:$B,[1]Municipios!$D:$D)</f>
        <v>RMC</v>
      </c>
      <c r="D2813">
        <v>2025</v>
      </c>
      <c r="E2813" t="s">
        <v>215</v>
      </c>
      <c r="F2813">
        <v>0.9</v>
      </c>
      <c r="G2813">
        <v>88.66</v>
      </c>
    </row>
    <row r="2814" spans="1:7" x14ac:dyDescent="0.25">
      <c r="A2814" t="s">
        <v>336</v>
      </c>
      <c r="B2814" t="str">
        <f>_xlfn.XLOOKUP(A2814,[1]Municipios!$B:$B,[1]Municipios!$C:$C)</f>
        <v>Leste</v>
      </c>
      <c r="C2814" t="str">
        <f>_xlfn.XLOOKUP(A2814,[1]Municipios!$B:$B,[1]Municipios!$D:$D)</f>
        <v>RMC</v>
      </c>
      <c r="D2814">
        <v>2025</v>
      </c>
      <c r="E2814" t="s">
        <v>234</v>
      </c>
      <c r="F2814">
        <v>0.77780000000000005</v>
      </c>
      <c r="G2814">
        <v>88.66</v>
      </c>
    </row>
    <row r="2815" spans="1:7" x14ac:dyDescent="0.25">
      <c r="A2815" t="s">
        <v>336</v>
      </c>
      <c r="B2815" t="str">
        <f>_xlfn.XLOOKUP(A2815,[1]Municipios!$B:$B,[1]Municipios!$C:$C)</f>
        <v>Leste</v>
      </c>
      <c r="C2815" t="str">
        <f>_xlfn.XLOOKUP(A2815,[1]Municipios!$B:$B,[1]Municipios!$D:$D)</f>
        <v>RMC</v>
      </c>
      <c r="D2815">
        <v>2025</v>
      </c>
      <c r="E2815" t="s">
        <v>235</v>
      </c>
      <c r="F2815">
        <v>1</v>
      </c>
      <c r="G2815">
        <v>88.66</v>
      </c>
    </row>
    <row r="2816" spans="1:7" x14ac:dyDescent="0.25">
      <c r="A2816" t="s">
        <v>336</v>
      </c>
      <c r="B2816" t="str">
        <f>_xlfn.XLOOKUP(A2816,[1]Municipios!$B:$B,[1]Municipios!$C:$C)</f>
        <v>Leste</v>
      </c>
      <c r="C2816" t="str">
        <f>_xlfn.XLOOKUP(A2816,[1]Municipios!$B:$B,[1]Municipios!$D:$D)</f>
        <v>RMC</v>
      </c>
      <c r="D2816">
        <v>2025</v>
      </c>
      <c r="E2816" t="s">
        <v>236</v>
      </c>
      <c r="F2816">
        <v>0.84620000000000006</v>
      </c>
      <c r="G2816">
        <v>88.66</v>
      </c>
    </row>
    <row r="2817" spans="1:7" x14ac:dyDescent="0.25">
      <c r="A2817" t="s">
        <v>336</v>
      </c>
      <c r="B2817" t="str">
        <f>_xlfn.XLOOKUP(A2817,[1]Municipios!$B:$B,[1]Municipios!$C:$C)</f>
        <v>Leste</v>
      </c>
      <c r="C2817" t="str">
        <f>_xlfn.XLOOKUP(A2817,[1]Municipios!$B:$B,[1]Municipios!$D:$D)</f>
        <v>RMC</v>
      </c>
      <c r="D2817">
        <v>2025</v>
      </c>
      <c r="E2817" t="s">
        <v>237</v>
      </c>
      <c r="F2817">
        <v>1</v>
      </c>
      <c r="G2817">
        <v>88.66</v>
      </c>
    </row>
    <row r="2818" spans="1:7" x14ac:dyDescent="0.25">
      <c r="A2818" t="s">
        <v>539</v>
      </c>
      <c r="B2818" t="str">
        <f>_xlfn.XLOOKUP(A2818,[1]Municipios!$B:$B,[1]Municipios!$C:$C)</f>
        <v>Noroeste</v>
      </c>
      <c r="C2818" t="str">
        <f>_xlfn.XLOOKUP(A2818,[1]Municipios!$B:$B,[1]Municipios!$D:$D)</f>
        <v>Médio Noroeste</v>
      </c>
      <c r="D2818">
        <v>2025</v>
      </c>
      <c r="E2818" t="s">
        <v>231</v>
      </c>
      <c r="F2818">
        <v>0.44439999999999996</v>
      </c>
      <c r="G2818">
        <v>75.36</v>
      </c>
    </row>
    <row r="2819" spans="1:7" x14ac:dyDescent="0.25">
      <c r="A2819" t="s">
        <v>539</v>
      </c>
      <c r="B2819" t="str">
        <f>_xlfn.XLOOKUP(A2819,[1]Municipios!$B:$B,[1]Municipios!$C:$C)</f>
        <v>Noroeste</v>
      </c>
      <c r="C2819" t="str">
        <f>_xlfn.XLOOKUP(A2819,[1]Municipios!$B:$B,[1]Municipios!$D:$D)</f>
        <v>Médio Noroeste</v>
      </c>
      <c r="D2819">
        <v>2025</v>
      </c>
      <c r="E2819" t="s">
        <v>232</v>
      </c>
      <c r="F2819">
        <v>0.92310000000000003</v>
      </c>
      <c r="G2819">
        <v>75.36</v>
      </c>
    </row>
    <row r="2820" spans="1:7" x14ac:dyDescent="0.25">
      <c r="A2820" t="s">
        <v>539</v>
      </c>
      <c r="B2820" t="str">
        <f>_xlfn.XLOOKUP(A2820,[1]Municipios!$B:$B,[1]Municipios!$C:$C)</f>
        <v>Noroeste</v>
      </c>
      <c r="C2820" t="str">
        <f>_xlfn.XLOOKUP(A2820,[1]Municipios!$B:$B,[1]Municipios!$D:$D)</f>
        <v>Médio Noroeste</v>
      </c>
      <c r="D2820">
        <v>2025</v>
      </c>
      <c r="E2820" t="s">
        <v>233</v>
      </c>
      <c r="F2820">
        <v>0.625</v>
      </c>
      <c r="G2820">
        <v>75.36</v>
      </c>
    </row>
    <row r="2821" spans="1:7" x14ac:dyDescent="0.25">
      <c r="A2821" t="s">
        <v>539</v>
      </c>
      <c r="B2821" t="str">
        <f>_xlfn.XLOOKUP(A2821,[1]Municipios!$B:$B,[1]Municipios!$C:$C)</f>
        <v>Noroeste</v>
      </c>
      <c r="C2821" t="str">
        <f>_xlfn.XLOOKUP(A2821,[1]Municipios!$B:$B,[1]Municipios!$D:$D)</f>
        <v>Médio Noroeste</v>
      </c>
      <c r="D2821">
        <v>2025</v>
      </c>
      <c r="E2821" t="s">
        <v>215</v>
      </c>
      <c r="F2821">
        <v>0.79999999999999993</v>
      </c>
      <c r="G2821">
        <v>75.36</v>
      </c>
    </row>
    <row r="2822" spans="1:7" x14ac:dyDescent="0.25">
      <c r="A2822" t="s">
        <v>539</v>
      </c>
      <c r="B2822" t="str">
        <f>_xlfn.XLOOKUP(A2822,[1]Municipios!$B:$B,[1]Municipios!$C:$C)</f>
        <v>Noroeste</v>
      </c>
      <c r="C2822" t="str">
        <f>_xlfn.XLOOKUP(A2822,[1]Municipios!$B:$B,[1]Municipios!$D:$D)</f>
        <v>Médio Noroeste</v>
      </c>
      <c r="D2822">
        <v>2025</v>
      </c>
      <c r="E2822" t="s">
        <v>234</v>
      </c>
      <c r="F2822">
        <v>0.55549999999999999</v>
      </c>
      <c r="G2822">
        <v>75.36</v>
      </c>
    </row>
    <row r="2823" spans="1:7" x14ac:dyDescent="0.25">
      <c r="A2823" t="s">
        <v>539</v>
      </c>
      <c r="B2823" t="str">
        <f>_xlfn.XLOOKUP(A2823,[1]Municipios!$B:$B,[1]Municipios!$C:$C)</f>
        <v>Noroeste</v>
      </c>
      <c r="C2823" t="str">
        <f>_xlfn.XLOOKUP(A2823,[1]Municipios!$B:$B,[1]Municipios!$D:$D)</f>
        <v>Médio Noroeste</v>
      </c>
      <c r="D2823">
        <v>2025</v>
      </c>
      <c r="E2823" t="s">
        <v>235</v>
      </c>
      <c r="F2823">
        <v>0.85720000000000007</v>
      </c>
      <c r="G2823">
        <v>75.36</v>
      </c>
    </row>
    <row r="2824" spans="1:7" x14ac:dyDescent="0.25">
      <c r="A2824" t="s">
        <v>539</v>
      </c>
      <c r="B2824" t="str">
        <f>_xlfn.XLOOKUP(A2824,[1]Municipios!$B:$B,[1]Municipios!$C:$C)</f>
        <v>Noroeste</v>
      </c>
      <c r="C2824" t="str">
        <f>_xlfn.XLOOKUP(A2824,[1]Municipios!$B:$B,[1]Municipios!$D:$D)</f>
        <v>Médio Noroeste</v>
      </c>
      <c r="D2824">
        <v>2025</v>
      </c>
      <c r="E2824" t="s">
        <v>236</v>
      </c>
      <c r="F2824">
        <v>0.76919999999999977</v>
      </c>
      <c r="G2824">
        <v>75.36</v>
      </c>
    </row>
    <row r="2825" spans="1:7" x14ac:dyDescent="0.25">
      <c r="A2825" t="s">
        <v>539</v>
      </c>
      <c r="B2825" t="str">
        <f>_xlfn.XLOOKUP(A2825,[1]Municipios!$B:$B,[1]Municipios!$C:$C)</f>
        <v>Noroeste</v>
      </c>
      <c r="C2825" t="str">
        <f>_xlfn.XLOOKUP(A2825,[1]Municipios!$B:$B,[1]Municipios!$D:$D)</f>
        <v>Médio Noroeste</v>
      </c>
      <c r="D2825">
        <v>2025</v>
      </c>
      <c r="E2825" t="s">
        <v>237</v>
      </c>
      <c r="F2825">
        <v>1</v>
      </c>
      <c r="G2825">
        <v>75.36</v>
      </c>
    </row>
    <row r="2826" spans="1:7" x14ac:dyDescent="0.25">
      <c r="A2826" t="s">
        <v>299</v>
      </c>
      <c r="B2826" t="str">
        <f>_xlfn.XLOOKUP(A2826,[1]Municipios!$B:$B,[1]Municipios!$C:$C)</f>
        <v>Sul</v>
      </c>
      <c r="C2826" t="str">
        <f>_xlfn.XLOOKUP(A2826,[1]Municipios!$B:$B,[1]Municipios!$D:$D)</f>
        <v>Sul do Paraná</v>
      </c>
      <c r="D2826">
        <v>2025</v>
      </c>
      <c r="E2826" t="s">
        <v>231</v>
      </c>
      <c r="F2826">
        <v>0.55559999999999998</v>
      </c>
      <c r="G2826">
        <v>79.52</v>
      </c>
    </row>
    <row r="2827" spans="1:7" x14ac:dyDescent="0.25">
      <c r="A2827" t="s">
        <v>299</v>
      </c>
      <c r="B2827" t="str">
        <f>_xlfn.XLOOKUP(A2827,[1]Municipios!$B:$B,[1]Municipios!$C:$C)</f>
        <v>Sul</v>
      </c>
      <c r="C2827" t="str">
        <f>_xlfn.XLOOKUP(A2827,[1]Municipios!$B:$B,[1]Municipios!$D:$D)</f>
        <v>Sul do Paraná</v>
      </c>
      <c r="D2827">
        <v>2025</v>
      </c>
      <c r="E2827" t="s">
        <v>232</v>
      </c>
      <c r="F2827">
        <v>0.76929999999999998</v>
      </c>
      <c r="G2827">
        <v>79.52</v>
      </c>
    </row>
    <row r="2828" spans="1:7" x14ac:dyDescent="0.25">
      <c r="A2828" t="s">
        <v>299</v>
      </c>
      <c r="B2828" t="str">
        <f>_xlfn.XLOOKUP(A2828,[1]Municipios!$B:$B,[1]Municipios!$C:$C)</f>
        <v>Sul</v>
      </c>
      <c r="C2828" t="str">
        <f>_xlfn.XLOOKUP(A2828,[1]Municipios!$B:$B,[1]Municipios!$D:$D)</f>
        <v>Sul do Paraná</v>
      </c>
      <c r="D2828">
        <v>2025</v>
      </c>
      <c r="E2828" t="s">
        <v>233</v>
      </c>
      <c r="F2828">
        <v>0.875</v>
      </c>
      <c r="G2828">
        <v>79.52</v>
      </c>
    </row>
    <row r="2829" spans="1:7" x14ac:dyDescent="0.25">
      <c r="A2829" t="s">
        <v>299</v>
      </c>
      <c r="B2829" t="str">
        <f>_xlfn.XLOOKUP(A2829,[1]Municipios!$B:$B,[1]Municipios!$C:$C)</f>
        <v>Sul</v>
      </c>
      <c r="C2829" t="str">
        <f>_xlfn.XLOOKUP(A2829,[1]Municipios!$B:$B,[1]Municipios!$D:$D)</f>
        <v>Sul do Paraná</v>
      </c>
      <c r="D2829">
        <v>2025</v>
      </c>
      <c r="E2829" t="s">
        <v>215</v>
      </c>
      <c r="F2829">
        <v>0.79999999999999993</v>
      </c>
      <c r="G2829">
        <v>79.52</v>
      </c>
    </row>
    <row r="2830" spans="1:7" x14ac:dyDescent="0.25">
      <c r="A2830" t="s">
        <v>299</v>
      </c>
      <c r="B2830" t="str">
        <f>_xlfn.XLOOKUP(A2830,[1]Municipios!$B:$B,[1]Municipios!$C:$C)</f>
        <v>Sul</v>
      </c>
      <c r="C2830" t="str">
        <f>_xlfn.XLOOKUP(A2830,[1]Municipios!$B:$B,[1]Municipios!$D:$D)</f>
        <v>Sul do Paraná</v>
      </c>
      <c r="D2830">
        <v>2025</v>
      </c>
      <c r="E2830" t="s">
        <v>234</v>
      </c>
      <c r="F2830">
        <v>0.66669999999999996</v>
      </c>
      <c r="G2830">
        <v>79.52</v>
      </c>
    </row>
    <row r="2831" spans="1:7" x14ac:dyDescent="0.25">
      <c r="A2831" t="s">
        <v>299</v>
      </c>
      <c r="B2831" t="str">
        <f>_xlfn.XLOOKUP(A2831,[1]Municipios!$B:$B,[1]Municipios!$C:$C)</f>
        <v>Sul</v>
      </c>
      <c r="C2831" t="str">
        <f>_xlfn.XLOOKUP(A2831,[1]Municipios!$B:$B,[1]Municipios!$D:$D)</f>
        <v>Sul do Paraná</v>
      </c>
      <c r="D2831">
        <v>2025</v>
      </c>
      <c r="E2831" t="s">
        <v>235</v>
      </c>
      <c r="F2831">
        <v>1</v>
      </c>
      <c r="G2831">
        <v>79.52</v>
      </c>
    </row>
    <row r="2832" spans="1:7" x14ac:dyDescent="0.25">
      <c r="A2832" t="s">
        <v>299</v>
      </c>
      <c r="B2832" t="str">
        <f>_xlfn.XLOOKUP(A2832,[1]Municipios!$B:$B,[1]Municipios!$C:$C)</f>
        <v>Sul</v>
      </c>
      <c r="C2832" t="str">
        <f>_xlfn.XLOOKUP(A2832,[1]Municipios!$B:$B,[1]Municipios!$D:$D)</f>
        <v>Sul do Paraná</v>
      </c>
      <c r="D2832">
        <v>2025</v>
      </c>
      <c r="E2832" t="s">
        <v>236</v>
      </c>
      <c r="F2832">
        <v>0.76929999999999987</v>
      </c>
      <c r="G2832">
        <v>79.52</v>
      </c>
    </row>
    <row r="2833" spans="1:7" x14ac:dyDescent="0.25">
      <c r="A2833" t="s">
        <v>299</v>
      </c>
      <c r="B2833" t="str">
        <f>_xlfn.XLOOKUP(A2833,[1]Municipios!$B:$B,[1]Municipios!$C:$C)</f>
        <v>Sul</v>
      </c>
      <c r="C2833" t="str">
        <f>_xlfn.XLOOKUP(A2833,[1]Municipios!$B:$B,[1]Municipios!$D:$D)</f>
        <v>Sul do Paraná</v>
      </c>
      <c r="D2833">
        <v>2025</v>
      </c>
      <c r="E2833" t="s">
        <v>237</v>
      </c>
      <c r="F2833">
        <v>1</v>
      </c>
      <c r="G2833">
        <v>79.52</v>
      </c>
    </row>
    <row r="2834" spans="1:7" x14ac:dyDescent="0.25">
      <c r="A2834" t="s">
        <v>464</v>
      </c>
      <c r="B2834" t="str">
        <f>_xlfn.XLOOKUP(A2834,[1]Municipios!$B:$B,[1]Municipios!$C:$C)</f>
        <v>Oeste</v>
      </c>
      <c r="C2834" t="str">
        <f>_xlfn.XLOOKUP(A2834,[1]Municipios!$B:$B,[1]Municipios!$D:$D)</f>
        <v>Oeste Integrado</v>
      </c>
      <c r="D2834">
        <v>2025</v>
      </c>
      <c r="E2834" t="s">
        <v>231</v>
      </c>
      <c r="F2834">
        <v>1</v>
      </c>
      <c r="G2834">
        <v>92.61</v>
      </c>
    </row>
    <row r="2835" spans="1:7" x14ac:dyDescent="0.25">
      <c r="A2835" t="s">
        <v>464</v>
      </c>
      <c r="B2835" t="str">
        <f>_xlfn.XLOOKUP(A2835,[1]Municipios!$B:$B,[1]Municipios!$C:$C)</f>
        <v>Oeste</v>
      </c>
      <c r="C2835" t="str">
        <f>_xlfn.XLOOKUP(A2835,[1]Municipios!$B:$B,[1]Municipios!$D:$D)</f>
        <v>Oeste Integrado</v>
      </c>
      <c r="D2835">
        <v>2025</v>
      </c>
      <c r="E2835" t="s">
        <v>232</v>
      </c>
      <c r="F2835">
        <v>0.92310000000000003</v>
      </c>
      <c r="G2835">
        <v>92.61</v>
      </c>
    </row>
    <row r="2836" spans="1:7" x14ac:dyDescent="0.25">
      <c r="A2836" t="s">
        <v>464</v>
      </c>
      <c r="B2836" t="str">
        <f>_xlfn.XLOOKUP(A2836,[1]Municipios!$B:$B,[1]Municipios!$C:$C)</f>
        <v>Oeste</v>
      </c>
      <c r="C2836" t="str">
        <f>_xlfn.XLOOKUP(A2836,[1]Municipios!$B:$B,[1]Municipios!$D:$D)</f>
        <v>Oeste Integrado</v>
      </c>
      <c r="D2836">
        <v>2025</v>
      </c>
      <c r="E2836" t="s">
        <v>233</v>
      </c>
      <c r="F2836">
        <v>0.875</v>
      </c>
      <c r="G2836">
        <v>92.61</v>
      </c>
    </row>
    <row r="2837" spans="1:7" x14ac:dyDescent="0.25">
      <c r="A2837" t="s">
        <v>464</v>
      </c>
      <c r="B2837" t="str">
        <f>_xlfn.XLOOKUP(A2837,[1]Municipios!$B:$B,[1]Municipios!$C:$C)</f>
        <v>Oeste</v>
      </c>
      <c r="C2837" t="str">
        <f>_xlfn.XLOOKUP(A2837,[1]Municipios!$B:$B,[1]Municipios!$D:$D)</f>
        <v>Oeste Integrado</v>
      </c>
      <c r="D2837">
        <v>2025</v>
      </c>
      <c r="E2837" t="s">
        <v>215</v>
      </c>
      <c r="F2837">
        <v>1</v>
      </c>
      <c r="G2837">
        <v>92.61</v>
      </c>
    </row>
    <row r="2838" spans="1:7" x14ac:dyDescent="0.25">
      <c r="A2838" t="s">
        <v>464</v>
      </c>
      <c r="B2838" t="str">
        <f>_xlfn.XLOOKUP(A2838,[1]Municipios!$B:$B,[1]Municipios!$C:$C)</f>
        <v>Oeste</v>
      </c>
      <c r="C2838" t="str">
        <f>_xlfn.XLOOKUP(A2838,[1]Municipios!$B:$B,[1]Municipios!$D:$D)</f>
        <v>Oeste Integrado</v>
      </c>
      <c r="D2838">
        <v>2025</v>
      </c>
      <c r="E2838" t="s">
        <v>234</v>
      </c>
      <c r="F2838">
        <v>1</v>
      </c>
      <c r="G2838">
        <v>92.61</v>
      </c>
    </row>
    <row r="2839" spans="1:7" x14ac:dyDescent="0.25">
      <c r="A2839" t="s">
        <v>464</v>
      </c>
      <c r="B2839" t="str">
        <f>_xlfn.XLOOKUP(A2839,[1]Municipios!$B:$B,[1]Municipios!$C:$C)</f>
        <v>Oeste</v>
      </c>
      <c r="C2839" t="str">
        <f>_xlfn.XLOOKUP(A2839,[1]Municipios!$B:$B,[1]Municipios!$D:$D)</f>
        <v>Oeste Integrado</v>
      </c>
      <c r="D2839">
        <v>2025</v>
      </c>
      <c r="E2839" t="s">
        <v>235</v>
      </c>
      <c r="F2839">
        <v>1</v>
      </c>
      <c r="G2839">
        <v>92.61</v>
      </c>
    </row>
    <row r="2840" spans="1:7" x14ac:dyDescent="0.25">
      <c r="A2840" t="s">
        <v>464</v>
      </c>
      <c r="B2840" t="str">
        <f>_xlfn.XLOOKUP(A2840,[1]Municipios!$B:$B,[1]Municipios!$C:$C)</f>
        <v>Oeste</v>
      </c>
      <c r="C2840" t="str">
        <f>_xlfn.XLOOKUP(A2840,[1]Municipios!$B:$B,[1]Municipios!$D:$D)</f>
        <v>Oeste Integrado</v>
      </c>
      <c r="D2840">
        <v>2025</v>
      </c>
      <c r="E2840" t="s">
        <v>236</v>
      </c>
      <c r="F2840">
        <v>0.53859999999999997</v>
      </c>
      <c r="G2840">
        <v>92.61</v>
      </c>
    </row>
    <row r="2841" spans="1:7" x14ac:dyDescent="0.25">
      <c r="A2841" t="s">
        <v>464</v>
      </c>
      <c r="B2841" t="str">
        <f>_xlfn.XLOOKUP(A2841,[1]Municipios!$B:$B,[1]Municipios!$C:$C)</f>
        <v>Oeste</v>
      </c>
      <c r="C2841" t="str">
        <f>_xlfn.XLOOKUP(A2841,[1]Municipios!$B:$B,[1]Municipios!$D:$D)</f>
        <v>Oeste Integrado</v>
      </c>
      <c r="D2841">
        <v>2025</v>
      </c>
      <c r="E2841" t="s">
        <v>237</v>
      </c>
      <c r="F2841">
        <v>1</v>
      </c>
      <c r="G2841">
        <v>92.61</v>
      </c>
    </row>
    <row r="2842" spans="1:7" x14ac:dyDescent="0.25">
      <c r="A2842" t="s">
        <v>465</v>
      </c>
      <c r="B2842" t="str">
        <f>_xlfn.XLOOKUP(A2842,[1]Municipios!$B:$B,[1]Municipios!$C:$C)</f>
        <v>Oeste</v>
      </c>
      <c r="C2842" t="str">
        <f>_xlfn.XLOOKUP(A2842,[1]Municipios!$B:$B,[1]Municipios!$D:$D)</f>
        <v>Oeste Integrado</v>
      </c>
      <c r="D2842">
        <v>2025</v>
      </c>
      <c r="E2842" t="s">
        <v>231</v>
      </c>
      <c r="F2842">
        <v>0</v>
      </c>
      <c r="G2842">
        <v>32.18</v>
      </c>
    </row>
    <row r="2843" spans="1:7" x14ac:dyDescent="0.25">
      <c r="A2843" t="s">
        <v>465</v>
      </c>
      <c r="B2843" t="str">
        <f>_xlfn.XLOOKUP(A2843,[1]Municipios!$B:$B,[1]Municipios!$C:$C)</f>
        <v>Oeste</v>
      </c>
      <c r="C2843" t="str">
        <f>_xlfn.XLOOKUP(A2843,[1]Municipios!$B:$B,[1]Municipios!$D:$D)</f>
        <v>Oeste Integrado</v>
      </c>
      <c r="D2843">
        <v>2025</v>
      </c>
      <c r="E2843" t="s">
        <v>232</v>
      </c>
      <c r="F2843">
        <v>0.76910000000000001</v>
      </c>
      <c r="G2843">
        <v>32.18</v>
      </c>
    </row>
    <row r="2844" spans="1:7" x14ac:dyDescent="0.25">
      <c r="A2844" t="s">
        <v>465</v>
      </c>
      <c r="B2844" t="str">
        <f>_xlfn.XLOOKUP(A2844,[1]Municipios!$B:$B,[1]Municipios!$C:$C)</f>
        <v>Oeste</v>
      </c>
      <c r="C2844" t="str">
        <f>_xlfn.XLOOKUP(A2844,[1]Municipios!$B:$B,[1]Municipios!$D:$D)</f>
        <v>Oeste Integrado</v>
      </c>
      <c r="D2844">
        <v>2025</v>
      </c>
      <c r="E2844" t="s">
        <v>233</v>
      </c>
      <c r="F2844">
        <v>0.75</v>
      </c>
      <c r="G2844">
        <v>32.18</v>
      </c>
    </row>
    <row r="2845" spans="1:7" x14ac:dyDescent="0.25">
      <c r="A2845" t="s">
        <v>465</v>
      </c>
      <c r="B2845" t="str">
        <f>_xlfn.XLOOKUP(A2845,[1]Municipios!$B:$B,[1]Municipios!$C:$C)</f>
        <v>Oeste</v>
      </c>
      <c r="C2845" t="str">
        <f>_xlfn.XLOOKUP(A2845,[1]Municipios!$B:$B,[1]Municipios!$D:$D)</f>
        <v>Oeste Integrado</v>
      </c>
      <c r="D2845">
        <v>2025</v>
      </c>
      <c r="E2845" t="s">
        <v>215</v>
      </c>
      <c r="F2845">
        <v>0</v>
      </c>
      <c r="G2845">
        <v>32.18</v>
      </c>
    </row>
    <row r="2846" spans="1:7" x14ac:dyDescent="0.25">
      <c r="A2846" t="s">
        <v>465</v>
      </c>
      <c r="B2846" t="str">
        <f>_xlfn.XLOOKUP(A2846,[1]Municipios!$B:$B,[1]Municipios!$C:$C)</f>
        <v>Oeste</v>
      </c>
      <c r="C2846" t="str">
        <f>_xlfn.XLOOKUP(A2846,[1]Municipios!$B:$B,[1]Municipios!$D:$D)</f>
        <v>Oeste Integrado</v>
      </c>
      <c r="D2846">
        <v>2025</v>
      </c>
      <c r="E2846" t="s">
        <v>234</v>
      </c>
      <c r="F2846">
        <v>0.44440000000000002</v>
      </c>
      <c r="G2846">
        <v>32.18</v>
      </c>
    </row>
    <row r="2847" spans="1:7" x14ac:dyDescent="0.25">
      <c r="A2847" t="s">
        <v>465</v>
      </c>
      <c r="B2847" t="str">
        <f>_xlfn.XLOOKUP(A2847,[1]Municipios!$B:$B,[1]Municipios!$C:$C)</f>
        <v>Oeste</v>
      </c>
      <c r="C2847" t="str">
        <f>_xlfn.XLOOKUP(A2847,[1]Municipios!$B:$B,[1]Municipios!$D:$D)</f>
        <v>Oeste Integrado</v>
      </c>
      <c r="D2847">
        <v>2025</v>
      </c>
      <c r="E2847" t="s">
        <v>235</v>
      </c>
      <c r="F2847">
        <v>0.57140000000000002</v>
      </c>
      <c r="G2847">
        <v>32.18</v>
      </c>
    </row>
    <row r="2848" spans="1:7" x14ac:dyDescent="0.25">
      <c r="A2848" t="s">
        <v>465</v>
      </c>
      <c r="B2848" t="str">
        <f>_xlfn.XLOOKUP(A2848,[1]Municipios!$B:$B,[1]Municipios!$C:$C)</f>
        <v>Oeste</v>
      </c>
      <c r="C2848" t="str">
        <f>_xlfn.XLOOKUP(A2848,[1]Municipios!$B:$B,[1]Municipios!$D:$D)</f>
        <v>Oeste Integrado</v>
      </c>
      <c r="D2848">
        <v>2025</v>
      </c>
      <c r="E2848" t="s">
        <v>236</v>
      </c>
      <c r="F2848">
        <v>0</v>
      </c>
      <c r="G2848">
        <v>32.18</v>
      </c>
    </row>
    <row r="2849" spans="1:7" x14ac:dyDescent="0.25">
      <c r="A2849" t="s">
        <v>465</v>
      </c>
      <c r="B2849" t="str">
        <f>_xlfn.XLOOKUP(A2849,[1]Municipios!$B:$B,[1]Municipios!$C:$C)</f>
        <v>Oeste</v>
      </c>
      <c r="C2849" t="str">
        <f>_xlfn.XLOOKUP(A2849,[1]Municipios!$B:$B,[1]Municipios!$D:$D)</f>
        <v>Oeste Integrado</v>
      </c>
      <c r="D2849">
        <v>2025</v>
      </c>
      <c r="E2849" t="s">
        <v>237</v>
      </c>
      <c r="F2849">
        <v>0</v>
      </c>
      <c r="G2849">
        <v>32.18</v>
      </c>
    </row>
    <row r="2850" spans="1:7" x14ac:dyDescent="0.25">
      <c r="A2850" t="s">
        <v>520</v>
      </c>
      <c r="B2850" t="str">
        <f>_xlfn.XLOOKUP(A2850,[1]Municipios!$B:$B,[1]Municipios!$C:$C)</f>
        <v>Norte</v>
      </c>
      <c r="C2850" t="str">
        <f>_xlfn.XLOOKUP(A2850,[1]Municipios!$B:$B,[1]Municipios!$D:$D)</f>
        <v>Vale Do Ivaí</v>
      </c>
      <c r="D2850">
        <v>2025</v>
      </c>
      <c r="E2850" t="s">
        <v>231</v>
      </c>
      <c r="F2850">
        <v>0.77779999999999994</v>
      </c>
      <c r="G2850">
        <v>65.62</v>
      </c>
    </row>
    <row r="2851" spans="1:7" x14ac:dyDescent="0.25">
      <c r="A2851" t="s">
        <v>520</v>
      </c>
      <c r="B2851" t="str">
        <f>_xlfn.XLOOKUP(A2851,[1]Municipios!$B:$B,[1]Municipios!$C:$C)</f>
        <v>Norte</v>
      </c>
      <c r="C2851" t="str">
        <f>_xlfn.XLOOKUP(A2851,[1]Municipios!$B:$B,[1]Municipios!$D:$D)</f>
        <v>Vale Do Ivaí</v>
      </c>
      <c r="D2851">
        <v>2025</v>
      </c>
      <c r="E2851" t="s">
        <v>232</v>
      </c>
      <c r="F2851">
        <v>0.84619999999999995</v>
      </c>
      <c r="G2851">
        <v>65.62</v>
      </c>
    </row>
    <row r="2852" spans="1:7" x14ac:dyDescent="0.25">
      <c r="A2852" t="s">
        <v>520</v>
      </c>
      <c r="B2852" t="str">
        <f>_xlfn.XLOOKUP(A2852,[1]Municipios!$B:$B,[1]Municipios!$C:$C)</f>
        <v>Norte</v>
      </c>
      <c r="C2852" t="str">
        <f>_xlfn.XLOOKUP(A2852,[1]Municipios!$B:$B,[1]Municipios!$D:$D)</f>
        <v>Vale Do Ivaí</v>
      </c>
      <c r="D2852">
        <v>2025</v>
      </c>
      <c r="E2852" t="s">
        <v>233</v>
      </c>
      <c r="F2852">
        <v>0.75</v>
      </c>
      <c r="G2852">
        <v>65.62</v>
      </c>
    </row>
    <row r="2853" spans="1:7" x14ac:dyDescent="0.25">
      <c r="A2853" t="s">
        <v>520</v>
      </c>
      <c r="B2853" t="str">
        <f>_xlfn.XLOOKUP(A2853,[1]Municipios!$B:$B,[1]Municipios!$C:$C)</f>
        <v>Norte</v>
      </c>
      <c r="C2853" t="str">
        <f>_xlfn.XLOOKUP(A2853,[1]Municipios!$B:$B,[1]Municipios!$D:$D)</f>
        <v>Vale Do Ivaí</v>
      </c>
      <c r="D2853">
        <v>2025</v>
      </c>
      <c r="E2853" t="s">
        <v>215</v>
      </c>
      <c r="F2853">
        <v>0.79999999999999993</v>
      </c>
      <c r="G2853">
        <v>65.62</v>
      </c>
    </row>
    <row r="2854" spans="1:7" x14ac:dyDescent="0.25">
      <c r="A2854" t="s">
        <v>520</v>
      </c>
      <c r="B2854" t="str">
        <f>_xlfn.XLOOKUP(A2854,[1]Municipios!$B:$B,[1]Municipios!$C:$C)</f>
        <v>Norte</v>
      </c>
      <c r="C2854" t="str">
        <f>_xlfn.XLOOKUP(A2854,[1]Municipios!$B:$B,[1]Municipios!$D:$D)</f>
        <v>Vale Do Ivaí</v>
      </c>
      <c r="D2854">
        <v>2025</v>
      </c>
      <c r="E2854" t="s">
        <v>234</v>
      </c>
      <c r="F2854">
        <v>0.66669999999999996</v>
      </c>
      <c r="G2854">
        <v>65.62</v>
      </c>
    </row>
    <row r="2855" spans="1:7" x14ac:dyDescent="0.25">
      <c r="A2855" t="s">
        <v>520</v>
      </c>
      <c r="B2855" t="str">
        <f>_xlfn.XLOOKUP(A2855,[1]Municipios!$B:$B,[1]Municipios!$C:$C)</f>
        <v>Norte</v>
      </c>
      <c r="C2855" t="str">
        <f>_xlfn.XLOOKUP(A2855,[1]Municipios!$B:$B,[1]Municipios!$D:$D)</f>
        <v>Vale Do Ivaí</v>
      </c>
      <c r="D2855">
        <v>2025</v>
      </c>
      <c r="E2855" t="s">
        <v>235</v>
      </c>
      <c r="F2855">
        <v>0.71429999999999993</v>
      </c>
      <c r="G2855">
        <v>65.62</v>
      </c>
    </row>
    <row r="2856" spans="1:7" x14ac:dyDescent="0.25">
      <c r="A2856" t="s">
        <v>520</v>
      </c>
      <c r="B2856" t="str">
        <f>_xlfn.XLOOKUP(A2856,[1]Municipios!$B:$B,[1]Municipios!$C:$C)</f>
        <v>Norte</v>
      </c>
      <c r="C2856" t="str">
        <f>_xlfn.XLOOKUP(A2856,[1]Municipios!$B:$B,[1]Municipios!$D:$D)</f>
        <v>Vale Do Ivaí</v>
      </c>
      <c r="D2856">
        <v>2025</v>
      </c>
      <c r="E2856" t="s">
        <v>236</v>
      </c>
      <c r="F2856">
        <v>0.15390000000000001</v>
      </c>
      <c r="G2856">
        <v>65.62</v>
      </c>
    </row>
    <row r="2857" spans="1:7" x14ac:dyDescent="0.25">
      <c r="A2857" t="s">
        <v>520</v>
      </c>
      <c r="B2857" t="str">
        <f>_xlfn.XLOOKUP(A2857,[1]Municipios!$B:$B,[1]Municipios!$C:$C)</f>
        <v>Norte</v>
      </c>
      <c r="C2857" t="str">
        <f>_xlfn.XLOOKUP(A2857,[1]Municipios!$B:$B,[1]Municipios!$D:$D)</f>
        <v>Vale Do Ivaí</v>
      </c>
      <c r="D2857">
        <v>2025</v>
      </c>
      <c r="E2857" t="s">
        <v>237</v>
      </c>
      <c r="F2857">
        <v>0.5</v>
      </c>
      <c r="G2857">
        <v>65.62</v>
      </c>
    </row>
    <row r="2858" spans="1:7" x14ac:dyDescent="0.25">
      <c r="A2858" t="s">
        <v>623</v>
      </c>
      <c r="B2858" t="str">
        <f>_xlfn.XLOOKUP(A2858,[1]Municipios!$B:$B,[1]Municipios!$C:$C)</f>
        <v>Noroeste</v>
      </c>
      <c r="C2858" t="str">
        <f>_xlfn.XLOOKUP(A2858,[1]Municipios!$B:$B,[1]Municipios!$D:$D)</f>
        <v>Costa Noroeste</v>
      </c>
      <c r="D2858">
        <v>2025</v>
      </c>
      <c r="E2858" t="s">
        <v>231</v>
      </c>
      <c r="F2858">
        <v>0</v>
      </c>
      <c r="G2858">
        <v>22.3</v>
      </c>
    </row>
    <row r="2859" spans="1:7" x14ac:dyDescent="0.25">
      <c r="A2859" t="s">
        <v>623</v>
      </c>
      <c r="B2859" t="str">
        <f>_xlfn.XLOOKUP(A2859,[1]Municipios!$B:$B,[1]Municipios!$C:$C)</f>
        <v>Noroeste</v>
      </c>
      <c r="C2859" t="str">
        <f>_xlfn.XLOOKUP(A2859,[1]Municipios!$B:$B,[1]Municipios!$D:$D)</f>
        <v>Costa Noroeste</v>
      </c>
      <c r="D2859">
        <v>2025</v>
      </c>
      <c r="E2859" t="s">
        <v>232</v>
      </c>
      <c r="F2859">
        <v>0.15379999999999999</v>
      </c>
      <c r="G2859">
        <v>22.3</v>
      </c>
    </row>
    <row r="2860" spans="1:7" x14ac:dyDescent="0.25">
      <c r="A2860" t="s">
        <v>623</v>
      </c>
      <c r="B2860" t="str">
        <f>_xlfn.XLOOKUP(A2860,[1]Municipios!$B:$B,[1]Municipios!$C:$C)</f>
        <v>Noroeste</v>
      </c>
      <c r="C2860" t="str">
        <f>_xlfn.XLOOKUP(A2860,[1]Municipios!$B:$B,[1]Municipios!$D:$D)</f>
        <v>Costa Noroeste</v>
      </c>
      <c r="D2860">
        <v>2025</v>
      </c>
      <c r="E2860" t="s">
        <v>233</v>
      </c>
      <c r="F2860">
        <v>0.5</v>
      </c>
      <c r="G2860">
        <v>22.3</v>
      </c>
    </row>
    <row r="2861" spans="1:7" x14ac:dyDescent="0.25">
      <c r="A2861" t="s">
        <v>623</v>
      </c>
      <c r="B2861" t="str">
        <f>_xlfn.XLOOKUP(A2861,[1]Municipios!$B:$B,[1]Municipios!$C:$C)</f>
        <v>Noroeste</v>
      </c>
      <c r="C2861" t="str">
        <f>_xlfn.XLOOKUP(A2861,[1]Municipios!$B:$B,[1]Municipios!$D:$D)</f>
        <v>Costa Noroeste</v>
      </c>
      <c r="D2861">
        <v>2025</v>
      </c>
      <c r="E2861" t="s">
        <v>215</v>
      </c>
      <c r="F2861">
        <v>0</v>
      </c>
      <c r="G2861">
        <v>22.3</v>
      </c>
    </row>
    <row r="2862" spans="1:7" x14ac:dyDescent="0.25">
      <c r="A2862" t="s">
        <v>623</v>
      </c>
      <c r="B2862" t="str">
        <f>_xlfn.XLOOKUP(A2862,[1]Municipios!$B:$B,[1]Municipios!$C:$C)</f>
        <v>Noroeste</v>
      </c>
      <c r="C2862" t="str">
        <f>_xlfn.XLOOKUP(A2862,[1]Municipios!$B:$B,[1]Municipios!$D:$D)</f>
        <v>Costa Noroeste</v>
      </c>
      <c r="D2862">
        <v>2025</v>
      </c>
      <c r="E2862" t="s">
        <v>234</v>
      </c>
      <c r="F2862">
        <v>0.44440000000000002</v>
      </c>
      <c r="G2862">
        <v>22.3</v>
      </c>
    </row>
    <row r="2863" spans="1:7" x14ac:dyDescent="0.25">
      <c r="A2863" t="s">
        <v>623</v>
      </c>
      <c r="B2863" t="str">
        <f>_xlfn.XLOOKUP(A2863,[1]Municipios!$B:$B,[1]Municipios!$C:$C)</f>
        <v>Noroeste</v>
      </c>
      <c r="C2863" t="str">
        <f>_xlfn.XLOOKUP(A2863,[1]Municipios!$B:$B,[1]Municipios!$D:$D)</f>
        <v>Costa Noroeste</v>
      </c>
      <c r="D2863">
        <v>2025</v>
      </c>
      <c r="E2863" t="s">
        <v>235</v>
      </c>
      <c r="F2863">
        <v>0.2858</v>
      </c>
      <c r="G2863">
        <v>22.3</v>
      </c>
    </row>
    <row r="2864" spans="1:7" x14ac:dyDescent="0.25">
      <c r="A2864" t="s">
        <v>623</v>
      </c>
      <c r="B2864" t="str">
        <f>_xlfn.XLOOKUP(A2864,[1]Municipios!$B:$B,[1]Municipios!$C:$C)</f>
        <v>Noroeste</v>
      </c>
      <c r="C2864" t="str">
        <f>_xlfn.XLOOKUP(A2864,[1]Municipios!$B:$B,[1]Municipios!$D:$D)</f>
        <v>Costa Noroeste</v>
      </c>
      <c r="D2864">
        <v>2025</v>
      </c>
      <c r="E2864" t="s">
        <v>236</v>
      </c>
      <c r="F2864">
        <v>0</v>
      </c>
      <c r="G2864">
        <v>22.3</v>
      </c>
    </row>
    <row r="2865" spans="1:7" x14ac:dyDescent="0.25">
      <c r="A2865" t="s">
        <v>623</v>
      </c>
      <c r="B2865" t="str">
        <f>_xlfn.XLOOKUP(A2865,[1]Municipios!$B:$B,[1]Municipios!$C:$C)</f>
        <v>Noroeste</v>
      </c>
      <c r="C2865" t="str">
        <f>_xlfn.XLOOKUP(A2865,[1]Municipios!$B:$B,[1]Municipios!$D:$D)</f>
        <v>Costa Noroeste</v>
      </c>
      <c r="D2865">
        <v>2025</v>
      </c>
      <c r="E2865" t="s">
        <v>237</v>
      </c>
      <c r="F2865">
        <v>0.5</v>
      </c>
      <c r="G2865">
        <v>22.3</v>
      </c>
    </row>
    <row r="2866" spans="1:7" x14ac:dyDescent="0.25">
      <c r="A2866" t="s">
        <v>401</v>
      </c>
      <c r="B2866" t="str">
        <f>_xlfn.XLOOKUP(A2866,[1]Municipios!$B:$B,[1]Municipios!$C:$C)</f>
        <v>Norte</v>
      </c>
      <c r="C2866" t="str">
        <f>_xlfn.XLOOKUP(A2866,[1]Municipios!$B:$B,[1]Municipios!$D:$D)</f>
        <v>Norte Central</v>
      </c>
      <c r="D2866">
        <v>2025</v>
      </c>
      <c r="E2866" t="s">
        <v>231</v>
      </c>
      <c r="F2866">
        <v>0.33329999999999999</v>
      </c>
      <c r="G2866">
        <v>32.19</v>
      </c>
    </row>
    <row r="2867" spans="1:7" x14ac:dyDescent="0.25">
      <c r="A2867" t="s">
        <v>401</v>
      </c>
      <c r="B2867" t="str">
        <f>_xlfn.XLOOKUP(A2867,[1]Municipios!$B:$B,[1]Municipios!$C:$C)</f>
        <v>Norte</v>
      </c>
      <c r="C2867" t="str">
        <f>_xlfn.XLOOKUP(A2867,[1]Municipios!$B:$B,[1]Municipios!$D:$D)</f>
        <v>Norte Central</v>
      </c>
      <c r="D2867">
        <v>2025</v>
      </c>
      <c r="E2867" t="s">
        <v>232</v>
      </c>
      <c r="F2867">
        <v>0.46150000000000002</v>
      </c>
      <c r="G2867">
        <v>32.19</v>
      </c>
    </row>
    <row r="2868" spans="1:7" x14ac:dyDescent="0.25">
      <c r="A2868" t="s">
        <v>401</v>
      </c>
      <c r="B2868" t="str">
        <f>_xlfn.XLOOKUP(A2868,[1]Municipios!$B:$B,[1]Municipios!$C:$C)</f>
        <v>Norte</v>
      </c>
      <c r="C2868" t="str">
        <f>_xlfn.XLOOKUP(A2868,[1]Municipios!$B:$B,[1]Municipios!$D:$D)</f>
        <v>Norte Central</v>
      </c>
      <c r="D2868">
        <v>2025</v>
      </c>
      <c r="E2868" t="s">
        <v>233</v>
      </c>
      <c r="F2868">
        <v>0.75</v>
      </c>
      <c r="G2868">
        <v>32.19</v>
      </c>
    </row>
    <row r="2869" spans="1:7" x14ac:dyDescent="0.25">
      <c r="A2869" t="s">
        <v>401</v>
      </c>
      <c r="B2869" t="str">
        <f>_xlfn.XLOOKUP(A2869,[1]Municipios!$B:$B,[1]Municipios!$C:$C)</f>
        <v>Norte</v>
      </c>
      <c r="C2869" t="str">
        <f>_xlfn.XLOOKUP(A2869,[1]Municipios!$B:$B,[1]Municipios!$D:$D)</f>
        <v>Norte Central</v>
      </c>
      <c r="D2869">
        <v>2025</v>
      </c>
      <c r="E2869" t="s">
        <v>215</v>
      </c>
      <c r="F2869">
        <v>0</v>
      </c>
      <c r="G2869">
        <v>32.19</v>
      </c>
    </row>
    <row r="2870" spans="1:7" x14ac:dyDescent="0.25">
      <c r="A2870" t="s">
        <v>401</v>
      </c>
      <c r="B2870" t="str">
        <f>_xlfn.XLOOKUP(A2870,[1]Municipios!$B:$B,[1]Municipios!$C:$C)</f>
        <v>Norte</v>
      </c>
      <c r="C2870" t="str">
        <f>_xlfn.XLOOKUP(A2870,[1]Municipios!$B:$B,[1]Municipios!$D:$D)</f>
        <v>Norte Central</v>
      </c>
      <c r="D2870">
        <v>2025</v>
      </c>
      <c r="E2870" t="s">
        <v>234</v>
      </c>
      <c r="F2870">
        <v>0.44450000000000001</v>
      </c>
      <c r="G2870">
        <v>32.19</v>
      </c>
    </row>
    <row r="2871" spans="1:7" x14ac:dyDescent="0.25">
      <c r="A2871" t="s">
        <v>401</v>
      </c>
      <c r="B2871" t="str">
        <f>_xlfn.XLOOKUP(A2871,[1]Municipios!$B:$B,[1]Municipios!$C:$C)</f>
        <v>Norte</v>
      </c>
      <c r="C2871" t="str">
        <f>_xlfn.XLOOKUP(A2871,[1]Municipios!$B:$B,[1]Municipios!$D:$D)</f>
        <v>Norte Central</v>
      </c>
      <c r="D2871">
        <v>2025</v>
      </c>
      <c r="E2871" t="s">
        <v>235</v>
      </c>
      <c r="F2871">
        <v>0.57140000000000002</v>
      </c>
      <c r="G2871">
        <v>32.19</v>
      </c>
    </row>
    <row r="2872" spans="1:7" x14ac:dyDescent="0.25">
      <c r="A2872" t="s">
        <v>401</v>
      </c>
      <c r="B2872" t="str">
        <f>_xlfn.XLOOKUP(A2872,[1]Municipios!$B:$B,[1]Municipios!$C:$C)</f>
        <v>Norte</v>
      </c>
      <c r="C2872" t="str">
        <f>_xlfn.XLOOKUP(A2872,[1]Municipios!$B:$B,[1]Municipios!$D:$D)</f>
        <v>Norte Central</v>
      </c>
      <c r="D2872">
        <v>2025</v>
      </c>
      <c r="E2872" t="s">
        <v>236</v>
      </c>
      <c r="F2872">
        <v>7.6999999999999999E-2</v>
      </c>
      <c r="G2872">
        <v>32.19</v>
      </c>
    </row>
    <row r="2873" spans="1:7" x14ac:dyDescent="0.25">
      <c r="A2873" t="s">
        <v>401</v>
      </c>
      <c r="B2873" t="str">
        <f>_xlfn.XLOOKUP(A2873,[1]Municipios!$B:$B,[1]Municipios!$C:$C)</f>
        <v>Norte</v>
      </c>
      <c r="C2873" t="str">
        <f>_xlfn.XLOOKUP(A2873,[1]Municipios!$B:$B,[1]Municipios!$D:$D)</f>
        <v>Norte Central</v>
      </c>
      <c r="D2873">
        <v>2025</v>
      </c>
      <c r="E2873" t="s">
        <v>237</v>
      </c>
      <c r="F2873">
        <v>0</v>
      </c>
      <c r="G2873">
        <v>32.19</v>
      </c>
    </row>
    <row r="2874" spans="1:7" x14ac:dyDescent="0.25">
      <c r="A2874" t="s">
        <v>624</v>
      </c>
      <c r="B2874" t="str">
        <f>_xlfn.XLOOKUP(A2874,[1]Municipios!$B:$B,[1]Municipios!$C:$C)</f>
        <v>Noroeste</v>
      </c>
      <c r="C2874" t="str">
        <f>_xlfn.XLOOKUP(A2874,[1]Municipios!$B:$B,[1]Municipios!$D:$D)</f>
        <v>Médio Noroeste</v>
      </c>
      <c r="D2874">
        <v>2025</v>
      </c>
      <c r="E2874" t="s">
        <v>231</v>
      </c>
      <c r="F2874">
        <v>0.66659999999999997</v>
      </c>
      <c r="G2874">
        <v>73.66</v>
      </c>
    </row>
    <row r="2875" spans="1:7" x14ac:dyDescent="0.25">
      <c r="A2875" t="s">
        <v>624</v>
      </c>
      <c r="B2875" t="str">
        <f>_xlfn.XLOOKUP(A2875,[1]Municipios!$B:$B,[1]Municipios!$C:$C)</f>
        <v>Noroeste</v>
      </c>
      <c r="C2875" t="str">
        <f>_xlfn.XLOOKUP(A2875,[1]Municipios!$B:$B,[1]Municipios!$D:$D)</f>
        <v>Médio Noroeste</v>
      </c>
      <c r="D2875">
        <v>2025</v>
      </c>
      <c r="E2875" t="s">
        <v>232</v>
      </c>
      <c r="F2875">
        <v>0.84619999999999995</v>
      </c>
      <c r="G2875">
        <v>73.66</v>
      </c>
    </row>
    <row r="2876" spans="1:7" x14ac:dyDescent="0.25">
      <c r="A2876" t="s">
        <v>624</v>
      </c>
      <c r="B2876" t="str">
        <f>_xlfn.XLOOKUP(A2876,[1]Municipios!$B:$B,[1]Municipios!$C:$C)</f>
        <v>Noroeste</v>
      </c>
      <c r="C2876" t="str">
        <f>_xlfn.XLOOKUP(A2876,[1]Municipios!$B:$B,[1]Municipios!$D:$D)</f>
        <v>Médio Noroeste</v>
      </c>
      <c r="D2876">
        <v>2025</v>
      </c>
      <c r="E2876" t="s">
        <v>233</v>
      </c>
      <c r="F2876">
        <v>0.75</v>
      </c>
      <c r="G2876">
        <v>73.66</v>
      </c>
    </row>
    <row r="2877" spans="1:7" x14ac:dyDescent="0.25">
      <c r="A2877" t="s">
        <v>624</v>
      </c>
      <c r="B2877" t="str">
        <f>_xlfn.XLOOKUP(A2877,[1]Municipios!$B:$B,[1]Municipios!$C:$C)</f>
        <v>Noroeste</v>
      </c>
      <c r="C2877" t="str">
        <f>_xlfn.XLOOKUP(A2877,[1]Municipios!$B:$B,[1]Municipios!$D:$D)</f>
        <v>Médio Noroeste</v>
      </c>
      <c r="D2877">
        <v>2025</v>
      </c>
      <c r="E2877" t="s">
        <v>215</v>
      </c>
      <c r="F2877">
        <v>1</v>
      </c>
      <c r="G2877">
        <v>73.66</v>
      </c>
    </row>
    <row r="2878" spans="1:7" x14ac:dyDescent="0.25">
      <c r="A2878" t="s">
        <v>624</v>
      </c>
      <c r="B2878" t="str">
        <f>_xlfn.XLOOKUP(A2878,[1]Municipios!$B:$B,[1]Municipios!$C:$C)</f>
        <v>Noroeste</v>
      </c>
      <c r="C2878" t="str">
        <f>_xlfn.XLOOKUP(A2878,[1]Municipios!$B:$B,[1]Municipios!$D:$D)</f>
        <v>Médio Noroeste</v>
      </c>
      <c r="D2878">
        <v>2025</v>
      </c>
      <c r="E2878" t="s">
        <v>234</v>
      </c>
      <c r="F2878">
        <v>0.55559999999999998</v>
      </c>
      <c r="G2878">
        <v>73.66</v>
      </c>
    </row>
    <row r="2879" spans="1:7" x14ac:dyDescent="0.25">
      <c r="A2879" t="s">
        <v>624</v>
      </c>
      <c r="B2879" t="str">
        <f>_xlfn.XLOOKUP(A2879,[1]Municipios!$B:$B,[1]Municipios!$C:$C)</f>
        <v>Noroeste</v>
      </c>
      <c r="C2879" t="str">
        <f>_xlfn.XLOOKUP(A2879,[1]Municipios!$B:$B,[1]Municipios!$D:$D)</f>
        <v>Médio Noroeste</v>
      </c>
      <c r="D2879">
        <v>2025</v>
      </c>
      <c r="E2879" t="s">
        <v>235</v>
      </c>
      <c r="F2879">
        <v>1</v>
      </c>
      <c r="G2879">
        <v>73.66</v>
      </c>
    </row>
    <row r="2880" spans="1:7" x14ac:dyDescent="0.25">
      <c r="A2880" t="s">
        <v>624</v>
      </c>
      <c r="B2880" t="str">
        <f>_xlfn.XLOOKUP(A2880,[1]Municipios!$B:$B,[1]Municipios!$C:$C)</f>
        <v>Noroeste</v>
      </c>
      <c r="C2880" t="str">
        <f>_xlfn.XLOOKUP(A2880,[1]Municipios!$B:$B,[1]Municipios!$D:$D)</f>
        <v>Médio Noroeste</v>
      </c>
      <c r="D2880">
        <v>2025</v>
      </c>
      <c r="E2880" t="s">
        <v>236</v>
      </c>
      <c r="F2880">
        <v>7.690000000000001E-2</v>
      </c>
      <c r="G2880">
        <v>73.66</v>
      </c>
    </row>
    <row r="2881" spans="1:7" x14ac:dyDescent="0.25">
      <c r="A2881" t="s">
        <v>624</v>
      </c>
      <c r="B2881" t="str">
        <f>_xlfn.XLOOKUP(A2881,[1]Municipios!$B:$B,[1]Municipios!$C:$C)</f>
        <v>Noroeste</v>
      </c>
      <c r="C2881" t="str">
        <f>_xlfn.XLOOKUP(A2881,[1]Municipios!$B:$B,[1]Municipios!$D:$D)</f>
        <v>Médio Noroeste</v>
      </c>
      <c r="D2881">
        <v>2025</v>
      </c>
      <c r="E2881" t="s">
        <v>237</v>
      </c>
      <c r="F2881">
        <v>1</v>
      </c>
      <c r="G2881">
        <v>73.66</v>
      </c>
    </row>
    <row r="2882" spans="1:7" x14ac:dyDescent="0.25">
      <c r="A2882" t="s">
        <v>402</v>
      </c>
      <c r="B2882" t="str">
        <f>_xlfn.XLOOKUP(A2882,[1]Municipios!$B:$B,[1]Municipios!$C:$C)</f>
        <v>Norte</v>
      </c>
      <c r="C2882" t="str">
        <f>_xlfn.XLOOKUP(A2882,[1]Municipios!$B:$B,[1]Municipios!$D:$D)</f>
        <v>Norte Central</v>
      </c>
      <c r="D2882">
        <v>2025</v>
      </c>
      <c r="E2882" t="s">
        <v>231</v>
      </c>
      <c r="F2882">
        <v>0.77769999999999995</v>
      </c>
      <c r="G2882">
        <v>55.24</v>
      </c>
    </row>
    <row r="2883" spans="1:7" x14ac:dyDescent="0.25">
      <c r="A2883" t="s">
        <v>402</v>
      </c>
      <c r="B2883" t="str">
        <f>_xlfn.XLOOKUP(A2883,[1]Municipios!$B:$B,[1]Municipios!$C:$C)</f>
        <v>Norte</v>
      </c>
      <c r="C2883" t="str">
        <f>_xlfn.XLOOKUP(A2883,[1]Municipios!$B:$B,[1]Municipios!$D:$D)</f>
        <v>Norte Central</v>
      </c>
      <c r="D2883">
        <v>2025</v>
      </c>
      <c r="E2883" t="s">
        <v>232</v>
      </c>
      <c r="F2883">
        <v>0.69220000000000004</v>
      </c>
      <c r="G2883">
        <v>55.24</v>
      </c>
    </row>
    <row r="2884" spans="1:7" x14ac:dyDescent="0.25">
      <c r="A2884" t="s">
        <v>402</v>
      </c>
      <c r="B2884" t="str">
        <f>_xlfn.XLOOKUP(A2884,[1]Municipios!$B:$B,[1]Municipios!$C:$C)</f>
        <v>Norte</v>
      </c>
      <c r="C2884" t="str">
        <f>_xlfn.XLOOKUP(A2884,[1]Municipios!$B:$B,[1]Municipios!$D:$D)</f>
        <v>Norte Central</v>
      </c>
      <c r="D2884">
        <v>2025</v>
      </c>
      <c r="E2884" t="s">
        <v>233</v>
      </c>
      <c r="F2884">
        <v>0.875</v>
      </c>
      <c r="G2884">
        <v>55.24</v>
      </c>
    </row>
    <row r="2885" spans="1:7" x14ac:dyDescent="0.25">
      <c r="A2885" t="s">
        <v>402</v>
      </c>
      <c r="B2885" t="str">
        <f>_xlfn.XLOOKUP(A2885,[1]Municipios!$B:$B,[1]Municipios!$C:$C)</f>
        <v>Norte</v>
      </c>
      <c r="C2885" t="str">
        <f>_xlfn.XLOOKUP(A2885,[1]Municipios!$B:$B,[1]Municipios!$D:$D)</f>
        <v>Norte Central</v>
      </c>
      <c r="D2885">
        <v>2025</v>
      </c>
      <c r="E2885" t="s">
        <v>215</v>
      </c>
      <c r="F2885">
        <v>0.39999999999999997</v>
      </c>
      <c r="G2885">
        <v>55.24</v>
      </c>
    </row>
    <row r="2886" spans="1:7" x14ac:dyDescent="0.25">
      <c r="A2886" t="s">
        <v>402</v>
      </c>
      <c r="B2886" t="str">
        <f>_xlfn.XLOOKUP(A2886,[1]Municipios!$B:$B,[1]Municipios!$C:$C)</f>
        <v>Norte</v>
      </c>
      <c r="C2886" t="str">
        <f>_xlfn.XLOOKUP(A2886,[1]Municipios!$B:$B,[1]Municipios!$D:$D)</f>
        <v>Norte Central</v>
      </c>
      <c r="D2886">
        <v>2025</v>
      </c>
      <c r="E2886" t="s">
        <v>234</v>
      </c>
      <c r="F2886">
        <v>0.55549999999999999</v>
      </c>
      <c r="G2886">
        <v>55.24</v>
      </c>
    </row>
    <row r="2887" spans="1:7" x14ac:dyDescent="0.25">
      <c r="A2887" t="s">
        <v>402</v>
      </c>
      <c r="B2887" t="str">
        <f>_xlfn.XLOOKUP(A2887,[1]Municipios!$B:$B,[1]Municipios!$C:$C)</f>
        <v>Norte</v>
      </c>
      <c r="C2887" t="str">
        <f>_xlfn.XLOOKUP(A2887,[1]Municipios!$B:$B,[1]Municipios!$D:$D)</f>
        <v>Norte Central</v>
      </c>
      <c r="D2887">
        <v>2025</v>
      </c>
      <c r="E2887" t="s">
        <v>235</v>
      </c>
      <c r="F2887">
        <v>0.71429999999999993</v>
      </c>
      <c r="G2887">
        <v>55.24</v>
      </c>
    </row>
    <row r="2888" spans="1:7" x14ac:dyDescent="0.25">
      <c r="A2888" t="s">
        <v>402</v>
      </c>
      <c r="B2888" t="str">
        <f>_xlfn.XLOOKUP(A2888,[1]Municipios!$B:$B,[1]Municipios!$C:$C)</f>
        <v>Norte</v>
      </c>
      <c r="C2888" t="str">
        <f>_xlfn.XLOOKUP(A2888,[1]Municipios!$B:$B,[1]Municipios!$D:$D)</f>
        <v>Norte Central</v>
      </c>
      <c r="D2888">
        <v>2025</v>
      </c>
      <c r="E2888" t="s">
        <v>236</v>
      </c>
      <c r="F2888">
        <v>0</v>
      </c>
      <c r="G2888">
        <v>55.24</v>
      </c>
    </row>
    <row r="2889" spans="1:7" x14ac:dyDescent="0.25">
      <c r="A2889" t="s">
        <v>402</v>
      </c>
      <c r="B2889" t="str">
        <f>_xlfn.XLOOKUP(A2889,[1]Municipios!$B:$B,[1]Municipios!$C:$C)</f>
        <v>Norte</v>
      </c>
      <c r="C2889" t="str">
        <f>_xlfn.XLOOKUP(A2889,[1]Municipios!$B:$B,[1]Municipios!$D:$D)</f>
        <v>Norte Central</v>
      </c>
      <c r="D2889">
        <v>2025</v>
      </c>
      <c r="E2889" t="s">
        <v>237</v>
      </c>
      <c r="F2889">
        <v>0.5</v>
      </c>
      <c r="G2889">
        <v>55.24</v>
      </c>
    </row>
    <row r="2890" spans="1:7" x14ac:dyDescent="0.25">
      <c r="A2890" t="s">
        <v>433</v>
      </c>
      <c r="B2890" t="str">
        <f>_xlfn.XLOOKUP(A2890,[1]Municipios!$B:$B,[1]Municipios!$C:$C)</f>
        <v>Noroeste</v>
      </c>
      <c r="C2890" t="str">
        <f>_xlfn.XLOOKUP(A2890,[1]Municipios!$B:$B,[1]Municipios!$D:$D)</f>
        <v>Terra Roxa</v>
      </c>
      <c r="D2890">
        <v>2025</v>
      </c>
      <c r="E2890" t="s">
        <v>231</v>
      </c>
      <c r="F2890">
        <v>0.55559999999999998</v>
      </c>
      <c r="G2890">
        <v>86.35</v>
      </c>
    </row>
    <row r="2891" spans="1:7" x14ac:dyDescent="0.25">
      <c r="A2891" t="s">
        <v>433</v>
      </c>
      <c r="B2891" t="str">
        <f>_xlfn.XLOOKUP(A2891,[1]Municipios!$B:$B,[1]Municipios!$C:$C)</f>
        <v>Noroeste</v>
      </c>
      <c r="C2891" t="str">
        <f>_xlfn.XLOOKUP(A2891,[1]Municipios!$B:$B,[1]Municipios!$D:$D)</f>
        <v>Terra Roxa</v>
      </c>
      <c r="D2891">
        <v>2025</v>
      </c>
      <c r="E2891" t="s">
        <v>232</v>
      </c>
      <c r="F2891">
        <v>0.92310000000000003</v>
      </c>
      <c r="G2891">
        <v>86.35</v>
      </c>
    </row>
    <row r="2892" spans="1:7" x14ac:dyDescent="0.25">
      <c r="A2892" t="s">
        <v>433</v>
      </c>
      <c r="B2892" t="str">
        <f>_xlfn.XLOOKUP(A2892,[1]Municipios!$B:$B,[1]Municipios!$C:$C)</f>
        <v>Noroeste</v>
      </c>
      <c r="C2892" t="str">
        <f>_xlfn.XLOOKUP(A2892,[1]Municipios!$B:$B,[1]Municipios!$D:$D)</f>
        <v>Terra Roxa</v>
      </c>
      <c r="D2892">
        <v>2025</v>
      </c>
      <c r="E2892" t="s">
        <v>233</v>
      </c>
      <c r="F2892">
        <v>0.875</v>
      </c>
      <c r="G2892">
        <v>86.35</v>
      </c>
    </row>
    <row r="2893" spans="1:7" x14ac:dyDescent="0.25">
      <c r="A2893" t="s">
        <v>433</v>
      </c>
      <c r="B2893" t="str">
        <f>_xlfn.XLOOKUP(A2893,[1]Municipios!$B:$B,[1]Municipios!$C:$C)</f>
        <v>Noroeste</v>
      </c>
      <c r="C2893" t="str">
        <f>_xlfn.XLOOKUP(A2893,[1]Municipios!$B:$B,[1]Municipios!$D:$D)</f>
        <v>Terra Roxa</v>
      </c>
      <c r="D2893">
        <v>2025</v>
      </c>
      <c r="E2893" t="s">
        <v>215</v>
      </c>
      <c r="F2893">
        <v>1</v>
      </c>
      <c r="G2893">
        <v>86.35</v>
      </c>
    </row>
    <row r="2894" spans="1:7" x14ac:dyDescent="0.25">
      <c r="A2894" t="s">
        <v>433</v>
      </c>
      <c r="B2894" t="str">
        <f>_xlfn.XLOOKUP(A2894,[1]Municipios!$B:$B,[1]Municipios!$C:$C)</f>
        <v>Noroeste</v>
      </c>
      <c r="C2894" t="str">
        <f>_xlfn.XLOOKUP(A2894,[1]Municipios!$B:$B,[1]Municipios!$D:$D)</f>
        <v>Terra Roxa</v>
      </c>
      <c r="D2894">
        <v>2025</v>
      </c>
      <c r="E2894" t="s">
        <v>234</v>
      </c>
      <c r="F2894">
        <v>1</v>
      </c>
      <c r="G2894">
        <v>86.35</v>
      </c>
    </row>
    <row r="2895" spans="1:7" x14ac:dyDescent="0.25">
      <c r="A2895" t="s">
        <v>433</v>
      </c>
      <c r="B2895" t="str">
        <f>_xlfn.XLOOKUP(A2895,[1]Municipios!$B:$B,[1]Municipios!$C:$C)</f>
        <v>Noroeste</v>
      </c>
      <c r="C2895" t="str">
        <f>_xlfn.XLOOKUP(A2895,[1]Municipios!$B:$B,[1]Municipios!$D:$D)</f>
        <v>Terra Roxa</v>
      </c>
      <c r="D2895">
        <v>2025</v>
      </c>
      <c r="E2895" t="s">
        <v>235</v>
      </c>
      <c r="F2895">
        <v>1</v>
      </c>
      <c r="G2895">
        <v>86.35</v>
      </c>
    </row>
    <row r="2896" spans="1:7" x14ac:dyDescent="0.25">
      <c r="A2896" t="s">
        <v>433</v>
      </c>
      <c r="B2896" t="str">
        <f>_xlfn.XLOOKUP(A2896,[1]Municipios!$B:$B,[1]Municipios!$C:$C)</f>
        <v>Noroeste</v>
      </c>
      <c r="C2896" t="str">
        <f>_xlfn.XLOOKUP(A2896,[1]Municipios!$B:$B,[1]Municipios!$D:$D)</f>
        <v>Terra Roxa</v>
      </c>
      <c r="D2896">
        <v>2025</v>
      </c>
      <c r="E2896" t="s">
        <v>236</v>
      </c>
      <c r="F2896">
        <v>0.46159999999999995</v>
      </c>
      <c r="G2896">
        <v>86.35</v>
      </c>
    </row>
    <row r="2897" spans="1:7" x14ac:dyDescent="0.25">
      <c r="A2897" t="s">
        <v>433</v>
      </c>
      <c r="B2897" t="str">
        <f>_xlfn.XLOOKUP(A2897,[1]Municipios!$B:$B,[1]Municipios!$C:$C)</f>
        <v>Noroeste</v>
      </c>
      <c r="C2897" t="str">
        <f>_xlfn.XLOOKUP(A2897,[1]Municipios!$B:$B,[1]Municipios!$D:$D)</f>
        <v>Terra Roxa</v>
      </c>
      <c r="D2897">
        <v>2025</v>
      </c>
      <c r="E2897" t="s">
        <v>237</v>
      </c>
      <c r="F2897">
        <v>1</v>
      </c>
      <c r="G2897">
        <v>86.35</v>
      </c>
    </row>
    <row r="2898" spans="1:7" x14ac:dyDescent="0.25">
      <c r="A2898" t="s">
        <v>266</v>
      </c>
      <c r="B2898" t="str">
        <f>_xlfn.XLOOKUP(A2898,[1]Municipios!$B:$B,[1]Municipios!$C:$C)</f>
        <v>Sul</v>
      </c>
      <c r="C2898" t="str">
        <f>_xlfn.XLOOKUP(A2898,[1]Municipios!$B:$B,[1]Municipios!$D:$D)</f>
        <v>Sudoeste Pioneiro</v>
      </c>
      <c r="D2898">
        <v>2025</v>
      </c>
      <c r="E2898" t="s">
        <v>231</v>
      </c>
      <c r="F2898">
        <v>0.44449999999999995</v>
      </c>
      <c r="G2898">
        <v>30.14</v>
      </c>
    </row>
    <row r="2899" spans="1:7" x14ac:dyDescent="0.25">
      <c r="A2899" t="s">
        <v>266</v>
      </c>
      <c r="B2899" t="str">
        <f>_xlfn.XLOOKUP(A2899,[1]Municipios!$B:$B,[1]Municipios!$C:$C)</f>
        <v>Sul</v>
      </c>
      <c r="C2899" t="str">
        <f>_xlfn.XLOOKUP(A2899,[1]Municipios!$B:$B,[1]Municipios!$D:$D)</f>
        <v>Sudoeste Pioneiro</v>
      </c>
      <c r="D2899">
        <v>2025</v>
      </c>
      <c r="E2899" t="s">
        <v>232</v>
      </c>
      <c r="F2899">
        <v>0.53839999999999999</v>
      </c>
      <c r="G2899">
        <v>30.14</v>
      </c>
    </row>
    <row r="2900" spans="1:7" x14ac:dyDescent="0.25">
      <c r="A2900" t="s">
        <v>266</v>
      </c>
      <c r="B2900" t="str">
        <f>_xlfn.XLOOKUP(A2900,[1]Municipios!$B:$B,[1]Municipios!$C:$C)</f>
        <v>Sul</v>
      </c>
      <c r="C2900" t="str">
        <f>_xlfn.XLOOKUP(A2900,[1]Municipios!$B:$B,[1]Municipios!$D:$D)</f>
        <v>Sudoeste Pioneiro</v>
      </c>
      <c r="D2900">
        <v>2025</v>
      </c>
      <c r="E2900" t="s">
        <v>233</v>
      </c>
      <c r="F2900">
        <v>0.375</v>
      </c>
      <c r="G2900">
        <v>30.14</v>
      </c>
    </row>
    <row r="2901" spans="1:7" x14ac:dyDescent="0.25">
      <c r="A2901" t="s">
        <v>266</v>
      </c>
      <c r="B2901" t="str">
        <f>_xlfn.XLOOKUP(A2901,[1]Municipios!$B:$B,[1]Municipios!$C:$C)</f>
        <v>Sul</v>
      </c>
      <c r="C2901" t="str">
        <f>_xlfn.XLOOKUP(A2901,[1]Municipios!$B:$B,[1]Municipios!$D:$D)</f>
        <v>Sudoeste Pioneiro</v>
      </c>
      <c r="D2901">
        <v>2025</v>
      </c>
      <c r="E2901" t="s">
        <v>215</v>
      </c>
      <c r="F2901">
        <v>0.5</v>
      </c>
      <c r="G2901">
        <v>30.14</v>
      </c>
    </row>
    <row r="2902" spans="1:7" x14ac:dyDescent="0.25">
      <c r="A2902" t="s">
        <v>266</v>
      </c>
      <c r="B2902" t="str">
        <f>_xlfn.XLOOKUP(A2902,[1]Municipios!$B:$B,[1]Municipios!$C:$C)</f>
        <v>Sul</v>
      </c>
      <c r="C2902" t="str">
        <f>_xlfn.XLOOKUP(A2902,[1]Municipios!$B:$B,[1]Municipios!$D:$D)</f>
        <v>Sudoeste Pioneiro</v>
      </c>
      <c r="D2902">
        <v>2025</v>
      </c>
      <c r="E2902" t="s">
        <v>234</v>
      </c>
      <c r="F2902">
        <v>0.1111</v>
      </c>
      <c r="G2902">
        <v>30.14</v>
      </c>
    </row>
    <row r="2903" spans="1:7" x14ac:dyDescent="0.25">
      <c r="A2903" t="s">
        <v>266</v>
      </c>
      <c r="B2903" t="str">
        <f>_xlfn.XLOOKUP(A2903,[1]Municipios!$B:$B,[1]Municipios!$C:$C)</f>
        <v>Sul</v>
      </c>
      <c r="C2903" t="str">
        <f>_xlfn.XLOOKUP(A2903,[1]Municipios!$B:$B,[1]Municipios!$D:$D)</f>
        <v>Sudoeste Pioneiro</v>
      </c>
      <c r="D2903">
        <v>2025</v>
      </c>
      <c r="E2903" t="s">
        <v>235</v>
      </c>
      <c r="F2903">
        <v>0.42839999999999995</v>
      </c>
      <c r="G2903">
        <v>30.14</v>
      </c>
    </row>
    <row r="2904" spans="1:7" x14ac:dyDescent="0.25">
      <c r="A2904" t="s">
        <v>266</v>
      </c>
      <c r="B2904" t="str">
        <f>_xlfn.XLOOKUP(A2904,[1]Municipios!$B:$B,[1]Municipios!$C:$C)</f>
        <v>Sul</v>
      </c>
      <c r="C2904" t="str">
        <f>_xlfn.XLOOKUP(A2904,[1]Municipios!$B:$B,[1]Municipios!$D:$D)</f>
        <v>Sudoeste Pioneiro</v>
      </c>
      <c r="D2904">
        <v>2025</v>
      </c>
      <c r="E2904" t="s">
        <v>236</v>
      </c>
      <c r="F2904">
        <v>0</v>
      </c>
      <c r="G2904">
        <v>30.14</v>
      </c>
    </row>
    <row r="2905" spans="1:7" x14ac:dyDescent="0.25">
      <c r="A2905" t="s">
        <v>266</v>
      </c>
      <c r="B2905" t="str">
        <f>_xlfn.XLOOKUP(A2905,[1]Municipios!$B:$B,[1]Municipios!$C:$C)</f>
        <v>Sul</v>
      </c>
      <c r="C2905" t="str">
        <f>_xlfn.XLOOKUP(A2905,[1]Municipios!$B:$B,[1]Municipios!$D:$D)</f>
        <v>Sudoeste Pioneiro</v>
      </c>
      <c r="D2905">
        <v>2025</v>
      </c>
      <c r="E2905" t="s">
        <v>237</v>
      </c>
      <c r="F2905">
        <v>0</v>
      </c>
      <c r="G2905">
        <v>30.14</v>
      </c>
    </row>
    <row r="2906" spans="1:7" x14ac:dyDescent="0.25">
      <c r="A2906" t="s">
        <v>625</v>
      </c>
      <c r="B2906" t="str">
        <f>_xlfn.XLOOKUP(A2906,[1]Municipios!$B:$B,[1]Municipios!$C:$C)</f>
        <v>Centro</v>
      </c>
      <c r="C2906" t="str">
        <f>_xlfn.XLOOKUP(A2906,[1]Municipios!$B:$B,[1]Municipios!$D:$D)</f>
        <v>Campos Gerais</v>
      </c>
      <c r="D2906">
        <v>2025</v>
      </c>
      <c r="E2906" t="s">
        <v>231</v>
      </c>
      <c r="F2906">
        <v>0.77779999999999994</v>
      </c>
      <c r="G2906">
        <v>65.69</v>
      </c>
    </row>
    <row r="2907" spans="1:7" x14ac:dyDescent="0.25">
      <c r="A2907" t="s">
        <v>625</v>
      </c>
      <c r="B2907" t="str">
        <f>_xlfn.XLOOKUP(A2907,[1]Municipios!$B:$B,[1]Municipios!$C:$C)</f>
        <v>Centro</v>
      </c>
      <c r="C2907" t="str">
        <f>_xlfn.XLOOKUP(A2907,[1]Municipios!$B:$B,[1]Municipios!$D:$D)</f>
        <v>Campos Gerais</v>
      </c>
      <c r="D2907">
        <v>2025</v>
      </c>
      <c r="E2907" t="s">
        <v>232</v>
      </c>
      <c r="F2907">
        <v>0.84609999999999996</v>
      </c>
      <c r="G2907">
        <v>65.69</v>
      </c>
    </row>
    <row r="2908" spans="1:7" x14ac:dyDescent="0.25">
      <c r="A2908" t="s">
        <v>625</v>
      </c>
      <c r="B2908" t="str">
        <f>_xlfn.XLOOKUP(A2908,[1]Municipios!$B:$B,[1]Municipios!$C:$C)</f>
        <v>Centro</v>
      </c>
      <c r="C2908" t="str">
        <f>_xlfn.XLOOKUP(A2908,[1]Municipios!$B:$B,[1]Municipios!$D:$D)</f>
        <v>Campos Gerais</v>
      </c>
      <c r="D2908">
        <v>2025</v>
      </c>
      <c r="E2908" t="s">
        <v>233</v>
      </c>
      <c r="F2908">
        <v>1</v>
      </c>
      <c r="G2908">
        <v>65.69</v>
      </c>
    </row>
    <row r="2909" spans="1:7" x14ac:dyDescent="0.25">
      <c r="A2909" t="s">
        <v>625</v>
      </c>
      <c r="B2909" t="str">
        <f>_xlfn.XLOOKUP(A2909,[1]Municipios!$B:$B,[1]Municipios!$C:$C)</f>
        <v>Centro</v>
      </c>
      <c r="C2909" t="str">
        <f>_xlfn.XLOOKUP(A2909,[1]Municipios!$B:$B,[1]Municipios!$D:$D)</f>
        <v>Campos Gerais</v>
      </c>
      <c r="D2909">
        <v>2025</v>
      </c>
      <c r="E2909" t="s">
        <v>215</v>
      </c>
      <c r="F2909">
        <v>0.79999999999999993</v>
      </c>
      <c r="G2909">
        <v>65.69</v>
      </c>
    </row>
    <row r="2910" spans="1:7" x14ac:dyDescent="0.25">
      <c r="A2910" t="s">
        <v>625</v>
      </c>
      <c r="B2910" t="str">
        <f>_xlfn.XLOOKUP(A2910,[1]Municipios!$B:$B,[1]Municipios!$C:$C)</f>
        <v>Centro</v>
      </c>
      <c r="C2910" t="str">
        <f>_xlfn.XLOOKUP(A2910,[1]Municipios!$B:$B,[1]Municipios!$D:$D)</f>
        <v>Campos Gerais</v>
      </c>
      <c r="D2910">
        <v>2025</v>
      </c>
      <c r="E2910" t="s">
        <v>234</v>
      </c>
      <c r="F2910">
        <v>0.77770000000000006</v>
      </c>
      <c r="G2910">
        <v>65.69</v>
      </c>
    </row>
    <row r="2911" spans="1:7" x14ac:dyDescent="0.25">
      <c r="A2911" t="s">
        <v>625</v>
      </c>
      <c r="B2911" t="str">
        <f>_xlfn.XLOOKUP(A2911,[1]Municipios!$B:$B,[1]Municipios!$C:$C)</f>
        <v>Centro</v>
      </c>
      <c r="C2911" t="str">
        <f>_xlfn.XLOOKUP(A2911,[1]Municipios!$B:$B,[1]Municipios!$D:$D)</f>
        <v>Campos Gerais</v>
      </c>
      <c r="D2911">
        <v>2025</v>
      </c>
      <c r="E2911" t="s">
        <v>235</v>
      </c>
      <c r="F2911">
        <v>0.57140000000000002</v>
      </c>
      <c r="G2911">
        <v>65.69</v>
      </c>
    </row>
    <row r="2912" spans="1:7" x14ac:dyDescent="0.25">
      <c r="A2912" t="s">
        <v>625</v>
      </c>
      <c r="B2912" t="str">
        <f>_xlfn.XLOOKUP(A2912,[1]Municipios!$B:$B,[1]Municipios!$C:$C)</f>
        <v>Centro</v>
      </c>
      <c r="C2912" t="str">
        <f>_xlfn.XLOOKUP(A2912,[1]Municipios!$B:$B,[1]Municipios!$D:$D)</f>
        <v>Campos Gerais</v>
      </c>
      <c r="D2912">
        <v>2025</v>
      </c>
      <c r="E2912" t="s">
        <v>236</v>
      </c>
      <c r="F2912">
        <v>7.6999999999999999E-2</v>
      </c>
      <c r="G2912">
        <v>65.69</v>
      </c>
    </row>
    <row r="2913" spans="1:7" x14ac:dyDescent="0.25">
      <c r="A2913" t="s">
        <v>625</v>
      </c>
      <c r="B2913" t="str">
        <f>_xlfn.XLOOKUP(A2913,[1]Municipios!$B:$B,[1]Municipios!$C:$C)</f>
        <v>Centro</v>
      </c>
      <c r="C2913" t="str">
        <f>_xlfn.XLOOKUP(A2913,[1]Municipios!$B:$B,[1]Municipios!$D:$D)</f>
        <v>Campos Gerais</v>
      </c>
      <c r="D2913">
        <v>2025</v>
      </c>
      <c r="E2913" t="s">
        <v>237</v>
      </c>
      <c r="F2913">
        <v>0.5</v>
      </c>
      <c r="G2913">
        <v>65.69</v>
      </c>
    </row>
    <row r="2914" spans="1:7" x14ac:dyDescent="0.25">
      <c r="A2914" t="s">
        <v>626</v>
      </c>
      <c r="B2914" t="str">
        <f>_xlfn.XLOOKUP(A2914,[1]Municipios!$B:$B,[1]Municipios!$C:$C)</f>
        <v>Oeste</v>
      </c>
      <c r="C2914" t="str">
        <f>_xlfn.XLOOKUP(A2914,[1]Municipios!$B:$B,[1]Municipios!$D:$D)</f>
        <v>Oeste Integrado</v>
      </c>
      <c r="D2914">
        <v>2025</v>
      </c>
      <c r="E2914" t="s">
        <v>231</v>
      </c>
      <c r="F2914">
        <v>0.77779999999999994</v>
      </c>
      <c r="G2914">
        <v>51.51</v>
      </c>
    </row>
    <row r="2915" spans="1:7" x14ac:dyDescent="0.25">
      <c r="A2915" t="s">
        <v>626</v>
      </c>
      <c r="B2915" t="str">
        <f>_xlfn.XLOOKUP(A2915,[1]Municipios!$B:$B,[1]Municipios!$C:$C)</f>
        <v>Oeste</v>
      </c>
      <c r="C2915" t="str">
        <f>_xlfn.XLOOKUP(A2915,[1]Municipios!$B:$B,[1]Municipios!$D:$D)</f>
        <v>Oeste Integrado</v>
      </c>
      <c r="D2915">
        <v>2025</v>
      </c>
      <c r="E2915" t="s">
        <v>232</v>
      </c>
      <c r="F2915">
        <v>0.69230000000000003</v>
      </c>
      <c r="G2915">
        <v>51.51</v>
      </c>
    </row>
    <row r="2916" spans="1:7" x14ac:dyDescent="0.25">
      <c r="A2916" t="s">
        <v>626</v>
      </c>
      <c r="B2916" t="str">
        <f>_xlfn.XLOOKUP(A2916,[1]Municipios!$B:$B,[1]Municipios!$C:$C)</f>
        <v>Oeste</v>
      </c>
      <c r="C2916" t="str">
        <f>_xlfn.XLOOKUP(A2916,[1]Municipios!$B:$B,[1]Municipios!$D:$D)</f>
        <v>Oeste Integrado</v>
      </c>
      <c r="D2916">
        <v>2025</v>
      </c>
      <c r="E2916" t="s">
        <v>233</v>
      </c>
      <c r="F2916">
        <v>0.75</v>
      </c>
      <c r="G2916">
        <v>51.51</v>
      </c>
    </row>
    <row r="2917" spans="1:7" x14ac:dyDescent="0.25">
      <c r="A2917" t="s">
        <v>626</v>
      </c>
      <c r="B2917" t="str">
        <f>_xlfn.XLOOKUP(A2917,[1]Municipios!$B:$B,[1]Municipios!$C:$C)</f>
        <v>Oeste</v>
      </c>
      <c r="C2917" t="str">
        <f>_xlfn.XLOOKUP(A2917,[1]Municipios!$B:$B,[1]Municipios!$D:$D)</f>
        <v>Oeste Integrado</v>
      </c>
      <c r="D2917">
        <v>2025</v>
      </c>
      <c r="E2917" t="s">
        <v>215</v>
      </c>
      <c r="F2917">
        <v>0.39999999999999997</v>
      </c>
      <c r="G2917">
        <v>51.51</v>
      </c>
    </row>
    <row r="2918" spans="1:7" x14ac:dyDescent="0.25">
      <c r="A2918" t="s">
        <v>626</v>
      </c>
      <c r="B2918" t="str">
        <f>_xlfn.XLOOKUP(A2918,[1]Municipios!$B:$B,[1]Municipios!$C:$C)</f>
        <v>Oeste</v>
      </c>
      <c r="C2918" t="str">
        <f>_xlfn.XLOOKUP(A2918,[1]Municipios!$B:$B,[1]Municipios!$D:$D)</f>
        <v>Oeste Integrado</v>
      </c>
      <c r="D2918">
        <v>2025</v>
      </c>
      <c r="E2918" t="s">
        <v>234</v>
      </c>
      <c r="F2918">
        <v>0.44440000000000002</v>
      </c>
      <c r="G2918">
        <v>51.51</v>
      </c>
    </row>
    <row r="2919" spans="1:7" x14ac:dyDescent="0.25">
      <c r="A2919" t="s">
        <v>626</v>
      </c>
      <c r="B2919" t="str">
        <f>_xlfn.XLOOKUP(A2919,[1]Municipios!$B:$B,[1]Municipios!$C:$C)</f>
        <v>Oeste</v>
      </c>
      <c r="C2919" t="str">
        <f>_xlfn.XLOOKUP(A2919,[1]Municipios!$B:$B,[1]Municipios!$D:$D)</f>
        <v>Oeste Integrado</v>
      </c>
      <c r="D2919">
        <v>2025</v>
      </c>
      <c r="E2919" t="s">
        <v>235</v>
      </c>
      <c r="F2919">
        <v>0.57130000000000003</v>
      </c>
      <c r="G2919">
        <v>51.51</v>
      </c>
    </row>
    <row r="2920" spans="1:7" x14ac:dyDescent="0.25">
      <c r="A2920" t="s">
        <v>626</v>
      </c>
      <c r="B2920" t="str">
        <f>_xlfn.XLOOKUP(A2920,[1]Municipios!$B:$B,[1]Municipios!$C:$C)</f>
        <v>Oeste</v>
      </c>
      <c r="C2920" t="str">
        <f>_xlfn.XLOOKUP(A2920,[1]Municipios!$B:$B,[1]Municipios!$D:$D)</f>
        <v>Oeste Integrado</v>
      </c>
      <c r="D2920">
        <v>2025</v>
      </c>
      <c r="E2920" t="s">
        <v>236</v>
      </c>
      <c r="F2920">
        <v>7.6999999999999999E-2</v>
      </c>
      <c r="G2920">
        <v>51.51</v>
      </c>
    </row>
    <row r="2921" spans="1:7" x14ac:dyDescent="0.25">
      <c r="A2921" t="s">
        <v>626</v>
      </c>
      <c r="B2921" t="str">
        <f>_xlfn.XLOOKUP(A2921,[1]Municipios!$B:$B,[1]Municipios!$C:$C)</f>
        <v>Oeste</v>
      </c>
      <c r="C2921" t="str">
        <f>_xlfn.XLOOKUP(A2921,[1]Municipios!$B:$B,[1]Municipios!$D:$D)</f>
        <v>Oeste Integrado</v>
      </c>
      <c r="D2921">
        <v>2025</v>
      </c>
      <c r="E2921" t="s">
        <v>237</v>
      </c>
      <c r="F2921">
        <v>0.5</v>
      </c>
      <c r="G2921">
        <v>51.51</v>
      </c>
    </row>
    <row r="2922" spans="1:7" x14ac:dyDescent="0.25">
      <c r="A2922" t="s">
        <v>403</v>
      </c>
      <c r="B2922" t="str">
        <f>_xlfn.XLOOKUP(A2922,[1]Municipios!$B:$B,[1]Municipios!$C:$C)</f>
        <v>Norte</v>
      </c>
      <c r="C2922" t="str">
        <f>_xlfn.XLOOKUP(A2922,[1]Municipios!$B:$B,[1]Municipios!$D:$D)</f>
        <v>Norte Central</v>
      </c>
      <c r="D2922">
        <v>2025</v>
      </c>
      <c r="E2922" t="s">
        <v>231</v>
      </c>
      <c r="F2922">
        <v>0.66669999999999996</v>
      </c>
      <c r="G2922">
        <v>77.14</v>
      </c>
    </row>
    <row r="2923" spans="1:7" x14ac:dyDescent="0.25">
      <c r="A2923" t="s">
        <v>403</v>
      </c>
      <c r="B2923" t="str">
        <f>_xlfn.XLOOKUP(A2923,[1]Municipios!$B:$B,[1]Municipios!$C:$C)</f>
        <v>Norte</v>
      </c>
      <c r="C2923" t="str">
        <f>_xlfn.XLOOKUP(A2923,[1]Municipios!$B:$B,[1]Municipios!$D:$D)</f>
        <v>Norte Central</v>
      </c>
      <c r="D2923">
        <v>2025</v>
      </c>
      <c r="E2923" t="s">
        <v>232</v>
      </c>
      <c r="F2923">
        <v>0.84619999999999995</v>
      </c>
      <c r="G2923">
        <v>77.14</v>
      </c>
    </row>
    <row r="2924" spans="1:7" x14ac:dyDescent="0.25">
      <c r="A2924" t="s">
        <v>403</v>
      </c>
      <c r="B2924" t="str">
        <f>_xlfn.XLOOKUP(A2924,[1]Municipios!$B:$B,[1]Municipios!$C:$C)</f>
        <v>Norte</v>
      </c>
      <c r="C2924" t="str">
        <f>_xlfn.XLOOKUP(A2924,[1]Municipios!$B:$B,[1]Municipios!$D:$D)</f>
        <v>Norte Central</v>
      </c>
      <c r="D2924">
        <v>2025</v>
      </c>
      <c r="E2924" t="s">
        <v>233</v>
      </c>
      <c r="F2924">
        <v>0.625</v>
      </c>
      <c r="G2924">
        <v>77.14</v>
      </c>
    </row>
    <row r="2925" spans="1:7" x14ac:dyDescent="0.25">
      <c r="A2925" t="s">
        <v>403</v>
      </c>
      <c r="B2925" t="str">
        <f>_xlfn.XLOOKUP(A2925,[1]Municipios!$B:$B,[1]Municipios!$C:$C)</f>
        <v>Norte</v>
      </c>
      <c r="C2925" t="str">
        <f>_xlfn.XLOOKUP(A2925,[1]Municipios!$B:$B,[1]Municipios!$D:$D)</f>
        <v>Norte Central</v>
      </c>
      <c r="D2925">
        <v>2025</v>
      </c>
      <c r="E2925" t="s">
        <v>215</v>
      </c>
      <c r="F2925">
        <v>0.79999999999999993</v>
      </c>
      <c r="G2925">
        <v>77.14</v>
      </c>
    </row>
    <row r="2926" spans="1:7" x14ac:dyDescent="0.25">
      <c r="A2926" t="s">
        <v>403</v>
      </c>
      <c r="B2926" t="str">
        <f>_xlfn.XLOOKUP(A2926,[1]Municipios!$B:$B,[1]Municipios!$C:$C)</f>
        <v>Norte</v>
      </c>
      <c r="C2926" t="str">
        <f>_xlfn.XLOOKUP(A2926,[1]Municipios!$B:$B,[1]Municipios!$D:$D)</f>
        <v>Norte Central</v>
      </c>
      <c r="D2926">
        <v>2025</v>
      </c>
      <c r="E2926" t="s">
        <v>234</v>
      </c>
      <c r="F2926">
        <v>0.66659999999999997</v>
      </c>
      <c r="G2926">
        <v>77.14</v>
      </c>
    </row>
    <row r="2927" spans="1:7" x14ac:dyDescent="0.25">
      <c r="A2927" t="s">
        <v>403</v>
      </c>
      <c r="B2927" t="str">
        <f>_xlfn.XLOOKUP(A2927,[1]Municipios!$B:$B,[1]Municipios!$C:$C)</f>
        <v>Norte</v>
      </c>
      <c r="C2927" t="str">
        <f>_xlfn.XLOOKUP(A2927,[1]Municipios!$B:$B,[1]Municipios!$D:$D)</f>
        <v>Norte Central</v>
      </c>
      <c r="D2927">
        <v>2025</v>
      </c>
      <c r="E2927" t="s">
        <v>235</v>
      </c>
      <c r="F2927">
        <v>1</v>
      </c>
      <c r="G2927">
        <v>77.14</v>
      </c>
    </row>
    <row r="2928" spans="1:7" x14ac:dyDescent="0.25">
      <c r="A2928" t="s">
        <v>403</v>
      </c>
      <c r="B2928" t="str">
        <f>_xlfn.XLOOKUP(A2928,[1]Municipios!$B:$B,[1]Municipios!$C:$C)</f>
        <v>Norte</v>
      </c>
      <c r="C2928" t="str">
        <f>_xlfn.XLOOKUP(A2928,[1]Municipios!$B:$B,[1]Municipios!$D:$D)</f>
        <v>Norte Central</v>
      </c>
      <c r="D2928">
        <v>2025</v>
      </c>
      <c r="E2928" t="s">
        <v>236</v>
      </c>
      <c r="F2928">
        <v>0.46159999999999995</v>
      </c>
      <c r="G2928">
        <v>77.14</v>
      </c>
    </row>
    <row r="2929" spans="1:7" x14ac:dyDescent="0.25">
      <c r="A2929" t="s">
        <v>403</v>
      </c>
      <c r="B2929" t="str">
        <f>_xlfn.XLOOKUP(A2929,[1]Municipios!$B:$B,[1]Municipios!$C:$C)</f>
        <v>Norte</v>
      </c>
      <c r="C2929" t="str">
        <f>_xlfn.XLOOKUP(A2929,[1]Municipios!$B:$B,[1]Municipios!$D:$D)</f>
        <v>Norte Central</v>
      </c>
      <c r="D2929">
        <v>2025</v>
      </c>
      <c r="E2929" t="s">
        <v>237</v>
      </c>
      <c r="F2929">
        <v>1</v>
      </c>
      <c r="G2929">
        <v>77.14</v>
      </c>
    </row>
    <row r="2930" spans="1:7" x14ac:dyDescent="0.25">
      <c r="A2930" t="s">
        <v>285</v>
      </c>
      <c r="B2930" t="str">
        <f>_xlfn.XLOOKUP(A2930,[1]Municipios!$B:$B,[1]Municipios!$C:$C)</f>
        <v>Norte</v>
      </c>
      <c r="C2930" t="str">
        <f>_xlfn.XLOOKUP(A2930,[1]Municipios!$B:$B,[1]Municipios!$D:$D)</f>
        <v>Norte Do Paraná</v>
      </c>
      <c r="D2930">
        <v>2025</v>
      </c>
      <c r="E2930" t="s">
        <v>231</v>
      </c>
      <c r="F2930">
        <v>0.66669999999999996</v>
      </c>
      <c r="G2930">
        <v>38.33</v>
      </c>
    </row>
    <row r="2931" spans="1:7" x14ac:dyDescent="0.25">
      <c r="A2931" t="s">
        <v>285</v>
      </c>
      <c r="B2931" t="str">
        <f>_xlfn.XLOOKUP(A2931,[1]Municipios!$B:$B,[1]Municipios!$C:$C)</f>
        <v>Norte</v>
      </c>
      <c r="C2931" t="str">
        <f>_xlfn.XLOOKUP(A2931,[1]Municipios!$B:$B,[1]Municipios!$D:$D)</f>
        <v>Norte Do Paraná</v>
      </c>
      <c r="D2931">
        <v>2025</v>
      </c>
      <c r="E2931" t="s">
        <v>232</v>
      </c>
      <c r="F2931">
        <v>0.53839999999999999</v>
      </c>
      <c r="G2931">
        <v>38.33</v>
      </c>
    </row>
    <row r="2932" spans="1:7" x14ac:dyDescent="0.25">
      <c r="A2932" t="s">
        <v>285</v>
      </c>
      <c r="B2932" t="str">
        <f>_xlfn.XLOOKUP(A2932,[1]Municipios!$B:$B,[1]Municipios!$C:$C)</f>
        <v>Norte</v>
      </c>
      <c r="C2932" t="str">
        <f>_xlfn.XLOOKUP(A2932,[1]Municipios!$B:$B,[1]Municipios!$D:$D)</f>
        <v>Norte Do Paraná</v>
      </c>
      <c r="D2932">
        <v>2025</v>
      </c>
      <c r="E2932" t="s">
        <v>233</v>
      </c>
      <c r="F2932">
        <v>0.5</v>
      </c>
      <c r="G2932">
        <v>38.33</v>
      </c>
    </row>
    <row r="2933" spans="1:7" x14ac:dyDescent="0.25">
      <c r="A2933" t="s">
        <v>285</v>
      </c>
      <c r="B2933" t="str">
        <f>_xlfn.XLOOKUP(A2933,[1]Municipios!$B:$B,[1]Municipios!$C:$C)</f>
        <v>Norte</v>
      </c>
      <c r="C2933" t="str">
        <f>_xlfn.XLOOKUP(A2933,[1]Municipios!$B:$B,[1]Municipios!$D:$D)</f>
        <v>Norte Do Paraná</v>
      </c>
      <c r="D2933">
        <v>2025</v>
      </c>
      <c r="E2933" t="s">
        <v>215</v>
      </c>
      <c r="F2933">
        <v>0.3</v>
      </c>
      <c r="G2933">
        <v>38.33</v>
      </c>
    </row>
    <row r="2934" spans="1:7" x14ac:dyDescent="0.25">
      <c r="A2934" t="s">
        <v>285</v>
      </c>
      <c r="B2934" t="str">
        <f>_xlfn.XLOOKUP(A2934,[1]Municipios!$B:$B,[1]Municipios!$C:$C)</f>
        <v>Norte</v>
      </c>
      <c r="C2934" t="str">
        <f>_xlfn.XLOOKUP(A2934,[1]Municipios!$B:$B,[1]Municipios!$D:$D)</f>
        <v>Norte Do Paraná</v>
      </c>
      <c r="D2934">
        <v>2025</v>
      </c>
      <c r="E2934" t="s">
        <v>234</v>
      </c>
      <c r="F2934">
        <v>0.66669999999999996</v>
      </c>
      <c r="G2934">
        <v>38.33</v>
      </c>
    </row>
    <row r="2935" spans="1:7" x14ac:dyDescent="0.25">
      <c r="A2935" t="s">
        <v>285</v>
      </c>
      <c r="B2935" t="str">
        <f>_xlfn.XLOOKUP(A2935,[1]Municipios!$B:$B,[1]Municipios!$C:$C)</f>
        <v>Norte</v>
      </c>
      <c r="C2935" t="str">
        <f>_xlfn.XLOOKUP(A2935,[1]Municipios!$B:$B,[1]Municipios!$D:$D)</f>
        <v>Norte Do Paraná</v>
      </c>
      <c r="D2935">
        <v>2025</v>
      </c>
      <c r="E2935" t="s">
        <v>235</v>
      </c>
      <c r="F2935">
        <v>0.28570000000000001</v>
      </c>
      <c r="G2935">
        <v>38.33</v>
      </c>
    </row>
    <row r="2936" spans="1:7" x14ac:dyDescent="0.25">
      <c r="A2936" t="s">
        <v>285</v>
      </c>
      <c r="B2936" t="str">
        <f>_xlfn.XLOOKUP(A2936,[1]Municipios!$B:$B,[1]Municipios!$C:$C)</f>
        <v>Norte</v>
      </c>
      <c r="C2936" t="str">
        <f>_xlfn.XLOOKUP(A2936,[1]Municipios!$B:$B,[1]Municipios!$D:$D)</f>
        <v>Norte Do Paraná</v>
      </c>
      <c r="D2936">
        <v>2025</v>
      </c>
      <c r="E2936" t="s">
        <v>236</v>
      </c>
      <c r="F2936">
        <v>0</v>
      </c>
      <c r="G2936">
        <v>38.33</v>
      </c>
    </row>
    <row r="2937" spans="1:7" x14ac:dyDescent="0.25">
      <c r="A2937" t="s">
        <v>285</v>
      </c>
      <c r="B2937" t="str">
        <f>_xlfn.XLOOKUP(A2937,[1]Municipios!$B:$B,[1]Municipios!$C:$C)</f>
        <v>Norte</v>
      </c>
      <c r="C2937" t="str">
        <f>_xlfn.XLOOKUP(A2937,[1]Municipios!$B:$B,[1]Municipios!$D:$D)</f>
        <v>Norte Do Paraná</v>
      </c>
      <c r="D2937">
        <v>2025</v>
      </c>
      <c r="E2937" t="s">
        <v>237</v>
      </c>
      <c r="F2937">
        <v>0</v>
      </c>
      <c r="G2937">
        <v>38.33</v>
      </c>
    </row>
    <row r="2938" spans="1:7" x14ac:dyDescent="0.25">
      <c r="A2938" t="s">
        <v>360</v>
      </c>
      <c r="B2938" t="str">
        <f>_xlfn.XLOOKUP(A2938,[1]Municipios!$B:$B,[1]Municipios!$C:$C)</f>
        <v>Norte</v>
      </c>
      <c r="C2938" t="str">
        <f>_xlfn.XLOOKUP(A2938,[1]Municipios!$B:$B,[1]Municipios!$D:$D)</f>
        <v>Norte Pioneiro</v>
      </c>
      <c r="D2938">
        <v>2025</v>
      </c>
      <c r="E2938" t="s">
        <v>231</v>
      </c>
      <c r="F2938">
        <v>0.88890000000000002</v>
      </c>
      <c r="G2938">
        <v>91.2</v>
      </c>
    </row>
    <row r="2939" spans="1:7" x14ac:dyDescent="0.25">
      <c r="A2939" t="s">
        <v>360</v>
      </c>
      <c r="B2939" t="str">
        <f>_xlfn.XLOOKUP(A2939,[1]Municipios!$B:$B,[1]Municipios!$C:$C)</f>
        <v>Norte</v>
      </c>
      <c r="C2939" t="str">
        <f>_xlfn.XLOOKUP(A2939,[1]Municipios!$B:$B,[1]Municipios!$D:$D)</f>
        <v>Norte Pioneiro</v>
      </c>
      <c r="D2939">
        <v>2025</v>
      </c>
      <c r="E2939" t="s">
        <v>232</v>
      </c>
      <c r="F2939">
        <v>1</v>
      </c>
      <c r="G2939">
        <v>91.2</v>
      </c>
    </row>
    <row r="2940" spans="1:7" x14ac:dyDescent="0.25">
      <c r="A2940" t="s">
        <v>360</v>
      </c>
      <c r="B2940" t="str">
        <f>_xlfn.XLOOKUP(A2940,[1]Municipios!$B:$B,[1]Municipios!$C:$C)</f>
        <v>Norte</v>
      </c>
      <c r="C2940" t="str">
        <f>_xlfn.XLOOKUP(A2940,[1]Municipios!$B:$B,[1]Municipios!$D:$D)</f>
        <v>Norte Pioneiro</v>
      </c>
      <c r="D2940">
        <v>2025</v>
      </c>
      <c r="E2940" t="s">
        <v>233</v>
      </c>
      <c r="F2940">
        <v>1</v>
      </c>
      <c r="G2940">
        <v>91.2</v>
      </c>
    </row>
    <row r="2941" spans="1:7" x14ac:dyDescent="0.25">
      <c r="A2941" t="s">
        <v>360</v>
      </c>
      <c r="B2941" t="str">
        <f>_xlfn.XLOOKUP(A2941,[1]Municipios!$B:$B,[1]Municipios!$C:$C)</f>
        <v>Norte</v>
      </c>
      <c r="C2941" t="str">
        <f>_xlfn.XLOOKUP(A2941,[1]Municipios!$B:$B,[1]Municipios!$D:$D)</f>
        <v>Norte Pioneiro</v>
      </c>
      <c r="D2941">
        <v>2025</v>
      </c>
      <c r="E2941" t="s">
        <v>215</v>
      </c>
      <c r="F2941">
        <v>1</v>
      </c>
      <c r="G2941">
        <v>91.2</v>
      </c>
    </row>
    <row r="2942" spans="1:7" x14ac:dyDescent="0.25">
      <c r="A2942" t="s">
        <v>360</v>
      </c>
      <c r="B2942" t="str">
        <f>_xlfn.XLOOKUP(A2942,[1]Municipios!$B:$B,[1]Municipios!$C:$C)</f>
        <v>Norte</v>
      </c>
      <c r="C2942" t="str">
        <f>_xlfn.XLOOKUP(A2942,[1]Municipios!$B:$B,[1]Municipios!$D:$D)</f>
        <v>Norte Pioneiro</v>
      </c>
      <c r="D2942">
        <v>2025</v>
      </c>
      <c r="E2942" t="s">
        <v>234</v>
      </c>
      <c r="F2942">
        <v>0.77780000000000005</v>
      </c>
      <c r="G2942">
        <v>91.2</v>
      </c>
    </row>
    <row r="2943" spans="1:7" x14ac:dyDescent="0.25">
      <c r="A2943" t="s">
        <v>360</v>
      </c>
      <c r="B2943" t="str">
        <f>_xlfn.XLOOKUP(A2943,[1]Municipios!$B:$B,[1]Municipios!$C:$C)</f>
        <v>Norte</v>
      </c>
      <c r="C2943" t="str">
        <f>_xlfn.XLOOKUP(A2943,[1]Municipios!$B:$B,[1]Municipios!$D:$D)</f>
        <v>Norte Pioneiro</v>
      </c>
      <c r="D2943">
        <v>2025</v>
      </c>
      <c r="E2943" t="s">
        <v>235</v>
      </c>
      <c r="F2943">
        <v>1</v>
      </c>
      <c r="G2943">
        <v>91.2</v>
      </c>
    </row>
    <row r="2944" spans="1:7" x14ac:dyDescent="0.25">
      <c r="A2944" t="s">
        <v>360</v>
      </c>
      <c r="B2944" t="str">
        <f>_xlfn.XLOOKUP(A2944,[1]Municipios!$B:$B,[1]Municipios!$C:$C)</f>
        <v>Norte</v>
      </c>
      <c r="C2944" t="str">
        <f>_xlfn.XLOOKUP(A2944,[1]Municipios!$B:$B,[1]Municipios!$D:$D)</f>
        <v>Norte Pioneiro</v>
      </c>
      <c r="D2944">
        <v>2025</v>
      </c>
      <c r="E2944" t="s">
        <v>236</v>
      </c>
      <c r="F2944">
        <v>0.69240000000000002</v>
      </c>
      <c r="G2944">
        <v>91.2</v>
      </c>
    </row>
    <row r="2945" spans="1:7" x14ac:dyDescent="0.25">
      <c r="A2945" t="s">
        <v>360</v>
      </c>
      <c r="B2945" t="str">
        <f>_xlfn.XLOOKUP(A2945,[1]Municipios!$B:$B,[1]Municipios!$C:$C)</f>
        <v>Norte</v>
      </c>
      <c r="C2945" t="str">
        <f>_xlfn.XLOOKUP(A2945,[1]Municipios!$B:$B,[1]Municipios!$D:$D)</f>
        <v>Norte Pioneiro</v>
      </c>
      <c r="D2945">
        <v>2025</v>
      </c>
      <c r="E2945" t="s">
        <v>237</v>
      </c>
      <c r="F2945">
        <v>1</v>
      </c>
      <c r="G2945">
        <v>91.2</v>
      </c>
    </row>
    <row r="2946" spans="1:7" x14ac:dyDescent="0.25">
      <c r="A2946" t="s">
        <v>267</v>
      </c>
      <c r="B2946" t="str">
        <f>_xlfn.XLOOKUP(A2946,[1]Municipios!$B:$B,[1]Municipios!$C:$C)</f>
        <v>Sul</v>
      </c>
      <c r="C2946" t="str">
        <f>_xlfn.XLOOKUP(A2946,[1]Municipios!$B:$B,[1]Municipios!$D:$D)</f>
        <v>Sudoeste Pioneiro</v>
      </c>
      <c r="D2946">
        <v>2025</v>
      </c>
      <c r="E2946" t="s">
        <v>231</v>
      </c>
      <c r="F2946">
        <v>0.88890000000000002</v>
      </c>
      <c r="G2946">
        <v>79.86</v>
      </c>
    </row>
    <row r="2947" spans="1:7" x14ac:dyDescent="0.25">
      <c r="A2947" t="s">
        <v>267</v>
      </c>
      <c r="B2947" t="str">
        <f>_xlfn.XLOOKUP(A2947,[1]Municipios!$B:$B,[1]Municipios!$C:$C)</f>
        <v>Sul</v>
      </c>
      <c r="C2947" t="str">
        <f>_xlfn.XLOOKUP(A2947,[1]Municipios!$B:$B,[1]Municipios!$D:$D)</f>
        <v>Sudoeste Pioneiro</v>
      </c>
      <c r="D2947">
        <v>2025</v>
      </c>
      <c r="E2947" t="s">
        <v>232</v>
      </c>
      <c r="F2947">
        <v>0.92310000000000003</v>
      </c>
      <c r="G2947">
        <v>79.86</v>
      </c>
    </row>
    <row r="2948" spans="1:7" x14ac:dyDescent="0.25">
      <c r="A2948" t="s">
        <v>267</v>
      </c>
      <c r="B2948" t="str">
        <f>_xlfn.XLOOKUP(A2948,[1]Municipios!$B:$B,[1]Municipios!$C:$C)</f>
        <v>Sul</v>
      </c>
      <c r="C2948" t="str">
        <f>_xlfn.XLOOKUP(A2948,[1]Municipios!$B:$B,[1]Municipios!$D:$D)</f>
        <v>Sudoeste Pioneiro</v>
      </c>
      <c r="D2948">
        <v>2025</v>
      </c>
      <c r="E2948" t="s">
        <v>233</v>
      </c>
      <c r="F2948">
        <v>0.75</v>
      </c>
      <c r="G2948">
        <v>79.86</v>
      </c>
    </row>
    <row r="2949" spans="1:7" x14ac:dyDescent="0.25">
      <c r="A2949" t="s">
        <v>267</v>
      </c>
      <c r="B2949" t="str">
        <f>_xlfn.XLOOKUP(A2949,[1]Municipios!$B:$B,[1]Municipios!$C:$C)</f>
        <v>Sul</v>
      </c>
      <c r="C2949" t="str">
        <f>_xlfn.XLOOKUP(A2949,[1]Municipios!$B:$B,[1]Municipios!$D:$D)</f>
        <v>Sudoeste Pioneiro</v>
      </c>
      <c r="D2949">
        <v>2025</v>
      </c>
      <c r="E2949" t="s">
        <v>215</v>
      </c>
      <c r="F2949">
        <v>0.79999999999999993</v>
      </c>
      <c r="G2949">
        <v>79.86</v>
      </c>
    </row>
    <row r="2950" spans="1:7" x14ac:dyDescent="0.25">
      <c r="A2950" t="s">
        <v>267</v>
      </c>
      <c r="B2950" t="str">
        <f>_xlfn.XLOOKUP(A2950,[1]Municipios!$B:$B,[1]Municipios!$C:$C)</f>
        <v>Sul</v>
      </c>
      <c r="C2950" t="str">
        <f>_xlfn.XLOOKUP(A2950,[1]Municipios!$B:$B,[1]Municipios!$D:$D)</f>
        <v>Sudoeste Pioneiro</v>
      </c>
      <c r="D2950">
        <v>2025</v>
      </c>
      <c r="E2950" t="s">
        <v>234</v>
      </c>
      <c r="F2950">
        <v>0.77780000000000005</v>
      </c>
      <c r="G2950">
        <v>79.86</v>
      </c>
    </row>
    <row r="2951" spans="1:7" x14ac:dyDescent="0.25">
      <c r="A2951" t="s">
        <v>267</v>
      </c>
      <c r="B2951" t="str">
        <f>_xlfn.XLOOKUP(A2951,[1]Municipios!$B:$B,[1]Municipios!$C:$C)</f>
        <v>Sul</v>
      </c>
      <c r="C2951" t="str">
        <f>_xlfn.XLOOKUP(A2951,[1]Municipios!$B:$B,[1]Municipios!$D:$D)</f>
        <v>Sudoeste Pioneiro</v>
      </c>
      <c r="D2951">
        <v>2025</v>
      </c>
      <c r="E2951" t="s">
        <v>235</v>
      </c>
      <c r="F2951">
        <v>1</v>
      </c>
      <c r="G2951">
        <v>79.86</v>
      </c>
    </row>
    <row r="2952" spans="1:7" x14ac:dyDescent="0.25">
      <c r="A2952" t="s">
        <v>267</v>
      </c>
      <c r="B2952" t="str">
        <f>_xlfn.XLOOKUP(A2952,[1]Municipios!$B:$B,[1]Municipios!$C:$C)</f>
        <v>Sul</v>
      </c>
      <c r="C2952" t="str">
        <f>_xlfn.XLOOKUP(A2952,[1]Municipios!$B:$B,[1]Municipios!$D:$D)</f>
        <v>Sudoeste Pioneiro</v>
      </c>
      <c r="D2952">
        <v>2025</v>
      </c>
      <c r="E2952" t="s">
        <v>236</v>
      </c>
      <c r="F2952">
        <v>0.15390000000000001</v>
      </c>
      <c r="G2952">
        <v>79.86</v>
      </c>
    </row>
    <row r="2953" spans="1:7" x14ac:dyDescent="0.25">
      <c r="A2953" t="s">
        <v>267</v>
      </c>
      <c r="B2953" t="str">
        <f>_xlfn.XLOOKUP(A2953,[1]Municipios!$B:$B,[1]Municipios!$C:$C)</f>
        <v>Sul</v>
      </c>
      <c r="C2953" t="str">
        <f>_xlfn.XLOOKUP(A2953,[1]Municipios!$B:$B,[1]Municipios!$D:$D)</f>
        <v>Sudoeste Pioneiro</v>
      </c>
      <c r="D2953">
        <v>2025</v>
      </c>
      <c r="E2953" t="s">
        <v>237</v>
      </c>
      <c r="F2953">
        <v>1</v>
      </c>
      <c r="G2953">
        <v>79.86</v>
      </c>
    </row>
    <row r="2954" spans="1:7" x14ac:dyDescent="0.25">
      <c r="A2954" t="s">
        <v>286</v>
      </c>
      <c r="B2954" t="str">
        <f>_xlfn.XLOOKUP(A2954,[1]Municipios!$B:$B,[1]Municipios!$C:$C)</f>
        <v>Norte</v>
      </c>
      <c r="C2954" t="str">
        <f>_xlfn.XLOOKUP(A2954,[1]Municipios!$B:$B,[1]Municipios!$D:$D)</f>
        <v>Norte Do Paraná</v>
      </c>
      <c r="D2954">
        <v>2025</v>
      </c>
      <c r="E2954" t="s">
        <v>231</v>
      </c>
      <c r="F2954">
        <v>0</v>
      </c>
      <c r="G2954">
        <v>38.9</v>
      </c>
    </row>
    <row r="2955" spans="1:7" x14ac:dyDescent="0.25">
      <c r="A2955" t="s">
        <v>286</v>
      </c>
      <c r="B2955" t="str">
        <f>_xlfn.XLOOKUP(A2955,[1]Municipios!$B:$B,[1]Municipios!$C:$C)</f>
        <v>Norte</v>
      </c>
      <c r="C2955" t="str">
        <f>_xlfn.XLOOKUP(A2955,[1]Municipios!$B:$B,[1]Municipios!$D:$D)</f>
        <v>Norte Do Paraná</v>
      </c>
      <c r="D2955">
        <v>2025</v>
      </c>
      <c r="E2955" t="s">
        <v>232</v>
      </c>
      <c r="F2955">
        <v>0.46159999999999995</v>
      </c>
      <c r="G2955">
        <v>38.9</v>
      </c>
    </row>
    <row r="2956" spans="1:7" x14ac:dyDescent="0.25">
      <c r="A2956" t="s">
        <v>286</v>
      </c>
      <c r="B2956" t="str">
        <f>_xlfn.XLOOKUP(A2956,[1]Municipios!$B:$B,[1]Municipios!$C:$C)</f>
        <v>Norte</v>
      </c>
      <c r="C2956" t="str">
        <f>_xlfn.XLOOKUP(A2956,[1]Municipios!$B:$B,[1]Municipios!$D:$D)</f>
        <v>Norte Do Paraná</v>
      </c>
      <c r="D2956">
        <v>2025</v>
      </c>
      <c r="E2956" t="s">
        <v>233</v>
      </c>
      <c r="F2956">
        <v>0.5</v>
      </c>
      <c r="G2956">
        <v>38.9</v>
      </c>
    </row>
    <row r="2957" spans="1:7" x14ac:dyDescent="0.25">
      <c r="A2957" t="s">
        <v>286</v>
      </c>
      <c r="B2957" t="str">
        <f>_xlfn.XLOOKUP(A2957,[1]Municipios!$B:$B,[1]Municipios!$C:$C)</f>
        <v>Norte</v>
      </c>
      <c r="C2957" t="str">
        <f>_xlfn.XLOOKUP(A2957,[1]Municipios!$B:$B,[1]Municipios!$D:$D)</f>
        <v>Norte Do Paraná</v>
      </c>
      <c r="D2957">
        <v>2025</v>
      </c>
      <c r="E2957" t="s">
        <v>215</v>
      </c>
      <c r="F2957">
        <v>0</v>
      </c>
      <c r="G2957">
        <v>38.9</v>
      </c>
    </row>
    <row r="2958" spans="1:7" x14ac:dyDescent="0.25">
      <c r="A2958" t="s">
        <v>286</v>
      </c>
      <c r="B2958" t="str">
        <f>_xlfn.XLOOKUP(A2958,[1]Municipios!$B:$B,[1]Municipios!$C:$C)</f>
        <v>Norte</v>
      </c>
      <c r="C2958" t="str">
        <f>_xlfn.XLOOKUP(A2958,[1]Municipios!$B:$B,[1]Municipios!$D:$D)</f>
        <v>Norte Do Paraná</v>
      </c>
      <c r="D2958">
        <v>2025</v>
      </c>
      <c r="E2958" t="s">
        <v>234</v>
      </c>
      <c r="F2958">
        <v>0.55549999999999999</v>
      </c>
      <c r="G2958">
        <v>38.9</v>
      </c>
    </row>
    <row r="2959" spans="1:7" x14ac:dyDescent="0.25">
      <c r="A2959" t="s">
        <v>286</v>
      </c>
      <c r="B2959" t="str">
        <f>_xlfn.XLOOKUP(A2959,[1]Municipios!$B:$B,[1]Municipios!$C:$C)</f>
        <v>Norte</v>
      </c>
      <c r="C2959" t="str">
        <f>_xlfn.XLOOKUP(A2959,[1]Municipios!$B:$B,[1]Municipios!$D:$D)</f>
        <v>Norte Do Paraná</v>
      </c>
      <c r="D2959">
        <v>2025</v>
      </c>
      <c r="E2959" t="s">
        <v>235</v>
      </c>
      <c r="F2959">
        <v>0.57140000000000002</v>
      </c>
      <c r="G2959">
        <v>38.9</v>
      </c>
    </row>
    <row r="2960" spans="1:7" x14ac:dyDescent="0.25">
      <c r="A2960" t="s">
        <v>286</v>
      </c>
      <c r="B2960" t="str">
        <f>_xlfn.XLOOKUP(A2960,[1]Municipios!$B:$B,[1]Municipios!$C:$C)</f>
        <v>Norte</v>
      </c>
      <c r="C2960" t="str">
        <f>_xlfn.XLOOKUP(A2960,[1]Municipios!$B:$B,[1]Municipios!$D:$D)</f>
        <v>Norte Do Paraná</v>
      </c>
      <c r="D2960">
        <v>2025</v>
      </c>
      <c r="E2960" t="s">
        <v>236</v>
      </c>
      <c r="F2960">
        <v>0</v>
      </c>
      <c r="G2960">
        <v>38.9</v>
      </c>
    </row>
    <row r="2961" spans="1:7" x14ac:dyDescent="0.25">
      <c r="A2961" t="s">
        <v>286</v>
      </c>
      <c r="B2961" t="str">
        <f>_xlfn.XLOOKUP(A2961,[1]Municipios!$B:$B,[1]Municipios!$C:$C)</f>
        <v>Norte</v>
      </c>
      <c r="C2961" t="str">
        <f>_xlfn.XLOOKUP(A2961,[1]Municipios!$B:$B,[1]Municipios!$D:$D)</f>
        <v>Norte Do Paraná</v>
      </c>
      <c r="D2961">
        <v>2025</v>
      </c>
      <c r="E2961" t="s">
        <v>237</v>
      </c>
      <c r="F2961">
        <v>1</v>
      </c>
      <c r="G2961">
        <v>38.9</v>
      </c>
    </row>
    <row r="2962" spans="1:7" x14ac:dyDescent="0.25">
      <c r="A2962" t="s">
        <v>627</v>
      </c>
      <c r="B2962" t="str">
        <f>_xlfn.XLOOKUP(A2962,[1]Municipios!$B:$B,[1]Municipios!$C:$C)</f>
        <v>Noroeste</v>
      </c>
      <c r="C2962" t="str">
        <f>_xlfn.XLOOKUP(A2962,[1]Municipios!$B:$B,[1]Municipios!$D:$D)</f>
        <v>Costa Noroeste</v>
      </c>
      <c r="D2962">
        <v>2025</v>
      </c>
      <c r="E2962" t="s">
        <v>231</v>
      </c>
      <c r="F2962">
        <v>0</v>
      </c>
      <c r="G2962">
        <v>17.440000000000001</v>
      </c>
    </row>
    <row r="2963" spans="1:7" x14ac:dyDescent="0.25">
      <c r="A2963" t="s">
        <v>627</v>
      </c>
      <c r="B2963" t="str">
        <f>_xlfn.XLOOKUP(A2963,[1]Municipios!$B:$B,[1]Municipios!$C:$C)</f>
        <v>Noroeste</v>
      </c>
      <c r="C2963" t="str">
        <f>_xlfn.XLOOKUP(A2963,[1]Municipios!$B:$B,[1]Municipios!$D:$D)</f>
        <v>Costa Noroeste</v>
      </c>
      <c r="D2963">
        <v>2025</v>
      </c>
      <c r="E2963" t="s">
        <v>232</v>
      </c>
      <c r="F2963">
        <v>0.23069999999999999</v>
      </c>
      <c r="G2963">
        <v>17.440000000000001</v>
      </c>
    </row>
    <row r="2964" spans="1:7" x14ac:dyDescent="0.25">
      <c r="A2964" t="s">
        <v>627</v>
      </c>
      <c r="B2964" t="str">
        <f>_xlfn.XLOOKUP(A2964,[1]Municipios!$B:$B,[1]Municipios!$C:$C)</f>
        <v>Noroeste</v>
      </c>
      <c r="C2964" t="str">
        <f>_xlfn.XLOOKUP(A2964,[1]Municipios!$B:$B,[1]Municipios!$D:$D)</f>
        <v>Costa Noroeste</v>
      </c>
      <c r="D2964">
        <v>2025</v>
      </c>
      <c r="E2964" t="s">
        <v>233</v>
      </c>
      <c r="F2964">
        <v>0.625</v>
      </c>
      <c r="G2964">
        <v>17.440000000000001</v>
      </c>
    </row>
    <row r="2965" spans="1:7" x14ac:dyDescent="0.25">
      <c r="A2965" t="s">
        <v>627</v>
      </c>
      <c r="B2965" t="str">
        <f>_xlfn.XLOOKUP(A2965,[1]Municipios!$B:$B,[1]Municipios!$C:$C)</f>
        <v>Noroeste</v>
      </c>
      <c r="C2965" t="str">
        <f>_xlfn.XLOOKUP(A2965,[1]Municipios!$B:$B,[1]Municipios!$D:$D)</f>
        <v>Costa Noroeste</v>
      </c>
      <c r="D2965">
        <v>2025</v>
      </c>
      <c r="E2965" t="s">
        <v>215</v>
      </c>
      <c r="F2965">
        <v>0</v>
      </c>
      <c r="G2965">
        <v>17.440000000000001</v>
      </c>
    </row>
    <row r="2966" spans="1:7" x14ac:dyDescent="0.25">
      <c r="A2966" t="s">
        <v>627</v>
      </c>
      <c r="B2966" t="str">
        <f>_xlfn.XLOOKUP(A2966,[1]Municipios!$B:$B,[1]Municipios!$C:$C)</f>
        <v>Noroeste</v>
      </c>
      <c r="C2966" t="str">
        <f>_xlfn.XLOOKUP(A2966,[1]Municipios!$B:$B,[1]Municipios!$D:$D)</f>
        <v>Costa Noroeste</v>
      </c>
      <c r="D2966">
        <v>2025</v>
      </c>
      <c r="E2966" t="s">
        <v>234</v>
      </c>
      <c r="F2966">
        <v>0.44440000000000002</v>
      </c>
      <c r="G2966">
        <v>17.440000000000001</v>
      </c>
    </row>
    <row r="2967" spans="1:7" x14ac:dyDescent="0.25">
      <c r="A2967" t="s">
        <v>627</v>
      </c>
      <c r="B2967" t="str">
        <f>_xlfn.XLOOKUP(A2967,[1]Municipios!$B:$B,[1]Municipios!$C:$C)</f>
        <v>Noroeste</v>
      </c>
      <c r="C2967" t="str">
        <f>_xlfn.XLOOKUP(A2967,[1]Municipios!$B:$B,[1]Municipios!$D:$D)</f>
        <v>Costa Noroeste</v>
      </c>
      <c r="D2967">
        <v>2025</v>
      </c>
      <c r="E2967" t="s">
        <v>235</v>
      </c>
      <c r="F2967">
        <v>0.1429</v>
      </c>
      <c r="G2967">
        <v>17.440000000000001</v>
      </c>
    </row>
    <row r="2968" spans="1:7" x14ac:dyDescent="0.25">
      <c r="A2968" t="s">
        <v>627</v>
      </c>
      <c r="B2968" t="str">
        <f>_xlfn.XLOOKUP(A2968,[1]Municipios!$B:$B,[1]Municipios!$C:$C)</f>
        <v>Noroeste</v>
      </c>
      <c r="C2968" t="str">
        <f>_xlfn.XLOOKUP(A2968,[1]Municipios!$B:$B,[1]Municipios!$D:$D)</f>
        <v>Costa Noroeste</v>
      </c>
      <c r="D2968">
        <v>2025</v>
      </c>
      <c r="E2968" t="s">
        <v>236</v>
      </c>
      <c r="F2968">
        <v>7.690000000000001E-2</v>
      </c>
      <c r="G2968">
        <v>17.440000000000001</v>
      </c>
    </row>
    <row r="2969" spans="1:7" x14ac:dyDescent="0.25">
      <c r="A2969" t="s">
        <v>627</v>
      </c>
      <c r="B2969" t="str">
        <f>_xlfn.XLOOKUP(A2969,[1]Municipios!$B:$B,[1]Municipios!$C:$C)</f>
        <v>Noroeste</v>
      </c>
      <c r="C2969" t="str">
        <f>_xlfn.XLOOKUP(A2969,[1]Municipios!$B:$B,[1]Municipios!$D:$D)</f>
        <v>Costa Noroeste</v>
      </c>
      <c r="D2969">
        <v>2025</v>
      </c>
      <c r="E2969" t="s">
        <v>237</v>
      </c>
      <c r="F2969">
        <v>0</v>
      </c>
      <c r="G2969">
        <v>17.440000000000001</v>
      </c>
    </row>
    <row r="2970" spans="1:7" x14ac:dyDescent="0.25">
      <c r="A2970" t="s">
        <v>628</v>
      </c>
      <c r="B2970" t="str">
        <f>_xlfn.XLOOKUP(A2970,[1]Municipios!$B:$B,[1]Municipios!$C:$C)</f>
        <v>Noroeste</v>
      </c>
      <c r="C2970" t="str">
        <f>_xlfn.XLOOKUP(A2970,[1]Municipios!$B:$B,[1]Municipios!$D:$D)</f>
        <v>Médio Noroeste</v>
      </c>
      <c r="D2970">
        <v>2025</v>
      </c>
      <c r="E2970" t="s">
        <v>231</v>
      </c>
      <c r="F2970">
        <v>0</v>
      </c>
      <c r="G2970">
        <v>33.299999999999997</v>
      </c>
    </row>
    <row r="2971" spans="1:7" x14ac:dyDescent="0.25">
      <c r="A2971" t="s">
        <v>628</v>
      </c>
      <c r="B2971" t="str">
        <f>_xlfn.XLOOKUP(A2971,[1]Municipios!$B:$B,[1]Municipios!$C:$C)</f>
        <v>Noroeste</v>
      </c>
      <c r="C2971" t="str">
        <f>_xlfn.XLOOKUP(A2971,[1]Municipios!$B:$B,[1]Municipios!$D:$D)</f>
        <v>Médio Noroeste</v>
      </c>
      <c r="D2971">
        <v>2025</v>
      </c>
      <c r="E2971" t="s">
        <v>232</v>
      </c>
      <c r="F2971">
        <v>0.3846</v>
      </c>
      <c r="G2971">
        <v>33.299999999999997</v>
      </c>
    </row>
    <row r="2972" spans="1:7" x14ac:dyDescent="0.25">
      <c r="A2972" t="s">
        <v>628</v>
      </c>
      <c r="B2972" t="str">
        <f>_xlfn.XLOOKUP(A2972,[1]Municipios!$B:$B,[1]Municipios!$C:$C)</f>
        <v>Noroeste</v>
      </c>
      <c r="C2972" t="str">
        <f>_xlfn.XLOOKUP(A2972,[1]Municipios!$B:$B,[1]Municipios!$D:$D)</f>
        <v>Médio Noroeste</v>
      </c>
      <c r="D2972">
        <v>2025</v>
      </c>
      <c r="E2972" t="s">
        <v>233</v>
      </c>
      <c r="F2972">
        <v>0.5</v>
      </c>
      <c r="G2972">
        <v>33.299999999999997</v>
      </c>
    </row>
    <row r="2973" spans="1:7" x14ac:dyDescent="0.25">
      <c r="A2973" t="s">
        <v>628</v>
      </c>
      <c r="B2973" t="str">
        <f>_xlfn.XLOOKUP(A2973,[1]Municipios!$B:$B,[1]Municipios!$C:$C)</f>
        <v>Noroeste</v>
      </c>
      <c r="C2973" t="str">
        <f>_xlfn.XLOOKUP(A2973,[1]Municipios!$B:$B,[1]Municipios!$D:$D)</f>
        <v>Médio Noroeste</v>
      </c>
      <c r="D2973">
        <v>2025</v>
      </c>
      <c r="E2973" t="s">
        <v>215</v>
      </c>
      <c r="F2973">
        <v>0</v>
      </c>
      <c r="G2973">
        <v>33.299999999999997</v>
      </c>
    </row>
    <row r="2974" spans="1:7" x14ac:dyDescent="0.25">
      <c r="A2974" t="s">
        <v>628</v>
      </c>
      <c r="B2974" t="str">
        <f>_xlfn.XLOOKUP(A2974,[1]Municipios!$B:$B,[1]Municipios!$C:$C)</f>
        <v>Noroeste</v>
      </c>
      <c r="C2974" t="str">
        <f>_xlfn.XLOOKUP(A2974,[1]Municipios!$B:$B,[1]Municipios!$D:$D)</f>
        <v>Médio Noroeste</v>
      </c>
      <c r="D2974">
        <v>2025</v>
      </c>
      <c r="E2974" t="s">
        <v>234</v>
      </c>
      <c r="F2974">
        <v>0.33329999999999999</v>
      </c>
      <c r="G2974">
        <v>33.299999999999997</v>
      </c>
    </row>
    <row r="2975" spans="1:7" x14ac:dyDescent="0.25">
      <c r="A2975" t="s">
        <v>628</v>
      </c>
      <c r="B2975" t="str">
        <f>_xlfn.XLOOKUP(A2975,[1]Municipios!$B:$B,[1]Municipios!$C:$C)</f>
        <v>Noroeste</v>
      </c>
      <c r="C2975" t="str">
        <f>_xlfn.XLOOKUP(A2975,[1]Municipios!$B:$B,[1]Municipios!$D:$D)</f>
        <v>Médio Noroeste</v>
      </c>
      <c r="D2975">
        <v>2025</v>
      </c>
      <c r="E2975" t="s">
        <v>235</v>
      </c>
      <c r="F2975">
        <v>0.71429999999999993</v>
      </c>
      <c r="G2975">
        <v>33.299999999999997</v>
      </c>
    </row>
    <row r="2976" spans="1:7" x14ac:dyDescent="0.25">
      <c r="A2976" t="s">
        <v>628</v>
      </c>
      <c r="B2976" t="str">
        <f>_xlfn.XLOOKUP(A2976,[1]Municipios!$B:$B,[1]Municipios!$C:$C)</f>
        <v>Noroeste</v>
      </c>
      <c r="C2976" t="str">
        <f>_xlfn.XLOOKUP(A2976,[1]Municipios!$B:$B,[1]Municipios!$D:$D)</f>
        <v>Médio Noroeste</v>
      </c>
      <c r="D2976">
        <v>2025</v>
      </c>
      <c r="E2976" t="s">
        <v>236</v>
      </c>
      <c r="F2976">
        <v>0.23080000000000001</v>
      </c>
      <c r="G2976">
        <v>33.299999999999997</v>
      </c>
    </row>
    <row r="2977" spans="1:7" x14ac:dyDescent="0.25">
      <c r="A2977" t="s">
        <v>628</v>
      </c>
      <c r="B2977" t="str">
        <f>_xlfn.XLOOKUP(A2977,[1]Municipios!$B:$B,[1]Municipios!$C:$C)</f>
        <v>Noroeste</v>
      </c>
      <c r="C2977" t="str">
        <f>_xlfn.XLOOKUP(A2977,[1]Municipios!$B:$B,[1]Municipios!$D:$D)</f>
        <v>Médio Noroeste</v>
      </c>
      <c r="D2977">
        <v>2025</v>
      </c>
      <c r="E2977" t="s">
        <v>237</v>
      </c>
      <c r="F2977">
        <v>0.5</v>
      </c>
      <c r="G2977">
        <v>33.299999999999997</v>
      </c>
    </row>
    <row r="2978" spans="1:7" x14ac:dyDescent="0.25">
      <c r="A2978" t="s">
        <v>629</v>
      </c>
      <c r="B2978" t="str">
        <f>_xlfn.XLOOKUP(A2978,[1]Municipios!$B:$B,[1]Municipios!$C:$C)</f>
        <v>Noroeste</v>
      </c>
      <c r="C2978" t="str">
        <f>_xlfn.XLOOKUP(A2978,[1]Municipios!$B:$B,[1]Municipios!$D:$D)</f>
        <v>Arenito-Caiuá</v>
      </c>
      <c r="D2978">
        <v>2025</v>
      </c>
      <c r="E2978" t="s">
        <v>231</v>
      </c>
      <c r="F2978">
        <v>0.44439999999999996</v>
      </c>
      <c r="G2978">
        <v>56.77</v>
      </c>
    </row>
    <row r="2979" spans="1:7" x14ac:dyDescent="0.25">
      <c r="A2979" t="s">
        <v>629</v>
      </c>
      <c r="B2979" t="str">
        <f>_xlfn.XLOOKUP(A2979,[1]Municipios!$B:$B,[1]Municipios!$C:$C)</f>
        <v>Noroeste</v>
      </c>
      <c r="C2979" t="str">
        <f>_xlfn.XLOOKUP(A2979,[1]Municipios!$B:$B,[1]Municipios!$D:$D)</f>
        <v>Arenito-Caiuá</v>
      </c>
      <c r="D2979">
        <v>2025</v>
      </c>
      <c r="E2979" t="s">
        <v>232</v>
      </c>
      <c r="F2979">
        <v>0.61539999999999995</v>
      </c>
      <c r="G2979">
        <v>56.77</v>
      </c>
    </row>
    <row r="2980" spans="1:7" x14ac:dyDescent="0.25">
      <c r="A2980" t="s">
        <v>629</v>
      </c>
      <c r="B2980" t="str">
        <f>_xlfn.XLOOKUP(A2980,[1]Municipios!$B:$B,[1]Municipios!$C:$C)</f>
        <v>Noroeste</v>
      </c>
      <c r="C2980" t="str">
        <f>_xlfn.XLOOKUP(A2980,[1]Municipios!$B:$B,[1]Municipios!$D:$D)</f>
        <v>Arenito-Caiuá</v>
      </c>
      <c r="D2980">
        <v>2025</v>
      </c>
      <c r="E2980" t="s">
        <v>233</v>
      </c>
      <c r="F2980">
        <v>0.75</v>
      </c>
      <c r="G2980">
        <v>56.77</v>
      </c>
    </row>
    <row r="2981" spans="1:7" x14ac:dyDescent="0.25">
      <c r="A2981" t="s">
        <v>629</v>
      </c>
      <c r="B2981" t="str">
        <f>_xlfn.XLOOKUP(A2981,[1]Municipios!$B:$B,[1]Municipios!$C:$C)</f>
        <v>Noroeste</v>
      </c>
      <c r="C2981" t="str">
        <f>_xlfn.XLOOKUP(A2981,[1]Municipios!$B:$B,[1]Municipios!$D:$D)</f>
        <v>Arenito-Caiuá</v>
      </c>
      <c r="D2981">
        <v>2025</v>
      </c>
      <c r="E2981" t="s">
        <v>215</v>
      </c>
      <c r="F2981">
        <v>0.70000000000000007</v>
      </c>
      <c r="G2981">
        <v>56.77</v>
      </c>
    </row>
    <row r="2982" spans="1:7" x14ac:dyDescent="0.25">
      <c r="A2982" t="s">
        <v>629</v>
      </c>
      <c r="B2982" t="str">
        <f>_xlfn.XLOOKUP(A2982,[1]Municipios!$B:$B,[1]Municipios!$C:$C)</f>
        <v>Noroeste</v>
      </c>
      <c r="C2982" t="str">
        <f>_xlfn.XLOOKUP(A2982,[1]Municipios!$B:$B,[1]Municipios!$D:$D)</f>
        <v>Arenito-Caiuá</v>
      </c>
      <c r="D2982">
        <v>2025</v>
      </c>
      <c r="E2982" t="s">
        <v>234</v>
      </c>
      <c r="F2982">
        <v>0.77780000000000005</v>
      </c>
      <c r="G2982">
        <v>56.77</v>
      </c>
    </row>
    <row r="2983" spans="1:7" x14ac:dyDescent="0.25">
      <c r="A2983" t="s">
        <v>629</v>
      </c>
      <c r="B2983" t="str">
        <f>_xlfn.XLOOKUP(A2983,[1]Municipios!$B:$B,[1]Municipios!$C:$C)</f>
        <v>Noroeste</v>
      </c>
      <c r="C2983" t="str">
        <f>_xlfn.XLOOKUP(A2983,[1]Municipios!$B:$B,[1]Municipios!$D:$D)</f>
        <v>Arenito-Caiuá</v>
      </c>
      <c r="D2983">
        <v>2025</v>
      </c>
      <c r="E2983" t="s">
        <v>235</v>
      </c>
      <c r="F2983">
        <v>0.71429999999999993</v>
      </c>
      <c r="G2983">
        <v>56.77</v>
      </c>
    </row>
    <row r="2984" spans="1:7" x14ac:dyDescent="0.25">
      <c r="A2984" t="s">
        <v>629</v>
      </c>
      <c r="B2984" t="str">
        <f>_xlfn.XLOOKUP(A2984,[1]Municipios!$B:$B,[1]Municipios!$C:$C)</f>
        <v>Noroeste</v>
      </c>
      <c r="C2984" t="str">
        <f>_xlfn.XLOOKUP(A2984,[1]Municipios!$B:$B,[1]Municipios!$D:$D)</f>
        <v>Arenito-Caiuá</v>
      </c>
      <c r="D2984">
        <v>2025</v>
      </c>
      <c r="E2984" t="s">
        <v>236</v>
      </c>
      <c r="F2984">
        <v>0</v>
      </c>
      <c r="G2984">
        <v>56.77</v>
      </c>
    </row>
    <row r="2985" spans="1:7" x14ac:dyDescent="0.25">
      <c r="A2985" t="s">
        <v>629</v>
      </c>
      <c r="B2985" t="str">
        <f>_xlfn.XLOOKUP(A2985,[1]Municipios!$B:$B,[1]Municipios!$C:$C)</f>
        <v>Noroeste</v>
      </c>
      <c r="C2985" t="str">
        <f>_xlfn.XLOOKUP(A2985,[1]Municipios!$B:$B,[1]Municipios!$D:$D)</f>
        <v>Arenito-Caiuá</v>
      </c>
      <c r="D2985">
        <v>2025</v>
      </c>
      <c r="E2985" t="s">
        <v>237</v>
      </c>
      <c r="F2985">
        <v>0.5</v>
      </c>
      <c r="G2985">
        <v>56.77</v>
      </c>
    </row>
    <row r="2986" spans="1:7" x14ac:dyDescent="0.25">
      <c r="A2986" t="s">
        <v>274</v>
      </c>
      <c r="B2986" t="str">
        <f>_xlfn.XLOOKUP(A2986,[1]Municipios!$B:$B,[1]Municipios!$C:$C)</f>
        <v>Centro</v>
      </c>
      <c r="C2986" t="str">
        <f>_xlfn.XLOOKUP(A2986,[1]Municipios!$B:$B,[1]Municipios!$D:$D)</f>
        <v>Vale Dos Pinheirais</v>
      </c>
      <c r="D2986">
        <v>2025</v>
      </c>
      <c r="E2986" t="s">
        <v>231</v>
      </c>
      <c r="F2986">
        <v>0.22219999999999998</v>
      </c>
      <c r="G2986">
        <v>39.409999999999997</v>
      </c>
    </row>
    <row r="2987" spans="1:7" x14ac:dyDescent="0.25">
      <c r="A2987" t="s">
        <v>274</v>
      </c>
      <c r="B2987" t="str">
        <f>_xlfn.XLOOKUP(A2987,[1]Municipios!$B:$B,[1]Municipios!$C:$C)</f>
        <v>Centro</v>
      </c>
      <c r="C2987" t="str">
        <f>_xlfn.XLOOKUP(A2987,[1]Municipios!$B:$B,[1]Municipios!$D:$D)</f>
        <v>Vale Dos Pinheirais</v>
      </c>
      <c r="D2987">
        <v>2025</v>
      </c>
      <c r="E2987" t="s">
        <v>232</v>
      </c>
      <c r="F2987">
        <v>0.46140000000000009</v>
      </c>
      <c r="G2987">
        <v>39.409999999999997</v>
      </c>
    </row>
    <row r="2988" spans="1:7" x14ac:dyDescent="0.25">
      <c r="A2988" t="s">
        <v>274</v>
      </c>
      <c r="B2988" t="str">
        <f>_xlfn.XLOOKUP(A2988,[1]Municipios!$B:$B,[1]Municipios!$C:$C)</f>
        <v>Centro</v>
      </c>
      <c r="C2988" t="str">
        <f>_xlfn.XLOOKUP(A2988,[1]Municipios!$B:$B,[1]Municipios!$D:$D)</f>
        <v>Vale Dos Pinheirais</v>
      </c>
      <c r="D2988">
        <v>2025</v>
      </c>
      <c r="E2988" t="s">
        <v>233</v>
      </c>
      <c r="F2988">
        <v>0.5</v>
      </c>
      <c r="G2988">
        <v>39.409999999999997</v>
      </c>
    </row>
    <row r="2989" spans="1:7" x14ac:dyDescent="0.25">
      <c r="A2989" t="s">
        <v>274</v>
      </c>
      <c r="B2989" t="str">
        <f>_xlfn.XLOOKUP(A2989,[1]Municipios!$B:$B,[1]Municipios!$C:$C)</f>
        <v>Centro</v>
      </c>
      <c r="C2989" t="str">
        <f>_xlfn.XLOOKUP(A2989,[1]Municipios!$B:$B,[1]Municipios!$D:$D)</f>
        <v>Vale Dos Pinheirais</v>
      </c>
      <c r="D2989">
        <v>2025</v>
      </c>
      <c r="E2989" t="s">
        <v>215</v>
      </c>
      <c r="F2989">
        <v>0.3</v>
      </c>
      <c r="G2989">
        <v>39.409999999999997</v>
      </c>
    </row>
    <row r="2990" spans="1:7" x14ac:dyDescent="0.25">
      <c r="A2990" t="s">
        <v>274</v>
      </c>
      <c r="B2990" t="str">
        <f>_xlfn.XLOOKUP(A2990,[1]Municipios!$B:$B,[1]Municipios!$C:$C)</f>
        <v>Centro</v>
      </c>
      <c r="C2990" t="str">
        <f>_xlfn.XLOOKUP(A2990,[1]Municipios!$B:$B,[1]Municipios!$D:$D)</f>
        <v>Vale Dos Pinheirais</v>
      </c>
      <c r="D2990">
        <v>2025</v>
      </c>
      <c r="E2990" t="s">
        <v>234</v>
      </c>
      <c r="F2990">
        <v>0.66659999999999997</v>
      </c>
      <c r="G2990">
        <v>39.409999999999997</v>
      </c>
    </row>
    <row r="2991" spans="1:7" x14ac:dyDescent="0.25">
      <c r="A2991" t="s">
        <v>274</v>
      </c>
      <c r="B2991" t="str">
        <f>_xlfn.XLOOKUP(A2991,[1]Municipios!$B:$B,[1]Municipios!$C:$C)</f>
        <v>Centro</v>
      </c>
      <c r="C2991" t="str">
        <f>_xlfn.XLOOKUP(A2991,[1]Municipios!$B:$B,[1]Municipios!$D:$D)</f>
        <v>Vale Dos Pinheirais</v>
      </c>
      <c r="D2991">
        <v>2025</v>
      </c>
      <c r="E2991" t="s">
        <v>235</v>
      </c>
      <c r="F2991">
        <v>0.42859999999999998</v>
      </c>
      <c r="G2991">
        <v>39.409999999999997</v>
      </c>
    </row>
    <row r="2992" spans="1:7" x14ac:dyDescent="0.25">
      <c r="A2992" t="s">
        <v>274</v>
      </c>
      <c r="B2992" t="str">
        <f>_xlfn.XLOOKUP(A2992,[1]Municipios!$B:$B,[1]Municipios!$C:$C)</f>
        <v>Centro</v>
      </c>
      <c r="C2992" t="str">
        <f>_xlfn.XLOOKUP(A2992,[1]Municipios!$B:$B,[1]Municipios!$D:$D)</f>
        <v>Vale Dos Pinheirais</v>
      </c>
      <c r="D2992">
        <v>2025</v>
      </c>
      <c r="E2992" t="s">
        <v>236</v>
      </c>
      <c r="F2992">
        <v>0</v>
      </c>
      <c r="G2992">
        <v>39.409999999999997</v>
      </c>
    </row>
    <row r="2993" spans="1:7" x14ac:dyDescent="0.25">
      <c r="A2993" t="s">
        <v>274</v>
      </c>
      <c r="B2993" t="str">
        <f>_xlfn.XLOOKUP(A2993,[1]Municipios!$B:$B,[1]Municipios!$C:$C)</f>
        <v>Centro</v>
      </c>
      <c r="C2993" t="str">
        <f>_xlfn.XLOOKUP(A2993,[1]Municipios!$B:$B,[1]Municipios!$D:$D)</f>
        <v>Vale Dos Pinheirais</v>
      </c>
      <c r="D2993">
        <v>2025</v>
      </c>
      <c r="E2993" t="s">
        <v>237</v>
      </c>
      <c r="F2993">
        <v>0.5</v>
      </c>
      <c r="G2993">
        <v>39.409999999999997</v>
      </c>
    </row>
    <row r="2994" spans="1:7" x14ac:dyDescent="0.25">
      <c r="A2994" t="s">
        <v>489</v>
      </c>
      <c r="B2994" t="str">
        <f>_xlfn.XLOOKUP(A2994,[1]Municipios!$B:$B,[1]Municipios!$C:$C)</f>
        <v>Centro</v>
      </c>
      <c r="C2994" t="str">
        <f>_xlfn.XLOOKUP(A2994,[1]Municipios!$B:$B,[1]Municipios!$D:$D)</f>
        <v>Vale Do Tibagi</v>
      </c>
      <c r="D2994">
        <v>2025</v>
      </c>
      <c r="E2994" t="s">
        <v>231</v>
      </c>
      <c r="F2994">
        <v>0.55559999999999998</v>
      </c>
      <c r="G2994">
        <v>86.45</v>
      </c>
    </row>
    <row r="2995" spans="1:7" x14ac:dyDescent="0.25">
      <c r="A2995" t="s">
        <v>489</v>
      </c>
      <c r="B2995" t="str">
        <f>_xlfn.XLOOKUP(A2995,[1]Municipios!$B:$B,[1]Municipios!$C:$C)</f>
        <v>Centro</v>
      </c>
      <c r="C2995" t="str">
        <f>_xlfn.XLOOKUP(A2995,[1]Municipios!$B:$B,[1]Municipios!$D:$D)</f>
        <v>Vale Do Tibagi</v>
      </c>
      <c r="D2995">
        <v>2025</v>
      </c>
      <c r="E2995" t="s">
        <v>232</v>
      </c>
      <c r="F2995">
        <v>1</v>
      </c>
      <c r="G2995">
        <v>86.45</v>
      </c>
    </row>
    <row r="2996" spans="1:7" x14ac:dyDescent="0.25">
      <c r="A2996" t="s">
        <v>489</v>
      </c>
      <c r="B2996" t="str">
        <f>_xlfn.XLOOKUP(A2996,[1]Municipios!$B:$B,[1]Municipios!$C:$C)</f>
        <v>Centro</v>
      </c>
      <c r="C2996" t="str">
        <f>_xlfn.XLOOKUP(A2996,[1]Municipios!$B:$B,[1]Municipios!$D:$D)</f>
        <v>Vale Do Tibagi</v>
      </c>
      <c r="D2996">
        <v>2025</v>
      </c>
      <c r="E2996" t="s">
        <v>233</v>
      </c>
      <c r="F2996">
        <v>1</v>
      </c>
      <c r="G2996">
        <v>86.45</v>
      </c>
    </row>
    <row r="2997" spans="1:7" x14ac:dyDescent="0.25">
      <c r="A2997" t="s">
        <v>489</v>
      </c>
      <c r="B2997" t="str">
        <f>_xlfn.XLOOKUP(A2997,[1]Municipios!$B:$B,[1]Municipios!$C:$C)</f>
        <v>Centro</v>
      </c>
      <c r="C2997" t="str">
        <f>_xlfn.XLOOKUP(A2997,[1]Municipios!$B:$B,[1]Municipios!$D:$D)</f>
        <v>Vale Do Tibagi</v>
      </c>
      <c r="D2997">
        <v>2025</v>
      </c>
      <c r="E2997" t="s">
        <v>215</v>
      </c>
      <c r="F2997">
        <v>0.70000000000000007</v>
      </c>
      <c r="G2997">
        <v>86.45</v>
      </c>
    </row>
    <row r="2998" spans="1:7" x14ac:dyDescent="0.25">
      <c r="A2998" t="s">
        <v>489</v>
      </c>
      <c r="B2998" t="str">
        <f>_xlfn.XLOOKUP(A2998,[1]Municipios!$B:$B,[1]Municipios!$C:$C)</f>
        <v>Centro</v>
      </c>
      <c r="C2998" t="str">
        <f>_xlfn.XLOOKUP(A2998,[1]Municipios!$B:$B,[1]Municipios!$D:$D)</f>
        <v>Vale Do Tibagi</v>
      </c>
      <c r="D2998">
        <v>2025</v>
      </c>
      <c r="E2998" t="s">
        <v>234</v>
      </c>
      <c r="F2998">
        <v>1</v>
      </c>
      <c r="G2998">
        <v>86.45</v>
      </c>
    </row>
    <row r="2999" spans="1:7" x14ac:dyDescent="0.25">
      <c r="A2999" t="s">
        <v>489</v>
      </c>
      <c r="B2999" t="str">
        <f>_xlfn.XLOOKUP(A2999,[1]Municipios!$B:$B,[1]Municipios!$C:$C)</f>
        <v>Centro</v>
      </c>
      <c r="C2999" t="str">
        <f>_xlfn.XLOOKUP(A2999,[1]Municipios!$B:$B,[1]Municipios!$D:$D)</f>
        <v>Vale Do Tibagi</v>
      </c>
      <c r="D2999">
        <v>2025</v>
      </c>
      <c r="E2999" t="s">
        <v>235</v>
      </c>
      <c r="F2999">
        <v>1</v>
      </c>
      <c r="G2999">
        <v>86.45</v>
      </c>
    </row>
    <row r="3000" spans="1:7" x14ac:dyDescent="0.25">
      <c r="A3000" t="s">
        <v>489</v>
      </c>
      <c r="B3000" t="str">
        <f>_xlfn.XLOOKUP(A3000,[1]Municipios!$B:$B,[1]Municipios!$C:$C)</f>
        <v>Centro</v>
      </c>
      <c r="C3000" t="str">
        <f>_xlfn.XLOOKUP(A3000,[1]Municipios!$B:$B,[1]Municipios!$D:$D)</f>
        <v>Vale Do Tibagi</v>
      </c>
      <c r="D3000">
        <v>2025</v>
      </c>
      <c r="E3000" t="s">
        <v>236</v>
      </c>
      <c r="F3000">
        <v>0.61549999999999994</v>
      </c>
      <c r="G3000">
        <v>86.45</v>
      </c>
    </row>
    <row r="3001" spans="1:7" x14ac:dyDescent="0.25">
      <c r="A3001" t="s">
        <v>489</v>
      </c>
      <c r="B3001" t="str">
        <f>_xlfn.XLOOKUP(A3001,[1]Municipios!$B:$B,[1]Municipios!$C:$C)</f>
        <v>Centro</v>
      </c>
      <c r="C3001" t="str">
        <f>_xlfn.XLOOKUP(A3001,[1]Municipios!$B:$B,[1]Municipios!$D:$D)</f>
        <v>Vale Do Tibagi</v>
      </c>
      <c r="D3001">
        <v>2025</v>
      </c>
      <c r="E3001" t="s">
        <v>237</v>
      </c>
      <c r="F3001">
        <v>1</v>
      </c>
      <c r="G3001">
        <v>86.45</v>
      </c>
    </row>
    <row r="3002" spans="1:7" x14ac:dyDescent="0.25">
      <c r="A3002" t="s">
        <v>630</v>
      </c>
      <c r="B3002" t="str">
        <f>_xlfn.XLOOKUP(A3002,[1]Municipios!$B:$B,[1]Municipios!$C:$C)</f>
        <v>Noroeste</v>
      </c>
      <c r="C3002" t="str">
        <f>_xlfn.XLOOKUP(A3002,[1]Municipios!$B:$B,[1]Municipios!$D:$D)</f>
        <v>Médio Noroeste</v>
      </c>
      <c r="D3002">
        <v>2025</v>
      </c>
      <c r="E3002" t="s">
        <v>231</v>
      </c>
      <c r="F3002">
        <v>0.66659999999999997</v>
      </c>
      <c r="G3002">
        <v>73.97</v>
      </c>
    </row>
    <row r="3003" spans="1:7" x14ac:dyDescent="0.25">
      <c r="A3003" t="s">
        <v>630</v>
      </c>
      <c r="B3003" t="str">
        <f>_xlfn.XLOOKUP(A3003,[1]Municipios!$B:$B,[1]Municipios!$C:$C)</f>
        <v>Noroeste</v>
      </c>
      <c r="C3003" t="str">
        <f>_xlfn.XLOOKUP(A3003,[1]Municipios!$B:$B,[1]Municipios!$D:$D)</f>
        <v>Médio Noroeste</v>
      </c>
      <c r="D3003">
        <v>2025</v>
      </c>
      <c r="E3003" t="s">
        <v>232</v>
      </c>
      <c r="F3003">
        <v>1</v>
      </c>
      <c r="G3003">
        <v>73.97</v>
      </c>
    </row>
    <row r="3004" spans="1:7" x14ac:dyDescent="0.25">
      <c r="A3004" t="s">
        <v>630</v>
      </c>
      <c r="B3004" t="str">
        <f>_xlfn.XLOOKUP(A3004,[1]Municipios!$B:$B,[1]Municipios!$C:$C)</f>
        <v>Noroeste</v>
      </c>
      <c r="C3004" t="str">
        <f>_xlfn.XLOOKUP(A3004,[1]Municipios!$B:$B,[1]Municipios!$D:$D)</f>
        <v>Médio Noroeste</v>
      </c>
      <c r="D3004">
        <v>2025</v>
      </c>
      <c r="E3004" t="s">
        <v>233</v>
      </c>
      <c r="F3004">
        <v>0.75</v>
      </c>
      <c r="G3004">
        <v>73.97</v>
      </c>
    </row>
    <row r="3005" spans="1:7" x14ac:dyDescent="0.25">
      <c r="A3005" t="s">
        <v>630</v>
      </c>
      <c r="B3005" t="str">
        <f>_xlfn.XLOOKUP(A3005,[1]Municipios!$B:$B,[1]Municipios!$C:$C)</f>
        <v>Noroeste</v>
      </c>
      <c r="C3005" t="str">
        <f>_xlfn.XLOOKUP(A3005,[1]Municipios!$B:$B,[1]Municipios!$D:$D)</f>
        <v>Médio Noroeste</v>
      </c>
      <c r="D3005">
        <v>2025</v>
      </c>
      <c r="E3005" t="s">
        <v>215</v>
      </c>
      <c r="F3005">
        <v>1</v>
      </c>
      <c r="G3005">
        <v>73.97</v>
      </c>
    </row>
    <row r="3006" spans="1:7" x14ac:dyDescent="0.25">
      <c r="A3006" t="s">
        <v>630</v>
      </c>
      <c r="B3006" t="str">
        <f>_xlfn.XLOOKUP(A3006,[1]Municipios!$B:$B,[1]Municipios!$C:$C)</f>
        <v>Noroeste</v>
      </c>
      <c r="C3006" t="str">
        <f>_xlfn.XLOOKUP(A3006,[1]Municipios!$B:$B,[1]Municipios!$D:$D)</f>
        <v>Médio Noroeste</v>
      </c>
      <c r="D3006">
        <v>2025</v>
      </c>
      <c r="E3006" t="s">
        <v>234</v>
      </c>
      <c r="F3006">
        <v>0.55549999999999999</v>
      </c>
      <c r="G3006">
        <v>73.97</v>
      </c>
    </row>
    <row r="3007" spans="1:7" x14ac:dyDescent="0.25">
      <c r="A3007" t="s">
        <v>630</v>
      </c>
      <c r="B3007" t="str">
        <f>_xlfn.XLOOKUP(A3007,[1]Municipios!$B:$B,[1]Municipios!$C:$C)</f>
        <v>Noroeste</v>
      </c>
      <c r="C3007" t="str">
        <f>_xlfn.XLOOKUP(A3007,[1]Municipios!$B:$B,[1]Municipios!$D:$D)</f>
        <v>Médio Noroeste</v>
      </c>
      <c r="D3007">
        <v>2025</v>
      </c>
      <c r="E3007" t="s">
        <v>235</v>
      </c>
      <c r="F3007">
        <v>0.85720000000000007</v>
      </c>
      <c r="G3007">
        <v>73.97</v>
      </c>
    </row>
    <row r="3008" spans="1:7" x14ac:dyDescent="0.25">
      <c r="A3008" t="s">
        <v>630</v>
      </c>
      <c r="B3008" t="str">
        <f>_xlfn.XLOOKUP(A3008,[1]Municipios!$B:$B,[1]Municipios!$C:$C)</f>
        <v>Noroeste</v>
      </c>
      <c r="C3008" t="str">
        <f>_xlfn.XLOOKUP(A3008,[1]Municipios!$B:$B,[1]Municipios!$D:$D)</f>
        <v>Médio Noroeste</v>
      </c>
      <c r="D3008">
        <v>2025</v>
      </c>
      <c r="E3008" t="s">
        <v>236</v>
      </c>
      <c r="F3008">
        <v>7.690000000000001E-2</v>
      </c>
      <c r="G3008">
        <v>73.97</v>
      </c>
    </row>
    <row r="3009" spans="1:7" x14ac:dyDescent="0.25">
      <c r="A3009" t="s">
        <v>630</v>
      </c>
      <c r="B3009" t="str">
        <f>_xlfn.XLOOKUP(A3009,[1]Municipios!$B:$B,[1]Municipios!$C:$C)</f>
        <v>Noroeste</v>
      </c>
      <c r="C3009" t="str">
        <f>_xlfn.XLOOKUP(A3009,[1]Municipios!$B:$B,[1]Municipios!$D:$D)</f>
        <v>Médio Noroeste</v>
      </c>
      <c r="D3009">
        <v>2025</v>
      </c>
      <c r="E3009" t="s">
        <v>237</v>
      </c>
      <c r="F3009">
        <v>1</v>
      </c>
      <c r="G3009">
        <v>73.97</v>
      </c>
    </row>
    <row r="3010" spans="1:7" x14ac:dyDescent="0.25">
      <c r="A3010" t="s">
        <v>414</v>
      </c>
      <c r="B3010" t="str">
        <f>_xlfn.XLOOKUP(A3010,[1]Municipios!$B:$B,[1]Municipios!$C:$C)</f>
        <v>Noroeste</v>
      </c>
      <c r="C3010" t="str">
        <f>_xlfn.XLOOKUP(A3010,[1]Municipios!$B:$B,[1]Municipios!$D:$D)</f>
        <v>Costa Noroeste</v>
      </c>
      <c r="D3010">
        <v>2025</v>
      </c>
      <c r="E3010" t="s">
        <v>231</v>
      </c>
      <c r="F3010">
        <v>0.66669999999999996</v>
      </c>
      <c r="G3010">
        <v>78.16</v>
      </c>
    </row>
    <row r="3011" spans="1:7" x14ac:dyDescent="0.25">
      <c r="A3011" t="s">
        <v>414</v>
      </c>
      <c r="B3011" t="str">
        <f>_xlfn.XLOOKUP(A3011,[1]Municipios!$B:$B,[1]Municipios!$C:$C)</f>
        <v>Noroeste</v>
      </c>
      <c r="C3011" t="str">
        <f>_xlfn.XLOOKUP(A3011,[1]Municipios!$B:$B,[1]Municipios!$D:$D)</f>
        <v>Costa Noroeste</v>
      </c>
      <c r="D3011">
        <v>2025</v>
      </c>
      <c r="E3011" t="s">
        <v>232</v>
      </c>
      <c r="F3011">
        <v>0.92310000000000003</v>
      </c>
      <c r="G3011">
        <v>78.16</v>
      </c>
    </row>
    <row r="3012" spans="1:7" x14ac:dyDescent="0.25">
      <c r="A3012" t="s">
        <v>414</v>
      </c>
      <c r="B3012" t="str">
        <f>_xlfn.XLOOKUP(A3012,[1]Municipios!$B:$B,[1]Municipios!$C:$C)</f>
        <v>Noroeste</v>
      </c>
      <c r="C3012" t="str">
        <f>_xlfn.XLOOKUP(A3012,[1]Municipios!$B:$B,[1]Municipios!$D:$D)</f>
        <v>Costa Noroeste</v>
      </c>
      <c r="D3012">
        <v>2025</v>
      </c>
      <c r="E3012" t="s">
        <v>233</v>
      </c>
      <c r="F3012">
        <v>0.75</v>
      </c>
      <c r="G3012">
        <v>78.16</v>
      </c>
    </row>
    <row r="3013" spans="1:7" x14ac:dyDescent="0.25">
      <c r="A3013" t="s">
        <v>414</v>
      </c>
      <c r="B3013" t="str">
        <f>_xlfn.XLOOKUP(A3013,[1]Municipios!$B:$B,[1]Municipios!$C:$C)</f>
        <v>Noroeste</v>
      </c>
      <c r="C3013" t="str">
        <f>_xlfn.XLOOKUP(A3013,[1]Municipios!$B:$B,[1]Municipios!$D:$D)</f>
        <v>Costa Noroeste</v>
      </c>
      <c r="D3013">
        <v>2025</v>
      </c>
      <c r="E3013" t="s">
        <v>215</v>
      </c>
      <c r="F3013">
        <v>1</v>
      </c>
      <c r="G3013">
        <v>78.16</v>
      </c>
    </row>
    <row r="3014" spans="1:7" x14ac:dyDescent="0.25">
      <c r="A3014" t="s">
        <v>414</v>
      </c>
      <c r="B3014" t="str">
        <f>_xlfn.XLOOKUP(A3014,[1]Municipios!$B:$B,[1]Municipios!$C:$C)</f>
        <v>Noroeste</v>
      </c>
      <c r="C3014" t="str">
        <f>_xlfn.XLOOKUP(A3014,[1]Municipios!$B:$B,[1]Municipios!$D:$D)</f>
        <v>Costa Noroeste</v>
      </c>
      <c r="D3014">
        <v>2025</v>
      </c>
      <c r="E3014" t="s">
        <v>234</v>
      </c>
      <c r="F3014">
        <v>1</v>
      </c>
      <c r="G3014">
        <v>78.16</v>
      </c>
    </row>
    <row r="3015" spans="1:7" x14ac:dyDescent="0.25">
      <c r="A3015" t="s">
        <v>414</v>
      </c>
      <c r="B3015" t="str">
        <f>_xlfn.XLOOKUP(A3015,[1]Municipios!$B:$B,[1]Municipios!$C:$C)</f>
        <v>Noroeste</v>
      </c>
      <c r="C3015" t="str">
        <f>_xlfn.XLOOKUP(A3015,[1]Municipios!$B:$B,[1]Municipios!$D:$D)</f>
        <v>Costa Noroeste</v>
      </c>
      <c r="D3015">
        <v>2025</v>
      </c>
      <c r="E3015" t="s">
        <v>235</v>
      </c>
      <c r="F3015">
        <v>0.71439999999999992</v>
      </c>
      <c r="G3015">
        <v>78.16</v>
      </c>
    </row>
    <row r="3016" spans="1:7" x14ac:dyDescent="0.25">
      <c r="A3016" t="s">
        <v>414</v>
      </c>
      <c r="B3016" t="str">
        <f>_xlfn.XLOOKUP(A3016,[1]Municipios!$B:$B,[1]Municipios!$C:$C)</f>
        <v>Noroeste</v>
      </c>
      <c r="C3016" t="str">
        <f>_xlfn.XLOOKUP(A3016,[1]Municipios!$B:$B,[1]Municipios!$D:$D)</f>
        <v>Costa Noroeste</v>
      </c>
      <c r="D3016">
        <v>2025</v>
      </c>
      <c r="E3016" t="s">
        <v>236</v>
      </c>
      <c r="F3016">
        <v>7.6999999999999999E-2</v>
      </c>
      <c r="G3016">
        <v>78.16</v>
      </c>
    </row>
    <row r="3017" spans="1:7" x14ac:dyDescent="0.25">
      <c r="A3017" t="s">
        <v>414</v>
      </c>
      <c r="B3017" t="str">
        <f>_xlfn.XLOOKUP(A3017,[1]Municipios!$B:$B,[1]Municipios!$C:$C)</f>
        <v>Noroeste</v>
      </c>
      <c r="C3017" t="str">
        <f>_xlfn.XLOOKUP(A3017,[1]Municipios!$B:$B,[1]Municipios!$D:$D)</f>
        <v>Costa Noroeste</v>
      </c>
      <c r="D3017">
        <v>2025</v>
      </c>
      <c r="E3017" t="s">
        <v>237</v>
      </c>
      <c r="F3017">
        <v>1</v>
      </c>
      <c r="G3017">
        <v>78.16</v>
      </c>
    </row>
    <row r="3018" spans="1:7" x14ac:dyDescent="0.25">
      <c r="A3018" t="s">
        <v>466</v>
      </c>
      <c r="B3018" t="str">
        <f>_xlfn.XLOOKUP(A3018,[1]Municipios!$B:$B,[1]Municipios!$C:$C)</f>
        <v>Oeste</v>
      </c>
      <c r="C3018" t="str">
        <f>_xlfn.XLOOKUP(A3018,[1]Municipios!$B:$B,[1]Municipios!$D:$D)</f>
        <v>Oeste Integrado</v>
      </c>
      <c r="D3018">
        <v>2025</v>
      </c>
      <c r="E3018" t="s">
        <v>231</v>
      </c>
      <c r="F3018">
        <v>0.88890000000000002</v>
      </c>
      <c r="G3018">
        <v>81.540000000000006</v>
      </c>
    </row>
    <row r="3019" spans="1:7" x14ac:dyDescent="0.25">
      <c r="A3019" t="s">
        <v>466</v>
      </c>
      <c r="B3019" t="str">
        <f>_xlfn.XLOOKUP(A3019,[1]Municipios!$B:$B,[1]Municipios!$C:$C)</f>
        <v>Oeste</v>
      </c>
      <c r="C3019" t="str">
        <f>_xlfn.XLOOKUP(A3019,[1]Municipios!$B:$B,[1]Municipios!$D:$D)</f>
        <v>Oeste Integrado</v>
      </c>
      <c r="D3019">
        <v>2025</v>
      </c>
      <c r="E3019" t="s">
        <v>232</v>
      </c>
      <c r="F3019">
        <v>0.92310000000000003</v>
      </c>
      <c r="G3019">
        <v>81.540000000000006</v>
      </c>
    </row>
    <row r="3020" spans="1:7" x14ac:dyDescent="0.25">
      <c r="A3020" t="s">
        <v>466</v>
      </c>
      <c r="B3020" t="str">
        <f>_xlfn.XLOOKUP(A3020,[1]Municipios!$B:$B,[1]Municipios!$C:$C)</f>
        <v>Oeste</v>
      </c>
      <c r="C3020" t="str">
        <f>_xlfn.XLOOKUP(A3020,[1]Municipios!$B:$B,[1]Municipios!$D:$D)</f>
        <v>Oeste Integrado</v>
      </c>
      <c r="D3020">
        <v>2025</v>
      </c>
      <c r="E3020" t="s">
        <v>233</v>
      </c>
      <c r="F3020">
        <v>0.75</v>
      </c>
      <c r="G3020">
        <v>81.540000000000006</v>
      </c>
    </row>
    <row r="3021" spans="1:7" x14ac:dyDescent="0.25">
      <c r="A3021" t="s">
        <v>466</v>
      </c>
      <c r="B3021" t="str">
        <f>_xlfn.XLOOKUP(A3021,[1]Municipios!$B:$B,[1]Municipios!$C:$C)</f>
        <v>Oeste</v>
      </c>
      <c r="C3021" t="str">
        <f>_xlfn.XLOOKUP(A3021,[1]Municipios!$B:$B,[1]Municipios!$D:$D)</f>
        <v>Oeste Integrado</v>
      </c>
      <c r="D3021">
        <v>2025</v>
      </c>
      <c r="E3021" t="s">
        <v>215</v>
      </c>
      <c r="F3021">
        <v>0.65</v>
      </c>
      <c r="G3021">
        <v>81.540000000000006</v>
      </c>
    </row>
    <row r="3022" spans="1:7" x14ac:dyDescent="0.25">
      <c r="A3022" t="s">
        <v>466</v>
      </c>
      <c r="B3022" t="str">
        <f>_xlfn.XLOOKUP(A3022,[1]Municipios!$B:$B,[1]Municipios!$C:$C)</f>
        <v>Oeste</v>
      </c>
      <c r="C3022" t="str">
        <f>_xlfn.XLOOKUP(A3022,[1]Municipios!$B:$B,[1]Municipios!$D:$D)</f>
        <v>Oeste Integrado</v>
      </c>
      <c r="D3022">
        <v>2025</v>
      </c>
      <c r="E3022" t="s">
        <v>234</v>
      </c>
      <c r="F3022">
        <v>1</v>
      </c>
      <c r="G3022">
        <v>81.540000000000006</v>
      </c>
    </row>
    <row r="3023" spans="1:7" x14ac:dyDescent="0.25">
      <c r="A3023" t="s">
        <v>466</v>
      </c>
      <c r="B3023" t="str">
        <f>_xlfn.XLOOKUP(A3023,[1]Municipios!$B:$B,[1]Municipios!$C:$C)</f>
        <v>Oeste</v>
      </c>
      <c r="C3023" t="str">
        <f>_xlfn.XLOOKUP(A3023,[1]Municipios!$B:$B,[1]Municipios!$D:$D)</f>
        <v>Oeste Integrado</v>
      </c>
      <c r="D3023">
        <v>2025</v>
      </c>
      <c r="E3023" t="s">
        <v>235</v>
      </c>
      <c r="F3023">
        <v>0.85710000000000008</v>
      </c>
      <c r="G3023">
        <v>81.540000000000006</v>
      </c>
    </row>
    <row r="3024" spans="1:7" x14ac:dyDescent="0.25">
      <c r="A3024" t="s">
        <v>466</v>
      </c>
      <c r="B3024" t="str">
        <f>_xlfn.XLOOKUP(A3024,[1]Municipios!$B:$B,[1]Municipios!$C:$C)</f>
        <v>Oeste</v>
      </c>
      <c r="C3024" t="str">
        <f>_xlfn.XLOOKUP(A3024,[1]Municipios!$B:$B,[1]Municipios!$D:$D)</f>
        <v>Oeste Integrado</v>
      </c>
      <c r="D3024">
        <v>2025</v>
      </c>
      <c r="E3024" t="s">
        <v>236</v>
      </c>
      <c r="F3024">
        <v>0.30780000000000002</v>
      </c>
      <c r="G3024">
        <v>81.540000000000006</v>
      </c>
    </row>
    <row r="3025" spans="1:7" x14ac:dyDescent="0.25">
      <c r="A3025" t="s">
        <v>466</v>
      </c>
      <c r="B3025" t="str">
        <f>_xlfn.XLOOKUP(A3025,[1]Municipios!$B:$B,[1]Municipios!$C:$C)</f>
        <v>Oeste</v>
      </c>
      <c r="C3025" t="str">
        <f>_xlfn.XLOOKUP(A3025,[1]Municipios!$B:$B,[1]Municipios!$D:$D)</f>
        <v>Oeste Integrado</v>
      </c>
      <c r="D3025">
        <v>2025</v>
      </c>
      <c r="E3025" t="s">
        <v>237</v>
      </c>
      <c r="F3025">
        <v>1</v>
      </c>
      <c r="G3025">
        <v>81.540000000000006</v>
      </c>
    </row>
    <row r="3026" spans="1:7" x14ac:dyDescent="0.25">
      <c r="A3026" t="s">
        <v>490</v>
      </c>
      <c r="B3026" t="str">
        <f>_xlfn.XLOOKUP(A3026,[1]Municipios!$B:$B,[1]Municipios!$C:$C)</f>
        <v>Centro</v>
      </c>
      <c r="C3026" t="str">
        <f>_xlfn.XLOOKUP(A3026,[1]Municipios!$B:$B,[1]Municipios!$D:$D)</f>
        <v>Vale Do Tibagi</v>
      </c>
      <c r="D3026">
        <v>2025</v>
      </c>
      <c r="E3026" t="s">
        <v>231</v>
      </c>
      <c r="F3026">
        <v>0.77779999999999994</v>
      </c>
      <c r="G3026">
        <v>79.2</v>
      </c>
    </row>
    <row r="3027" spans="1:7" x14ac:dyDescent="0.25">
      <c r="A3027" t="s">
        <v>490</v>
      </c>
      <c r="B3027" t="str">
        <f>_xlfn.XLOOKUP(A3027,[1]Municipios!$B:$B,[1]Municipios!$C:$C)</f>
        <v>Centro</v>
      </c>
      <c r="C3027" t="str">
        <f>_xlfn.XLOOKUP(A3027,[1]Municipios!$B:$B,[1]Municipios!$D:$D)</f>
        <v>Vale Do Tibagi</v>
      </c>
      <c r="D3027">
        <v>2025</v>
      </c>
      <c r="E3027" t="s">
        <v>232</v>
      </c>
      <c r="F3027">
        <v>1</v>
      </c>
      <c r="G3027">
        <v>79.2</v>
      </c>
    </row>
    <row r="3028" spans="1:7" x14ac:dyDescent="0.25">
      <c r="A3028" t="s">
        <v>490</v>
      </c>
      <c r="B3028" t="str">
        <f>_xlfn.XLOOKUP(A3028,[1]Municipios!$B:$B,[1]Municipios!$C:$C)</f>
        <v>Centro</v>
      </c>
      <c r="C3028" t="str">
        <f>_xlfn.XLOOKUP(A3028,[1]Municipios!$B:$B,[1]Municipios!$D:$D)</f>
        <v>Vale Do Tibagi</v>
      </c>
      <c r="D3028">
        <v>2025</v>
      </c>
      <c r="E3028" t="s">
        <v>233</v>
      </c>
      <c r="F3028">
        <v>0.625</v>
      </c>
      <c r="G3028">
        <v>79.2</v>
      </c>
    </row>
    <row r="3029" spans="1:7" x14ac:dyDescent="0.25">
      <c r="A3029" t="s">
        <v>490</v>
      </c>
      <c r="B3029" t="str">
        <f>_xlfn.XLOOKUP(A3029,[1]Municipios!$B:$B,[1]Municipios!$C:$C)</f>
        <v>Centro</v>
      </c>
      <c r="C3029" t="str">
        <f>_xlfn.XLOOKUP(A3029,[1]Municipios!$B:$B,[1]Municipios!$D:$D)</f>
        <v>Vale Do Tibagi</v>
      </c>
      <c r="D3029">
        <v>2025</v>
      </c>
      <c r="E3029" t="s">
        <v>215</v>
      </c>
      <c r="F3029">
        <v>0.6</v>
      </c>
      <c r="G3029">
        <v>79.2</v>
      </c>
    </row>
    <row r="3030" spans="1:7" x14ac:dyDescent="0.25">
      <c r="A3030" t="s">
        <v>490</v>
      </c>
      <c r="B3030" t="str">
        <f>_xlfn.XLOOKUP(A3030,[1]Municipios!$B:$B,[1]Municipios!$C:$C)</f>
        <v>Centro</v>
      </c>
      <c r="C3030" t="str">
        <f>_xlfn.XLOOKUP(A3030,[1]Municipios!$B:$B,[1]Municipios!$D:$D)</f>
        <v>Vale Do Tibagi</v>
      </c>
      <c r="D3030">
        <v>2025</v>
      </c>
      <c r="E3030" t="s">
        <v>234</v>
      </c>
      <c r="F3030">
        <v>0.77780000000000005</v>
      </c>
      <c r="G3030">
        <v>79.2</v>
      </c>
    </row>
    <row r="3031" spans="1:7" x14ac:dyDescent="0.25">
      <c r="A3031" t="s">
        <v>490</v>
      </c>
      <c r="B3031" t="str">
        <f>_xlfn.XLOOKUP(A3031,[1]Municipios!$B:$B,[1]Municipios!$C:$C)</f>
        <v>Centro</v>
      </c>
      <c r="C3031" t="str">
        <f>_xlfn.XLOOKUP(A3031,[1]Municipios!$B:$B,[1]Municipios!$D:$D)</f>
        <v>Vale Do Tibagi</v>
      </c>
      <c r="D3031">
        <v>2025</v>
      </c>
      <c r="E3031" t="s">
        <v>235</v>
      </c>
      <c r="F3031">
        <v>0.85720000000000007</v>
      </c>
      <c r="G3031">
        <v>79.2</v>
      </c>
    </row>
    <row r="3032" spans="1:7" x14ac:dyDescent="0.25">
      <c r="A3032" t="s">
        <v>490</v>
      </c>
      <c r="B3032" t="str">
        <f>_xlfn.XLOOKUP(A3032,[1]Municipios!$B:$B,[1]Municipios!$C:$C)</f>
        <v>Centro</v>
      </c>
      <c r="C3032" t="str">
        <f>_xlfn.XLOOKUP(A3032,[1]Municipios!$B:$B,[1]Municipios!$D:$D)</f>
        <v>Vale Do Tibagi</v>
      </c>
      <c r="D3032">
        <v>2025</v>
      </c>
      <c r="E3032" t="s">
        <v>236</v>
      </c>
      <c r="F3032">
        <v>0.53849999999999987</v>
      </c>
      <c r="G3032">
        <v>79.2</v>
      </c>
    </row>
    <row r="3033" spans="1:7" x14ac:dyDescent="0.25">
      <c r="A3033" t="s">
        <v>490</v>
      </c>
      <c r="B3033" t="str">
        <f>_xlfn.XLOOKUP(A3033,[1]Municipios!$B:$B,[1]Municipios!$C:$C)</f>
        <v>Centro</v>
      </c>
      <c r="C3033" t="str">
        <f>_xlfn.XLOOKUP(A3033,[1]Municipios!$B:$B,[1]Municipios!$D:$D)</f>
        <v>Vale Do Tibagi</v>
      </c>
      <c r="D3033">
        <v>2025</v>
      </c>
      <c r="E3033" t="s">
        <v>237</v>
      </c>
      <c r="F3033">
        <v>1</v>
      </c>
      <c r="G3033">
        <v>79.2</v>
      </c>
    </row>
    <row r="3034" spans="1:7" x14ac:dyDescent="0.25">
      <c r="A3034" t="s">
        <v>497</v>
      </c>
      <c r="B3034" t="str">
        <f>_xlfn.XLOOKUP(A3034,[1]Municipios!$B:$B,[1]Municipios!$C:$C)</f>
        <v>Leste</v>
      </c>
      <c r="C3034" t="str">
        <f>_xlfn.XLOOKUP(A3034,[1]Municipios!$B:$B,[1]Municipios!$D:$D)</f>
        <v>Gralha Azul</v>
      </c>
      <c r="D3034">
        <v>2025</v>
      </c>
      <c r="E3034" t="s">
        <v>231</v>
      </c>
      <c r="F3034">
        <v>0.55549999999999988</v>
      </c>
      <c r="G3034">
        <v>53.14</v>
      </c>
    </row>
    <row r="3035" spans="1:7" x14ac:dyDescent="0.25">
      <c r="A3035" t="s">
        <v>497</v>
      </c>
      <c r="B3035" t="str">
        <f>_xlfn.XLOOKUP(A3035,[1]Municipios!$B:$B,[1]Municipios!$C:$C)</f>
        <v>Leste</v>
      </c>
      <c r="C3035" t="str">
        <f>_xlfn.XLOOKUP(A3035,[1]Municipios!$B:$B,[1]Municipios!$D:$D)</f>
        <v>Gralha Azul</v>
      </c>
      <c r="D3035">
        <v>2025</v>
      </c>
      <c r="E3035" t="s">
        <v>232</v>
      </c>
      <c r="F3035">
        <v>0.84619999999999995</v>
      </c>
      <c r="G3035">
        <v>53.14</v>
      </c>
    </row>
    <row r="3036" spans="1:7" x14ac:dyDescent="0.25">
      <c r="A3036" t="s">
        <v>497</v>
      </c>
      <c r="B3036" t="str">
        <f>_xlfn.XLOOKUP(A3036,[1]Municipios!$B:$B,[1]Municipios!$C:$C)</f>
        <v>Leste</v>
      </c>
      <c r="C3036" t="str">
        <f>_xlfn.XLOOKUP(A3036,[1]Municipios!$B:$B,[1]Municipios!$D:$D)</f>
        <v>Gralha Azul</v>
      </c>
      <c r="D3036">
        <v>2025</v>
      </c>
      <c r="E3036" t="s">
        <v>233</v>
      </c>
      <c r="F3036">
        <v>0.875</v>
      </c>
      <c r="G3036">
        <v>53.14</v>
      </c>
    </row>
    <row r="3037" spans="1:7" x14ac:dyDescent="0.25">
      <c r="A3037" t="s">
        <v>497</v>
      </c>
      <c r="B3037" t="str">
        <f>_xlfn.XLOOKUP(A3037,[1]Municipios!$B:$B,[1]Municipios!$C:$C)</f>
        <v>Leste</v>
      </c>
      <c r="C3037" t="str">
        <f>_xlfn.XLOOKUP(A3037,[1]Municipios!$B:$B,[1]Municipios!$D:$D)</f>
        <v>Gralha Azul</v>
      </c>
      <c r="D3037">
        <v>2025</v>
      </c>
      <c r="E3037" t="s">
        <v>215</v>
      </c>
      <c r="F3037">
        <v>0.70000000000000007</v>
      </c>
      <c r="G3037">
        <v>53.14</v>
      </c>
    </row>
    <row r="3038" spans="1:7" x14ac:dyDescent="0.25">
      <c r="A3038" t="s">
        <v>497</v>
      </c>
      <c r="B3038" t="str">
        <f>_xlfn.XLOOKUP(A3038,[1]Municipios!$B:$B,[1]Municipios!$C:$C)</f>
        <v>Leste</v>
      </c>
      <c r="C3038" t="str">
        <f>_xlfn.XLOOKUP(A3038,[1]Municipios!$B:$B,[1]Municipios!$D:$D)</f>
        <v>Gralha Azul</v>
      </c>
      <c r="D3038">
        <v>2025</v>
      </c>
      <c r="E3038" t="s">
        <v>234</v>
      </c>
      <c r="F3038">
        <v>0.55549999999999999</v>
      </c>
      <c r="G3038">
        <v>53.14</v>
      </c>
    </row>
    <row r="3039" spans="1:7" x14ac:dyDescent="0.25">
      <c r="A3039" t="s">
        <v>497</v>
      </c>
      <c r="B3039" t="str">
        <f>_xlfn.XLOOKUP(A3039,[1]Municipios!$B:$B,[1]Municipios!$C:$C)</f>
        <v>Leste</v>
      </c>
      <c r="C3039" t="str">
        <f>_xlfn.XLOOKUP(A3039,[1]Municipios!$B:$B,[1]Municipios!$D:$D)</f>
        <v>Gralha Azul</v>
      </c>
      <c r="D3039">
        <v>2025</v>
      </c>
      <c r="E3039" t="s">
        <v>235</v>
      </c>
      <c r="F3039">
        <v>0.71429999999999993</v>
      </c>
      <c r="G3039">
        <v>53.14</v>
      </c>
    </row>
    <row r="3040" spans="1:7" x14ac:dyDescent="0.25">
      <c r="A3040" t="s">
        <v>497</v>
      </c>
      <c r="B3040" t="str">
        <f>_xlfn.XLOOKUP(A3040,[1]Municipios!$B:$B,[1]Municipios!$C:$C)</f>
        <v>Leste</v>
      </c>
      <c r="C3040" t="str">
        <f>_xlfn.XLOOKUP(A3040,[1]Municipios!$B:$B,[1]Municipios!$D:$D)</f>
        <v>Gralha Azul</v>
      </c>
      <c r="D3040">
        <v>2025</v>
      </c>
      <c r="E3040" t="s">
        <v>236</v>
      </c>
      <c r="F3040">
        <v>0</v>
      </c>
      <c r="G3040">
        <v>53.14</v>
      </c>
    </row>
    <row r="3041" spans="1:7" x14ac:dyDescent="0.25">
      <c r="A3041" t="s">
        <v>497</v>
      </c>
      <c r="B3041" t="str">
        <f>_xlfn.XLOOKUP(A3041,[1]Municipios!$B:$B,[1]Municipios!$C:$C)</f>
        <v>Leste</v>
      </c>
      <c r="C3041" t="str">
        <f>_xlfn.XLOOKUP(A3041,[1]Municipios!$B:$B,[1]Municipios!$D:$D)</f>
        <v>Gralha Azul</v>
      </c>
      <c r="D3041">
        <v>2025</v>
      </c>
      <c r="E3041" t="s">
        <v>237</v>
      </c>
      <c r="F3041">
        <v>0</v>
      </c>
      <c r="G3041">
        <v>53.14</v>
      </c>
    </row>
    <row r="3042" spans="1:7" x14ac:dyDescent="0.25">
      <c r="A3042" t="s">
        <v>467</v>
      </c>
      <c r="B3042" t="str">
        <f>_xlfn.XLOOKUP(A3042,[1]Municipios!$B:$B,[1]Municipios!$C:$C)</f>
        <v>Oeste</v>
      </c>
      <c r="C3042" t="str">
        <f>_xlfn.XLOOKUP(A3042,[1]Municipios!$B:$B,[1]Municipios!$D:$D)</f>
        <v>Oeste Integrado</v>
      </c>
      <c r="D3042">
        <v>2025</v>
      </c>
      <c r="E3042" t="s">
        <v>231</v>
      </c>
      <c r="F3042">
        <v>0.66669999999999996</v>
      </c>
      <c r="G3042">
        <v>88.36</v>
      </c>
    </row>
    <row r="3043" spans="1:7" x14ac:dyDescent="0.25">
      <c r="A3043" t="s">
        <v>467</v>
      </c>
      <c r="B3043" t="str">
        <f>_xlfn.XLOOKUP(A3043,[1]Municipios!$B:$B,[1]Municipios!$C:$C)</f>
        <v>Oeste</v>
      </c>
      <c r="C3043" t="str">
        <f>_xlfn.XLOOKUP(A3043,[1]Municipios!$B:$B,[1]Municipios!$D:$D)</f>
        <v>Oeste Integrado</v>
      </c>
      <c r="D3043">
        <v>2025</v>
      </c>
      <c r="E3043" t="s">
        <v>232</v>
      </c>
      <c r="F3043">
        <v>0.76929999999999998</v>
      </c>
      <c r="G3043">
        <v>88.36</v>
      </c>
    </row>
    <row r="3044" spans="1:7" x14ac:dyDescent="0.25">
      <c r="A3044" t="s">
        <v>467</v>
      </c>
      <c r="B3044" t="str">
        <f>_xlfn.XLOOKUP(A3044,[1]Municipios!$B:$B,[1]Municipios!$C:$C)</f>
        <v>Oeste</v>
      </c>
      <c r="C3044" t="str">
        <f>_xlfn.XLOOKUP(A3044,[1]Municipios!$B:$B,[1]Municipios!$D:$D)</f>
        <v>Oeste Integrado</v>
      </c>
      <c r="D3044">
        <v>2025</v>
      </c>
      <c r="E3044" t="s">
        <v>233</v>
      </c>
      <c r="F3044">
        <v>0.875</v>
      </c>
      <c r="G3044">
        <v>88.36</v>
      </c>
    </row>
    <row r="3045" spans="1:7" x14ac:dyDescent="0.25">
      <c r="A3045" t="s">
        <v>467</v>
      </c>
      <c r="B3045" t="str">
        <f>_xlfn.XLOOKUP(A3045,[1]Municipios!$B:$B,[1]Municipios!$C:$C)</f>
        <v>Oeste</v>
      </c>
      <c r="C3045" t="str">
        <f>_xlfn.XLOOKUP(A3045,[1]Municipios!$B:$B,[1]Municipios!$D:$D)</f>
        <v>Oeste Integrado</v>
      </c>
      <c r="D3045">
        <v>2025</v>
      </c>
      <c r="E3045" t="s">
        <v>215</v>
      </c>
      <c r="F3045">
        <v>0.79999999999999993</v>
      </c>
      <c r="G3045">
        <v>88.36</v>
      </c>
    </row>
    <row r="3046" spans="1:7" x14ac:dyDescent="0.25">
      <c r="A3046" t="s">
        <v>467</v>
      </c>
      <c r="B3046" t="str">
        <f>_xlfn.XLOOKUP(A3046,[1]Municipios!$B:$B,[1]Municipios!$C:$C)</f>
        <v>Oeste</v>
      </c>
      <c r="C3046" t="str">
        <f>_xlfn.XLOOKUP(A3046,[1]Municipios!$B:$B,[1]Municipios!$D:$D)</f>
        <v>Oeste Integrado</v>
      </c>
      <c r="D3046">
        <v>2025</v>
      </c>
      <c r="E3046" t="s">
        <v>234</v>
      </c>
      <c r="F3046">
        <v>1</v>
      </c>
      <c r="G3046">
        <v>88.36</v>
      </c>
    </row>
    <row r="3047" spans="1:7" x14ac:dyDescent="0.25">
      <c r="A3047" t="s">
        <v>467</v>
      </c>
      <c r="B3047" t="str">
        <f>_xlfn.XLOOKUP(A3047,[1]Municipios!$B:$B,[1]Municipios!$C:$C)</f>
        <v>Oeste</v>
      </c>
      <c r="C3047" t="str">
        <f>_xlfn.XLOOKUP(A3047,[1]Municipios!$B:$B,[1]Municipios!$D:$D)</f>
        <v>Oeste Integrado</v>
      </c>
      <c r="D3047">
        <v>2025</v>
      </c>
      <c r="E3047" t="s">
        <v>235</v>
      </c>
      <c r="F3047">
        <v>1</v>
      </c>
      <c r="G3047">
        <v>88.36</v>
      </c>
    </row>
    <row r="3048" spans="1:7" x14ac:dyDescent="0.25">
      <c r="A3048" t="s">
        <v>467</v>
      </c>
      <c r="B3048" t="str">
        <f>_xlfn.XLOOKUP(A3048,[1]Municipios!$B:$B,[1]Municipios!$C:$C)</f>
        <v>Oeste</v>
      </c>
      <c r="C3048" t="str">
        <f>_xlfn.XLOOKUP(A3048,[1]Municipios!$B:$B,[1]Municipios!$D:$D)</f>
        <v>Oeste Integrado</v>
      </c>
      <c r="D3048">
        <v>2025</v>
      </c>
      <c r="E3048" t="s">
        <v>236</v>
      </c>
      <c r="F3048">
        <v>0.92309999999999992</v>
      </c>
      <c r="G3048">
        <v>88.36</v>
      </c>
    </row>
    <row r="3049" spans="1:7" x14ac:dyDescent="0.25">
      <c r="A3049" t="s">
        <v>467</v>
      </c>
      <c r="B3049" t="str">
        <f>_xlfn.XLOOKUP(A3049,[1]Municipios!$B:$B,[1]Municipios!$C:$C)</f>
        <v>Oeste</v>
      </c>
      <c r="C3049" t="str">
        <f>_xlfn.XLOOKUP(A3049,[1]Municipios!$B:$B,[1]Municipios!$D:$D)</f>
        <v>Oeste Integrado</v>
      </c>
      <c r="D3049">
        <v>2025</v>
      </c>
      <c r="E3049" t="s">
        <v>237</v>
      </c>
      <c r="F3049">
        <v>1</v>
      </c>
      <c r="G3049">
        <v>88.36</v>
      </c>
    </row>
    <row r="3050" spans="1:7" x14ac:dyDescent="0.25">
      <c r="A3050" t="s">
        <v>361</v>
      </c>
      <c r="B3050" t="str">
        <f>_xlfn.XLOOKUP(A3050,[1]Municipios!$B:$B,[1]Municipios!$C:$C)</f>
        <v>Norte</v>
      </c>
      <c r="C3050" t="str">
        <f>_xlfn.XLOOKUP(A3050,[1]Municipios!$B:$B,[1]Municipios!$D:$D)</f>
        <v>Norte Pioneiro</v>
      </c>
      <c r="D3050">
        <v>2025</v>
      </c>
      <c r="E3050" t="s">
        <v>231</v>
      </c>
      <c r="F3050">
        <v>0.88890000000000002</v>
      </c>
      <c r="G3050">
        <v>84.17</v>
      </c>
    </row>
    <row r="3051" spans="1:7" x14ac:dyDescent="0.25">
      <c r="A3051" t="s">
        <v>361</v>
      </c>
      <c r="B3051" t="str">
        <f>_xlfn.XLOOKUP(A3051,[1]Municipios!$B:$B,[1]Municipios!$C:$C)</f>
        <v>Norte</v>
      </c>
      <c r="C3051" t="str">
        <f>_xlfn.XLOOKUP(A3051,[1]Municipios!$B:$B,[1]Municipios!$D:$D)</f>
        <v>Norte Pioneiro</v>
      </c>
      <c r="D3051">
        <v>2025</v>
      </c>
      <c r="E3051" t="s">
        <v>232</v>
      </c>
      <c r="F3051">
        <v>0.92310000000000003</v>
      </c>
      <c r="G3051">
        <v>84.17</v>
      </c>
    </row>
    <row r="3052" spans="1:7" x14ac:dyDescent="0.25">
      <c r="A3052" t="s">
        <v>361</v>
      </c>
      <c r="B3052" t="str">
        <f>_xlfn.XLOOKUP(A3052,[1]Municipios!$B:$B,[1]Municipios!$C:$C)</f>
        <v>Norte</v>
      </c>
      <c r="C3052" t="str">
        <f>_xlfn.XLOOKUP(A3052,[1]Municipios!$B:$B,[1]Municipios!$D:$D)</f>
        <v>Norte Pioneiro</v>
      </c>
      <c r="D3052">
        <v>2025</v>
      </c>
      <c r="E3052" t="s">
        <v>233</v>
      </c>
      <c r="F3052">
        <v>0.875</v>
      </c>
      <c r="G3052">
        <v>84.17</v>
      </c>
    </row>
    <row r="3053" spans="1:7" x14ac:dyDescent="0.25">
      <c r="A3053" t="s">
        <v>361</v>
      </c>
      <c r="B3053" t="str">
        <f>_xlfn.XLOOKUP(A3053,[1]Municipios!$B:$B,[1]Municipios!$C:$C)</f>
        <v>Norte</v>
      </c>
      <c r="C3053" t="str">
        <f>_xlfn.XLOOKUP(A3053,[1]Municipios!$B:$B,[1]Municipios!$D:$D)</f>
        <v>Norte Pioneiro</v>
      </c>
      <c r="D3053">
        <v>2025</v>
      </c>
      <c r="E3053" t="s">
        <v>215</v>
      </c>
      <c r="F3053">
        <v>0.79999999999999993</v>
      </c>
      <c r="G3053">
        <v>84.17</v>
      </c>
    </row>
    <row r="3054" spans="1:7" x14ac:dyDescent="0.25">
      <c r="A3054" t="s">
        <v>361</v>
      </c>
      <c r="B3054" t="str">
        <f>_xlfn.XLOOKUP(A3054,[1]Municipios!$B:$B,[1]Municipios!$C:$C)</f>
        <v>Norte</v>
      </c>
      <c r="C3054" t="str">
        <f>_xlfn.XLOOKUP(A3054,[1]Municipios!$B:$B,[1]Municipios!$D:$D)</f>
        <v>Norte Pioneiro</v>
      </c>
      <c r="D3054">
        <v>2025</v>
      </c>
      <c r="E3054" t="s">
        <v>234</v>
      </c>
      <c r="F3054">
        <v>0.77780000000000005</v>
      </c>
      <c r="G3054">
        <v>84.17</v>
      </c>
    </row>
    <row r="3055" spans="1:7" x14ac:dyDescent="0.25">
      <c r="A3055" t="s">
        <v>361</v>
      </c>
      <c r="B3055" t="str">
        <f>_xlfn.XLOOKUP(A3055,[1]Municipios!$B:$B,[1]Municipios!$C:$C)</f>
        <v>Norte</v>
      </c>
      <c r="C3055" t="str">
        <f>_xlfn.XLOOKUP(A3055,[1]Municipios!$B:$B,[1]Municipios!$D:$D)</f>
        <v>Norte Pioneiro</v>
      </c>
      <c r="D3055">
        <v>2025</v>
      </c>
      <c r="E3055" t="s">
        <v>235</v>
      </c>
      <c r="F3055">
        <v>1</v>
      </c>
      <c r="G3055">
        <v>84.17</v>
      </c>
    </row>
    <row r="3056" spans="1:7" x14ac:dyDescent="0.25">
      <c r="A3056" t="s">
        <v>361</v>
      </c>
      <c r="B3056" t="str">
        <f>_xlfn.XLOOKUP(A3056,[1]Municipios!$B:$B,[1]Municipios!$C:$C)</f>
        <v>Norte</v>
      </c>
      <c r="C3056" t="str">
        <f>_xlfn.XLOOKUP(A3056,[1]Municipios!$B:$B,[1]Municipios!$D:$D)</f>
        <v>Norte Pioneiro</v>
      </c>
      <c r="D3056">
        <v>2025</v>
      </c>
      <c r="E3056" t="s">
        <v>236</v>
      </c>
      <c r="F3056">
        <v>0.4617</v>
      </c>
      <c r="G3056">
        <v>84.17</v>
      </c>
    </row>
    <row r="3057" spans="1:7" x14ac:dyDescent="0.25">
      <c r="A3057" t="s">
        <v>361</v>
      </c>
      <c r="B3057" t="str">
        <f>_xlfn.XLOOKUP(A3057,[1]Municipios!$B:$B,[1]Municipios!$C:$C)</f>
        <v>Norte</v>
      </c>
      <c r="C3057" t="str">
        <f>_xlfn.XLOOKUP(A3057,[1]Municipios!$B:$B,[1]Municipios!$D:$D)</f>
        <v>Norte Pioneiro</v>
      </c>
      <c r="D3057">
        <v>2025</v>
      </c>
      <c r="E3057" t="s">
        <v>237</v>
      </c>
      <c r="F3057">
        <v>1</v>
      </c>
      <c r="G3057">
        <v>84.17</v>
      </c>
    </row>
    <row r="3058" spans="1:7" x14ac:dyDescent="0.25">
      <c r="A3058" t="s">
        <v>533</v>
      </c>
      <c r="B3058" t="str">
        <f>_xlfn.XLOOKUP(A3058,[1]Municipios!$B:$B,[1]Municipios!$C:$C)</f>
        <v>Oeste</v>
      </c>
      <c r="C3058" t="str">
        <f>_xlfn.XLOOKUP(A3058,[1]Municipios!$B:$B,[1]Municipios!$D:$D)</f>
        <v>Cantuquiriguaçu</v>
      </c>
      <c r="D3058">
        <v>2025</v>
      </c>
      <c r="E3058" t="s">
        <v>231</v>
      </c>
      <c r="F3058">
        <v>0.88890000000000002</v>
      </c>
      <c r="G3058">
        <v>72.78</v>
      </c>
    </row>
    <row r="3059" spans="1:7" x14ac:dyDescent="0.25">
      <c r="A3059" t="s">
        <v>533</v>
      </c>
      <c r="B3059" t="str">
        <f>_xlfn.XLOOKUP(A3059,[1]Municipios!$B:$B,[1]Municipios!$C:$C)</f>
        <v>Oeste</v>
      </c>
      <c r="C3059" t="str">
        <f>_xlfn.XLOOKUP(A3059,[1]Municipios!$B:$B,[1]Municipios!$D:$D)</f>
        <v>Cantuquiriguaçu</v>
      </c>
      <c r="D3059">
        <v>2025</v>
      </c>
      <c r="E3059" t="s">
        <v>232</v>
      </c>
      <c r="F3059">
        <v>0.84609999999999996</v>
      </c>
      <c r="G3059">
        <v>72.78</v>
      </c>
    </row>
    <row r="3060" spans="1:7" x14ac:dyDescent="0.25">
      <c r="A3060" t="s">
        <v>533</v>
      </c>
      <c r="B3060" t="str">
        <f>_xlfn.XLOOKUP(A3060,[1]Municipios!$B:$B,[1]Municipios!$C:$C)</f>
        <v>Oeste</v>
      </c>
      <c r="C3060" t="str">
        <f>_xlfn.XLOOKUP(A3060,[1]Municipios!$B:$B,[1]Municipios!$D:$D)</f>
        <v>Cantuquiriguaçu</v>
      </c>
      <c r="D3060">
        <v>2025</v>
      </c>
      <c r="E3060" t="s">
        <v>233</v>
      </c>
      <c r="F3060">
        <v>0.875</v>
      </c>
      <c r="G3060">
        <v>72.78</v>
      </c>
    </row>
    <row r="3061" spans="1:7" x14ac:dyDescent="0.25">
      <c r="A3061" t="s">
        <v>533</v>
      </c>
      <c r="B3061" t="str">
        <f>_xlfn.XLOOKUP(A3061,[1]Municipios!$B:$B,[1]Municipios!$C:$C)</f>
        <v>Oeste</v>
      </c>
      <c r="C3061" t="str">
        <f>_xlfn.XLOOKUP(A3061,[1]Municipios!$B:$B,[1]Municipios!$D:$D)</f>
        <v>Cantuquiriguaçu</v>
      </c>
      <c r="D3061">
        <v>2025</v>
      </c>
      <c r="E3061" t="s">
        <v>215</v>
      </c>
      <c r="F3061">
        <v>0.79999999999999993</v>
      </c>
      <c r="G3061">
        <v>72.78</v>
      </c>
    </row>
    <row r="3062" spans="1:7" x14ac:dyDescent="0.25">
      <c r="A3062" t="s">
        <v>533</v>
      </c>
      <c r="B3062" t="str">
        <f>_xlfn.XLOOKUP(A3062,[1]Municipios!$B:$B,[1]Municipios!$C:$C)</f>
        <v>Oeste</v>
      </c>
      <c r="C3062" t="str">
        <f>_xlfn.XLOOKUP(A3062,[1]Municipios!$B:$B,[1]Municipios!$D:$D)</f>
        <v>Cantuquiriguaçu</v>
      </c>
      <c r="D3062">
        <v>2025</v>
      </c>
      <c r="E3062" t="s">
        <v>234</v>
      </c>
      <c r="F3062">
        <v>0.66659999999999997</v>
      </c>
      <c r="G3062">
        <v>72.78</v>
      </c>
    </row>
    <row r="3063" spans="1:7" x14ac:dyDescent="0.25">
      <c r="A3063" t="s">
        <v>533</v>
      </c>
      <c r="B3063" t="str">
        <f>_xlfn.XLOOKUP(A3063,[1]Municipios!$B:$B,[1]Municipios!$C:$C)</f>
        <v>Oeste</v>
      </c>
      <c r="C3063" t="str">
        <f>_xlfn.XLOOKUP(A3063,[1]Municipios!$B:$B,[1]Municipios!$D:$D)</f>
        <v>Cantuquiriguaçu</v>
      </c>
      <c r="D3063">
        <v>2025</v>
      </c>
      <c r="E3063" t="s">
        <v>235</v>
      </c>
      <c r="F3063">
        <v>0.57140000000000002</v>
      </c>
      <c r="G3063">
        <v>72.78</v>
      </c>
    </row>
    <row r="3064" spans="1:7" x14ac:dyDescent="0.25">
      <c r="A3064" t="s">
        <v>533</v>
      </c>
      <c r="B3064" t="str">
        <f>_xlfn.XLOOKUP(A3064,[1]Municipios!$B:$B,[1]Municipios!$C:$C)</f>
        <v>Oeste</v>
      </c>
      <c r="C3064" t="str">
        <f>_xlfn.XLOOKUP(A3064,[1]Municipios!$B:$B,[1]Municipios!$D:$D)</f>
        <v>Cantuquiriguaçu</v>
      </c>
      <c r="D3064">
        <v>2025</v>
      </c>
      <c r="E3064" t="s">
        <v>236</v>
      </c>
      <c r="F3064">
        <v>0.30780000000000002</v>
      </c>
      <c r="G3064">
        <v>72.78</v>
      </c>
    </row>
    <row r="3065" spans="1:7" x14ac:dyDescent="0.25">
      <c r="A3065" t="s">
        <v>533</v>
      </c>
      <c r="B3065" t="str">
        <f>_xlfn.XLOOKUP(A3065,[1]Municipios!$B:$B,[1]Municipios!$C:$C)</f>
        <v>Oeste</v>
      </c>
      <c r="C3065" t="str">
        <f>_xlfn.XLOOKUP(A3065,[1]Municipios!$B:$B,[1]Municipios!$D:$D)</f>
        <v>Cantuquiriguaçu</v>
      </c>
      <c r="D3065">
        <v>2025</v>
      </c>
      <c r="E3065" t="s">
        <v>237</v>
      </c>
      <c r="F3065">
        <v>1</v>
      </c>
      <c r="G3065">
        <v>72.78</v>
      </c>
    </row>
    <row r="3066" spans="1:7" x14ac:dyDescent="0.25">
      <c r="A3066" t="s">
        <v>631</v>
      </c>
      <c r="B3066" t="str">
        <f>_xlfn.XLOOKUP(A3066,[1]Municipios!$B:$B,[1]Municipios!$C:$C)</f>
        <v>Leste</v>
      </c>
      <c r="C3066" t="str">
        <f>_xlfn.XLOOKUP(A3066,[1]Municipios!$B:$B,[1]Municipios!$D:$D)</f>
        <v>Vale Do Ribeira</v>
      </c>
      <c r="D3066">
        <v>2025</v>
      </c>
      <c r="E3066" t="s">
        <v>231</v>
      </c>
      <c r="F3066">
        <v>0</v>
      </c>
      <c r="G3066">
        <v>0</v>
      </c>
    </row>
    <row r="3067" spans="1:7" x14ac:dyDescent="0.25">
      <c r="A3067" t="s">
        <v>631</v>
      </c>
      <c r="B3067" t="str">
        <f>_xlfn.XLOOKUP(A3067,[1]Municipios!$B:$B,[1]Municipios!$C:$C)</f>
        <v>Leste</v>
      </c>
      <c r="C3067" t="str">
        <f>_xlfn.XLOOKUP(A3067,[1]Municipios!$B:$B,[1]Municipios!$D:$D)</f>
        <v>Vale Do Ribeira</v>
      </c>
      <c r="D3067">
        <v>2025</v>
      </c>
      <c r="E3067" t="s">
        <v>232</v>
      </c>
      <c r="F3067">
        <v>0.23069999999999999</v>
      </c>
      <c r="G3067">
        <v>0</v>
      </c>
    </row>
    <row r="3068" spans="1:7" x14ac:dyDescent="0.25">
      <c r="A3068" t="s">
        <v>631</v>
      </c>
      <c r="B3068" t="str">
        <f>_xlfn.XLOOKUP(A3068,[1]Municipios!$B:$B,[1]Municipios!$C:$C)</f>
        <v>Leste</v>
      </c>
      <c r="C3068" t="str">
        <f>_xlfn.XLOOKUP(A3068,[1]Municipios!$B:$B,[1]Municipios!$D:$D)</f>
        <v>Vale Do Ribeira</v>
      </c>
      <c r="D3068">
        <v>2025</v>
      </c>
      <c r="E3068" t="s">
        <v>233</v>
      </c>
      <c r="F3068">
        <v>0.125</v>
      </c>
      <c r="G3068">
        <v>0</v>
      </c>
    </row>
    <row r="3069" spans="1:7" x14ac:dyDescent="0.25">
      <c r="A3069" t="s">
        <v>631</v>
      </c>
      <c r="B3069" t="str">
        <f>_xlfn.XLOOKUP(A3069,[1]Municipios!$B:$B,[1]Municipios!$C:$C)</f>
        <v>Leste</v>
      </c>
      <c r="C3069" t="str">
        <f>_xlfn.XLOOKUP(A3069,[1]Municipios!$B:$B,[1]Municipios!$D:$D)</f>
        <v>Vale Do Ribeira</v>
      </c>
      <c r="D3069">
        <v>2025</v>
      </c>
      <c r="E3069" t="s">
        <v>215</v>
      </c>
      <c r="F3069">
        <v>0</v>
      </c>
      <c r="G3069">
        <v>0</v>
      </c>
    </row>
    <row r="3070" spans="1:7" x14ac:dyDescent="0.25">
      <c r="A3070" t="s">
        <v>631</v>
      </c>
      <c r="B3070" t="str">
        <f>_xlfn.XLOOKUP(A3070,[1]Municipios!$B:$B,[1]Municipios!$C:$C)</f>
        <v>Leste</v>
      </c>
      <c r="C3070" t="str">
        <f>_xlfn.XLOOKUP(A3070,[1]Municipios!$B:$B,[1]Municipios!$D:$D)</f>
        <v>Vale Do Ribeira</v>
      </c>
      <c r="D3070">
        <v>2025</v>
      </c>
      <c r="E3070" t="s">
        <v>234</v>
      </c>
      <c r="F3070">
        <v>0</v>
      </c>
      <c r="G3070">
        <v>0</v>
      </c>
    </row>
    <row r="3071" spans="1:7" x14ac:dyDescent="0.25">
      <c r="A3071" t="s">
        <v>631</v>
      </c>
      <c r="B3071" t="str">
        <f>_xlfn.XLOOKUP(A3071,[1]Municipios!$B:$B,[1]Municipios!$C:$C)</f>
        <v>Leste</v>
      </c>
      <c r="C3071" t="str">
        <f>_xlfn.XLOOKUP(A3071,[1]Municipios!$B:$B,[1]Municipios!$D:$D)</f>
        <v>Vale Do Ribeira</v>
      </c>
      <c r="D3071">
        <v>2025</v>
      </c>
      <c r="E3071" t="s">
        <v>235</v>
      </c>
      <c r="F3071">
        <v>0</v>
      </c>
      <c r="G3071">
        <v>0</v>
      </c>
    </row>
    <row r="3072" spans="1:7" x14ac:dyDescent="0.25">
      <c r="A3072" t="s">
        <v>631</v>
      </c>
      <c r="B3072" t="str">
        <f>_xlfn.XLOOKUP(A3072,[1]Municipios!$B:$B,[1]Municipios!$C:$C)</f>
        <v>Leste</v>
      </c>
      <c r="C3072" t="str">
        <f>_xlfn.XLOOKUP(A3072,[1]Municipios!$B:$B,[1]Municipios!$D:$D)</f>
        <v>Vale Do Ribeira</v>
      </c>
      <c r="D3072">
        <v>2025</v>
      </c>
      <c r="E3072" t="s">
        <v>236</v>
      </c>
      <c r="F3072">
        <v>0</v>
      </c>
      <c r="G3072">
        <v>0</v>
      </c>
    </row>
    <row r="3073" spans="1:7" x14ac:dyDescent="0.25">
      <c r="A3073" t="s">
        <v>631</v>
      </c>
      <c r="B3073" t="str">
        <f>_xlfn.XLOOKUP(A3073,[1]Municipios!$B:$B,[1]Municipios!$C:$C)</f>
        <v>Leste</v>
      </c>
      <c r="C3073" t="str">
        <f>_xlfn.XLOOKUP(A3073,[1]Municipios!$B:$B,[1]Municipios!$D:$D)</f>
        <v>Vale Do Ribeira</v>
      </c>
      <c r="D3073">
        <v>2025</v>
      </c>
      <c r="E3073" t="s">
        <v>237</v>
      </c>
      <c r="F3073">
        <v>0</v>
      </c>
      <c r="G3073">
        <v>0</v>
      </c>
    </row>
    <row r="3074" spans="1:7" x14ac:dyDescent="0.25">
      <c r="A3074" t="s">
        <v>632</v>
      </c>
      <c r="B3074" t="str">
        <f>_xlfn.XLOOKUP(A3074,[1]Municipios!$B:$B,[1]Municipios!$C:$C)</f>
        <v>Noroeste</v>
      </c>
      <c r="C3074" t="str">
        <f>_xlfn.XLOOKUP(A3074,[1]Municipios!$B:$B,[1]Municipios!$D:$D)</f>
        <v>Médio Noroeste</v>
      </c>
      <c r="D3074">
        <v>2025</v>
      </c>
      <c r="E3074" t="s">
        <v>231</v>
      </c>
      <c r="F3074">
        <v>0.11120000000000001</v>
      </c>
      <c r="G3074">
        <v>37</v>
      </c>
    </row>
    <row r="3075" spans="1:7" x14ac:dyDescent="0.25">
      <c r="A3075" t="s">
        <v>632</v>
      </c>
      <c r="B3075" t="str">
        <f>_xlfn.XLOOKUP(A3075,[1]Municipios!$B:$B,[1]Municipios!$C:$C)</f>
        <v>Noroeste</v>
      </c>
      <c r="C3075" t="str">
        <f>_xlfn.XLOOKUP(A3075,[1]Municipios!$B:$B,[1]Municipios!$D:$D)</f>
        <v>Médio Noroeste</v>
      </c>
      <c r="D3075">
        <v>2025</v>
      </c>
      <c r="E3075" t="s">
        <v>232</v>
      </c>
      <c r="F3075">
        <v>0.61539999999999995</v>
      </c>
      <c r="G3075">
        <v>37</v>
      </c>
    </row>
    <row r="3076" spans="1:7" x14ac:dyDescent="0.25">
      <c r="A3076" t="s">
        <v>632</v>
      </c>
      <c r="B3076" t="str">
        <f>_xlfn.XLOOKUP(A3076,[1]Municipios!$B:$B,[1]Municipios!$C:$C)</f>
        <v>Noroeste</v>
      </c>
      <c r="C3076" t="str">
        <f>_xlfn.XLOOKUP(A3076,[1]Municipios!$B:$B,[1]Municipios!$D:$D)</f>
        <v>Médio Noroeste</v>
      </c>
      <c r="D3076">
        <v>2025</v>
      </c>
      <c r="E3076" t="s">
        <v>233</v>
      </c>
      <c r="F3076">
        <v>0.5</v>
      </c>
      <c r="G3076">
        <v>37</v>
      </c>
    </row>
    <row r="3077" spans="1:7" x14ac:dyDescent="0.25">
      <c r="A3077" t="s">
        <v>632</v>
      </c>
      <c r="B3077" t="str">
        <f>_xlfn.XLOOKUP(A3077,[1]Municipios!$B:$B,[1]Municipios!$C:$C)</f>
        <v>Noroeste</v>
      </c>
      <c r="C3077" t="str">
        <f>_xlfn.XLOOKUP(A3077,[1]Municipios!$B:$B,[1]Municipios!$D:$D)</f>
        <v>Médio Noroeste</v>
      </c>
      <c r="D3077">
        <v>2025</v>
      </c>
      <c r="E3077" t="s">
        <v>215</v>
      </c>
      <c r="F3077">
        <v>0.6</v>
      </c>
      <c r="G3077">
        <v>37</v>
      </c>
    </row>
    <row r="3078" spans="1:7" x14ac:dyDescent="0.25">
      <c r="A3078" t="s">
        <v>632</v>
      </c>
      <c r="B3078" t="str">
        <f>_xlfn.XLOOKUP(A3078,[1]Municipios!$B:$B,[1]Municipios!$C:$C)</f>
        <v>Noroeste</v>
      </c>
      <c r="C3078" t="str">
        <f>_xlfn.XLOOKUP(A3078,[1]Municipios!$B:$B,[1]Municipios!$D:$D)</f>
        <v>Médio Noroeste</v>
      </c>
      <c r="D3078">
        <v>2025</v>
      </c>
      <c r="E3078" t="s">
        <v>234</v>
      </c>
      <c r="F3078">
        <v>0.44440000000000002</v>
      </c>
      <c r="G3078">
        <v>37</v>
      </c>
    </row>
    <row r="3079" spans="1:7" x14ac:dyDescent="0.25">
      <c r="A3079" t="s">
        <v>632</v>
      </c>
      <c r="B3079" t="str">
        <f>_xlfn.XLOOKUP(A3079,[1]Municipios!$B:$B,[1]Municipios!$C:$C)</f>
        <v>Noroeste</v>
      </c>
      <c r="C3079" t="str">
        <f>_xlfn.XLOOKUP(A3079,[1]Municipios!$B:$B,[1]Municipios!$D:$D)</f>
        <v>Médio Noroeste</v>
      </c>
      <c r="D3079">
        <v>2025</v>
      </c>
      <c r="E3079" t="s">
        <v>235</v>
      </c>
      <c r="F3079">
        <v>0.1429</v>
      </c>
      <c r="G3079">
        <v>37</v>
      </c>
    </row>
    <row r="3080" spans="1:7" x14ac:dyDescent="0.25">
      <c r="A3080" t="s">
        <v>632</v>
      </c>
      <c r="B3080" t="str">
        <f>_xlfn.XLOOKUP(A3080,[1]Municipios!$B:$B,[1]Municipios!$C:$C)</f>
        <v>Noroeste</v>
      </c>
      <c r="C3080" t="str">
        <f>_xlfn.XLOOKUP(A3080,[1]Municipios!$B:$B,[1]Municipios!$D:$D)</f>
        <v>Médio Noroeste</v>
      </c>
      <c r="D3080">
        <v>2025</v>
      </c>
      <c r="E3080" t="s">
        <v>236</v>
      </c>
      <c r="F3080">
        <v>7.6999999999999999E-2</v>
      </c>
      <c r="G3080">
        <v>37</v>
      </c>
    </row>
    <row r="3081" spans="1:7" x14ac:dyDescent="0.25">
      <c r="A3081" t="s">
        <v>632</v>
      </c>
      <c r="B3081" t="str">
        <f>_xlfn.XLOOKUP(A3081,[1]Municipios!$B:$B,[1]Municipios!$C:$C)</f>
        <v>Noroeste</v>
      </c>
      <c r="C3081" t="str">
        <f>_xlfn.XLOOKUP(A3081,[1]Municipios!$B:$B,[1]Municipios!$D:$D)</f>
        <v>Médio Noroeste</v>
      </c>
      <c r="D3081">
        <v>2025</v>
      </c>
      <c r="E3081" t="s">
        <v>237</v>
      </c>
      <c r="F3081">
        <v>0.5</v>
      </c>
      <c r="G3081">
        <v>37</v>
      </c>
    </row>
    <row r="3082" spans="1:7" x14ac:dyDescent="0.25">
      <c r="A3082" t="s">
        <v>468</v>
      </c>
      <c r="B3082" t="str">
        <f>_xlfn.XLOOKUP(A3082,[1]Municipios!$B:$B,[1]Municipios!$C:$C)</f>
        <v>Oeste</v>
      </c>
      <c r="C3082" t="str">
        <f>_xlfn.XLOOKUP(A3082,[1]Municipios!$B:$B,[1]Municipios!$D:$D)</f>
        <v>Oeste Integrado</v>
      </c>
      <c r="D3082">
        <v>2025</v>
      </c>
      <c r="E3082" t="s">
        <v>231</v>
      </c>
      <c r="F3082">
        <v>0.88890000000000002</v>
      </c>
      <c r="G3082">
        <v>77.39</v>
      </c>
    </row>
    <row r="3083" spans="1:7" x14ac:dyDescent="0.25">
      <c r="A3083" t="s">
        <v>468</v>
      </c>
      <c r="B3083" t="str">
        <f>_xlfn.XLOOKUP(A3083,[1]Municipios!$B:$B,[1]Municipios!$C:$C)</f>
        <v>Oeste</v>
      </c>
      <c r="C3083" t="str">
        <f>_xlfn.XLOOKUP(A3083,[1]Municipios!$B:$B,[1]Municipios!$D:$D)</f>
        <v>Oeste Integrado</v>
      </c>
      <c r="D3083">
        <v>2025</v>
      </c>
      <c r="E3083" t="s">
        <v>232</v>
      </c>
      <c r="F3083">
        <v>0.84619999999999995</v>
      </c>
      <c r="G3083">
        <v>77.39</v>
      </c>
    </row>
    <row r="3084" spans="1:7" x14ac:dyDescent="0.25">
      <c r="A3084" t="s">
        <v>468</v>
      </c>
      <c r="B3084" t="str">
        <f>_xlfn.XLOOKUP(A3084,[1]Municipios!$B:$B,[1]Municipios!$C:$C)</f>
        <v>Oeste</v>
      </c>
      <c r="C3084" t="str">
        <f>_xlfn.XLOOKUP(A3084,[1]Municipios!$B:$B,[1]Municipios!$D:$D)</f>
        <v>Oeste Integrado</v>
      </c>
      <c r="D3084">
        <v>2025</v>
      </c>
      <c r="E3084" t="s">
        <v>233</v>
      </c>
      <c r="F3084">
        <v>1</v>
      </c>
      <c r="G3084">
        <v>77.39</v>
      </c>
    </row>
    <row r="3085" spans="1:7" x14ac:dyDescent="0.25">
      <c r="A3085" t="s">
        <v>468</v>
      </c>
      <c r="B3085" t="str">
        <f>_xlfn.XLOOKUP(A3085,[1]Municipios!$B:$B,[1]Municipios!$C:$C)</f>
        <v>Oeste</v>
      </c>
      <c r="C3085" t="str">
        <f>_xlfn.XLOOKUP(A3085,[1]Municipios!$B:$B,[1]Municipios!$D:$D)</f>
        <v>Oeste Integrado</v>
      </c>
      <c r="D3085">
        <v>2025</v>
      </c>
      <c r="E3085" t="s">
        <v>215</v>
      </c>
      <c r="F3085">
        <v>0.75</v>
      </c>
      <c r="G3085">
        <v>77.39</v>
      </c>
    </row>
    <row r="3086" spans="1:7" x14ac:dyDescent="0.25">
      <c r="A3086" t="s">
        <v>468</v>
      </c>
      <c r="B3086" t="str">
        <f>_xlfn.XLOOKUP(A3086,[1]Municipios!$B:$B,[1]Municipios!$C:$C)</f>
        <v>Oeste</v>
      </c>
      <c r="C3086" t="str">
        <f>_xlfn.XLOOKUP(A3086,[1]Municipios!$B:$B,[1]Municipios!$D:$D)</f>
        <v>Oeste Integrado</v>
      </c>
      <c r="D3086">
        <v>2025</v>
      </c>
      <c r="E3086" t="s">
        <v>234</v>
      </c>
      <c r="F3086">
        <v>0.66669999999999996</v>
      </c>
      <c r="G3086">
        <v>77.39</v>
      </c>
    </row>
    <row r="3087" spans="1:7" x14ac:dyDescent="0.25">
      <c r="A3087" t="s">
        <v>468</v>
      </c>
      <c r="B3087" t="str">
        <f>_xlfn.XLOOKUP(A3087,[1]Municipios!$B:$B,[1]Municipios!$C:$C)</f>
        <v>Oeste</v>
      </c>
      <c r="C3087" t="str">
        <f>_xlfn.XLOOKUP(A3087,[1]Municipios!$B:$B,[1]Municipios!$D:$D)</f>
        <v>Oeste Integrado</v>
      </c>
      <c r="D3087">
        <v>2025</v>
      </c>
      <c r="E3087" t="s">
        <v>235</v>
      </c>
      <c r="F3087">
        <v>1</v>
      </c>
      <c r="G3087">
        <v>77.39</v>
      </c>
    </row>
    <row r="3088" spans="1:7" x14ac:dyDescent="0.25">
      <c r="A3088" t="s">
        <v>468</v>
      </c>
      <c r="B3088" t="str">
        <f>_xlfn.XLOOKUP(A3088,[1]Municipios!$B:$B,[1]Municipios!$C:$C)</f>
        <v>Oeste</v>
      </c>
      <c r="C3088" t="str">
        <f>_xlfn.XLOOKUP(A3088,[1]Municipios!$B:$B,[1]Municipios!$D:$D)</f>
        <v>Oeste Integrado</v>
      </c>
      <c r="D3088">
        <v>2025</v>
      </c>
      <c r="E3088" t="s">
        <v>236</v>
      </c>
      <c r="F3088">
        <v>0.154</v>
      </c>
      <c r="G3088">
        <v>77.39</v>
      </c>
    </row>
    <row r="3089" spans="1:7" x14ac:dyDescent="0.25">
      <c r="A3089" t="s">
        <v>468</v>
      </c>
      <c r="B3089" t="str">
        <f>_xlfn.XLOOKUP(A3089,[1]Municipios!$B:$B,[1]Municipios!$C:$C)</f>
        <v>Oeste</v>
      </c>
      <c r="C3089" t="str">
        <f>_xlfn.XLOOKUP(A3089,[1]Municipios!$B:$B,[1]Municipios!$D:$D)</f>
        <v>Oeste Integrado</v>
      </c>
      <c r="D3089">
        <v>2025</v>
      </c>
      <c r="E3089" t="s">
        <v>237</v>
      </c>
      <c r="F3089">
        <v>1</v>
      </c>
      <c r="G3089">
        <v>77.39</v>
      </c>
    </row>
    <row r="3090" spans="1:7" x14ac:dyDescent="0.25">
      <c r="A3090" t="s">
        <v>243</v>
      </c>
      <c r="B3090" t="str">
        <f>_xlfn.XLOOKUP(A3090,[1]Municipios!$B:$B,[1]Municipios!$C:$C)</f>
        <v>Centro</v>
      </c>
      <c r="C3090" t="str">
        <f>_xlfn.XLOOKUP(A3090,[1]Municipios!$B:$B,[1]Municipios!$D:$D)</f>
        <v>Paraná Centro</v>
      </c>
      <c r="D3090">
        <v>2025</v>
      </c>
      <c r="E3090" t="s">
        <v>231</v>
      </c>
      <c r="F3090">
        <v>1</v>
      </c>
      <c r="G3090">
        <v>85.78</v>
      </c>
    </row>
    <row r="3091" spans="1:7" x14ac:dyDescent="0.25">
      <c r="A3091" t="s">
        <v>243</v>
      </c>
      <c r="B3091" t="str">
        <f>_xlfn.XLOOKUP(A3091,[1]Municipios!$B:$B,[1]Municipios!$C:$C)</f>
        <v>Centro</v>
      </c>
      <c r="C3091" t="str">
        <f>_xlfn.XLOOKUP(A3091,[1]Municipios!$B:$B,[1]Municipios!$D:$D)</f>
        <v>Paraná Centro</v>
      </c>
      <c r="D3091">
        <v>2025</v>
      </c>
      <c r="E3091" t="s">
        <v>232</v>
      </c>
      <c r="F3091">
        <v>0.84619999999999995</v>
      </c>
      <c r="G3091">
        <v>85.78</v>
      </c>
    </row>
    <row r="3092" spans="1:7" x14ac:dyDescent="0.25">
      <c r="A3092" t="s">
        <v>243</v>
      </c>
      <c r="B3092" t="str">
        <f>_xlfn.XLOOKUP(A3092,[1]Municipios!$B:$B,[1]Municipios!$C:$C)</f>
        <v>Centro</v>
      </c>
      <c r="C3092" t="str">
        <f>_xlfn.XLOOKUP(A3092,[1]Municipios!$B:$B,[1]Municipios!$D:$D)</f>
        <v>Paraná Centro</v>
      </c>
      <c r="D3092">
        <v>2025</v>
      </c>
      <c r="E3092" t="s">
        <v>233</v>
      </c>
      <c r="F3092">
        <v>0.75</v>
      </c>
      <c r="G3092">
        <v>85.78</v>
      </c>
    </row>
    <row r="3093" spans="1:7" x14ac:dyDescent="0.25">
      <c r="A3093" t="s">
        <v>243</v>
      </c>
      <c r="B3093" t="str">
        <f>_xlfn.XLOOKUP(A3093,[1]Municipios!$B:$B,[1]Municipios!$C:$C)</f>
        <v>Centro</v>
      </c>
      <c r="C3093" t="str">
        <f>_xlfn.XLOOKUP(A3093,[1]Municipios!$B:$B,[1]Municipios!$D:$D)</f>
        <v>Paraná Centro</v>
      </c>
      <c r="D3093">
        <v>2025</v>
      </c>
      <c r="E3093" t="s">
        <v>215</v>
      </c>
      <c r="F3093">
        <v>0.9</v>
      </c>
      <c r="G3093">
        <v>85.78</v>
      </c>
    </row>
    <row r="3094" spans="1:7" x14ac:dyDescent="0.25">
      <c r="A3094" t="s">
        <v>243</v>
      </c>
      <c r="B3094" t="str">
        <f>_xlfn.XLOOKUP(A3094,[1]Municipios!$B:$B,[1]Municipios!$C:$C)</f>
        <v>Centro</v>
      </c>
      <c r="C3094" t="str">
        <f>_xlfn.XLOOKUP(A3094,[1]Municipios!$B:$B,[1]Municipios!$D:$D)</f>
        <v>Paraná Centro</v>
      </c>
      <c r="D3094">
        <v>2025</v>
      </c>
      <c r="E3094" t="s">
        <v>234</v>
      </c>
      <c r="F3094">
        <v>0.77780000000000005</v>
      </c>
      <c r="G3094">
        <v>85.78</v>
      </c>
    </row>
    <row r="3095" spans="1:7" x14ac:dyDescent="0.25">
      <c r="A3095" t="s">
        <v>243</v>
      </c>
      <c r="B3095" t="str">
        <f>_xlfn.XLOOKUP(A3095,[1]Municipios!$B:$B,[1]Municipios!$C:$C)</f>
        <v>Centro</v>
      </c>
      <c r="C3095" t="str">
        <f>_xlfn.XLOOKUP(A3095,[1]Municipios!$B:$B,[1]Municipios!$D:$D)</f>
        <v>Paraná Centro</v>
      </c>
      <c r="D3095">
        <v>2025</v>
      </c>
      <c r="E3095" t="s">
        <v>235</v>
      </c>
      <c r="F3095">
        <v>1</v>
      </c>
      <c r="G3095">
        <v>85.78</v>
      </c>
    </row>
    <row r="3096" spans="1:7" x14ac:dyDescent="0.25">
      <c r="A3096" t="s">
        <v>243</v>
      </c>
      <c r="B3096" t="str">
        <f>_xlfn.XLOOKUP(A3096,[1]Municipios!$B:$B,[1]Municipios!$C:$C)</f>
        <v>Centro</v>
      </c>
      <c r="C3096" t="str">
        <f>_xlfn.XLOOKUP(A3096,[1]Municipios!$B:$B,[1]Municipios!$D:$D)</f>
        <v>Paraná Centro</v>
      </c>
      <c r="D3096">
        <v>2025</v>
      </c>
      <c r="E3096" t="s">
        <v>236</v>
      </c>
      <c r="F3096">
        <v>0.53859999999999997</v>
      </c>
      <c r="G3096">
        <v>85.78</v>
      </c>
    </row>
    <row r="3097" spans="1:7" x14ac:dyDescent="0.25">
      <c r="A3097" t="s">
        <v>243</v>
      </c>
      <c r="B3097" t="str">
        <f>_xlfn.XLOOKUP(A3097,[1]Municipios!$B:$B,[1]Municipios!$C:$C)</f>
        <v>Centro</v>
      </c>
      <c r="C3097" t="str">
        <f>_xlfn.XLOOKUP(A3097,[1]Municipios!$B:$B,[1]Municipios!$D:$D)</f>
        <v>Paraná Centro</v>
      </c>
      <c r="D3097">
        <v>2025</v>
      </c>
      <c r="E3097" t="s">
        <v>237</v>
      </c>
      <c r="F3097">
        <v>1</v>
      </c>
      <c r="G3097">
        <v>85.78</v>
      </c>
    </row>
    <row r="3098" spans="1:7" x14ac:dyDescent="0.25">
      <c r="A3098" t="s">
        <v>469</v>
      </c>
      <c r="B3098" t="str">
        <f>_xlfn.XLOOKUP(A3098,[1]Municipios!$B:$B,[1]Municipios!$C:$C)</f>
        <v>Oeste</v>
      </c>
      <c r="C3098" t="str">
        <f>_xlfn.XLOOKUP(A3098,[1]Municipios!$B:$B,[1]Municipios!$D:$D)</f>
        <v>Oeste Integrado</v>
      </c>
      <c r="D3098">
        <v>2025</v>
      </c>
      <c r="E3098" t="s">
        <v>231</v>
      </c>
      <c r="F3098">
        <v>0.55559999999999998</v>
      </c>
      <c r="G3098">
        <v>81.040000000000006</v>
      </c>
    </row>
    <row r="3099" spans="1:7" x14ac:dyDescent="0.25">
      <c r="A3099" t="s">
        <v>469</v>
      </c>
      <c r="B3099" t="str">
        <f>_xlfn.XLOOKUP(A3099,[1]Municipios!$B:$B,[1]Municipios!$C:$C)</f>
        <v>Oeste</v>
      </c>
      <c r="C3099" t="str">
        <f>_xlfn.XLOOKUP(A3099,[1]Municipios!$B:$B,[1]Municipios!$D:$D)</f>
        <v>Oeste Integrado</v>
      </c>
      <c r="D3099">
        <v>2025</v>
      </c>
      <c r="E3099" t="s">
        <v>232</v>
      </c>
      <c r="F3099">
        <v>0.84609999999999996</v>
      </c>
      <c r="G3099">
        <v>81.040000000000006</v>
      </c>
    </row>
    <row r="3100" spans="1:7" x14ac:dyDescent="0.25">
      <c r="A3100" t="s">
        <v>469</v>
      </c>
      <c r="B3100" t="str">
        <f>_xlfn.XLOOKUP(A3100,[1]Municipios!$B:$B,[1]Municipios!$C:$C)</f>
        <v>Oeste</v>
      </c>
      <c r="C3100" t="str">
        <f>_xlfn.XLOOKUP(A3100,[1]Municipios!$B:$B,[1]Municipios!$D:$D)</f>
        <v>Oeste Integrado</v>
      </c>
      <c r="D3100">
        <v>2025</v>
      </c>
      <c r="E3100" t="s">
        <v>233</v>
      </c>
      <c r="F3100">
        <v>1</v>
      </c>
      <c r="G3100">
        <v>81.040000000000006</v>
      </c>
    </row>
    <row r="3101" spans="1:7" x14ac:dyDescent="0.25">
      <c r="A3101" t="s">
        <v>469</v>
      </c>
      <c r="B3101" t="str">
        <f>_xlfn.XLOOKUP(A3101,[1]Municipios!$B:$B,[1]Municipios!$C:$C)</f>
        <v>Oeste</v>
      </c>
      <c r="C3101" t="str">
        <f>_xlfn.XLOOKUP(A3101,[1]Municipios!$B:$B,[1]Municipios!$D:$D)</f>
        <v>Oeste Integrado</v>
      </c>
      <c r="D3101">
        <v>2025</v>
      </c>
      <c r="E3101" t="s">
        <v>215</v>
      </c>
      <c r="F3101">
        <v>1</v>
      </c>
      <c r="G3101">
        <v>81.040000000000006</v>
      </c>
    </row>
    <row r="3102" spans="1:7" x14ac:dyDescent="0.25">
      <c r="A3102" t="s">
        <v>469</v>
      </c>
      <c r="B3102" t="str">
        <f>_xlfn.XLOOKUP(A3102,[1]Municipios!$B:$B,[1]Municipios!$C:$C)</f>
        <v>Oeste</v>
      </c>
      <c r="C3102" t="str">
        <f>_xlfn.XLOOKUP(A3102,[1]Municipios!$B:$B,[1]Municipios!$D:$D)</f>
        <v>Oeste Integrado</v>
      </c>
      <c r="D3102">
        <v>2025</v>
      </c>
      <c r="E3102" t="s">
        <v>234</v>
      </c>
      <c r="F3102">
        <v>0.77780000000000005</v>
      </c>
      <c r="G3102">
        <v>81.040000000000006</v>
      </c>
    </row>
    <row r="3103" spans="1:7" x14ac:dyDescent="0.25">
      <c r="A3103" t="s">
        <v>469</v>
      </c>
      <c r="B3103" t="str">
        <f>_xlfn.XLOOKUP(A3103,[1]Municipios!$B:$B,[1]Municipios!$C:$C)</f>
        <v>Oeste</v>
      </c>
      <c r="C3103" t="str">
        <f>_xlfn.XLOOKUP(A3103,[1]Municipios!$B:$B,[1]Municipios!$D:$D)</f>
        <v>Oeste Integrado</v>
      </c>
      <c r="D3103">
        <v>2025</v>
      </c>
      <c r="E3103" t="s">
        <v>235</v>
      </c>
      <c r="F3103">
        <v>1</v>
      </c>
      <c r="G3103">
        <v>81.040000000000006</v>
      </c>
    </row>
    <row r="3104" spans="1:7" x14ac:dyDescent="0.25">
      <c r="A3104" t="s">
        <v>469</v>
      </c>
      <c r="B3104" t="str">
        <f>_xlfn.XLOOKUP(A3104,[1]Municipios!$B:$B,[1]Municipios!$C:$C)</f>
        <v>Oeste</v>
      </c>
      <c r="C3104" t="str">
        <f>_xlfn.XLOOKUP(A3104,[1]Municipios!$B:$B,[1]Municipios!$D:$D)</f>
        <v>Oeste Integrado</v>
      </c>
      <c r="D3104">
        <v>2025</v>
      </c>
      <c r="E3104" t="s">
        <v>236</v>
      </c>
      <c r="F3104">
        <v>0.3846</v>
      </c>
      <c r="G3104">
        <v>81.040000000000006</v>
      </c>
    </row>
    <row r="3105" spans="1:7" x14ac:dyDescent="0.25">
      <c r="A3105" t="s">
        <v>469</v>
      </c>
      <c r="B3105" t="str">
        <f>_xlfn.XLOOKUP(A3105,[1]Municipios!$B:$B,[1]Municipios!$C:$C)</f>
        <v>Oeste</v>
      </c>
      <c r="C3105" t="str">
        <f>_xlfn.XLOOKUP(A3105,[1]Municipios!$B:$B,[1]Municipios!$D:$D)</f>
        <v>Oeste Integrado</v>
      </c>
      <c r="D3105">
        <v>2025</v>
      </c>
      <c r="E3105" t="s">
        <v>237</v>
      </c>
      <c r="F3105">
        <v>1</v>
      </c>
      <c r="G3105">
        <v>81.040000000000006</v>
      </c>
    </row>
    <row r="3106" spans="1:7" x14ac:dyDescent="0.25">
      <c r="A3106" t="s">
        <v>310</v>
      </c>
      <c r="B3106" t="str">
        <f>_xlfn.XLOOKUP(A3106,[1]Municipios!$B:$B,[1]Municipios!$C:$C)</f>
        <v>Noroeste</v>
      </c>
      <c r="C3106" t="str">
        <f>_xlfn.XLOOKUP(A3106,[1]Municipios!$B:$B,[1]Municipios!$D:$D)</f>
        <v>Arenito-Caiuá</v>
      </c>
      <c r="D3106">
        <v>2025</v>
      </c>
      <c r="E3106" t="s">
        <v>231</v>
      </c>
      <c r="F3106">
        <v>0.88890000000000002</v>
      </c>
      <c r="G3106">
        <v>95.86</v>
      </c>
    </row>
    <row r="3107" spans="1:7" x14ac:dyDescent="0.25">
      <c r="A3107" t="s">
        <v>310</v>
      </c>
      <c r="B3107" t="str">
        <f>_xlfn.XLOOKUP(A3107,[1]Municipios!$B:$B,[1]Municipios!$C:$C)</f>
        <v>Noroeste</v>
      </c>
      <c r="C3107" t="str">
        <f>_xlfn.XLOOKUP(A3107,[1]Municipios!$B:$B,[1]Municipios!$D:$D)</f>
        <v>Arenito-Caiuá</v>
      </c>
      <c r="D3107">
        <v>2025</v>
      </c>
      <c r="E3107" t="s">
        <v>232</v>
      </c>
      <c r="F3107">
        <v>1</v>
      </c>
      <c r="G3107">
        <v>95.86</v>
      </c>
    </row>
    <row r="3108" spans="1:7" x14ac:dyDescent="0.25">
      <c r="A3108" t="s">
        <v>310</v>
      </c>
      <c r="B3108" t="str">
        <f>_xlfn.XLOOKUP(A3108,[1]Municipios!$B:$B,[1]Municipios!$C:$C)</f>
        <v>Noroeste</v>
      </c>
      <c r="C3108" t="str">
        <f>_xlfn.XLOOKUP(A3108,[1]Municipios!$B:$B,[1]Municipios!$D:$D)</f>
        <v>Arenito-Caiuá</v>
      </c>
      <c r="D3108">
        <v>2025</v>
      </c>
      <c r="E3108" t="s">
        <v>233</v>
      </c>
      <c r="F3108">
        <v>1</v>
      </c>
      <c r="G3108">
        <v>95.86</v>
      </c>
    </row>
    <row r="3109" spans="1:7" x14ac:dyDescent="0.25">
      <c r="A3109" t="s">
        <v>310</v>
      </c>
      <c r="B3109" t="str">
        <f>_xlfn.XLOOKUP(A3109,[1]Municipios!$B:$B,[1]Municipios!$C:$C)</f>
        <v>Noroeste</v>
      </c>
      <c r="C3109" t="str">
        <f>_xlfn.XLOOKUP(A3109,[1]Municipios!$B:$B,[1]Municipios!$D:$D)</f>
        <v>Arenito-Caiuá</v>
      </c>
      <c r="D3109">
        <v>2025</v>
      </c>
      <c r="E3109" t="s">
        <v>215</v>
      </c>
      <c r="F3109">
        <v>1</v>
      </c>
      <c r="G3109">
        <v>95.86</v>
      </c>
    </row>
    <row r="3110" spans="1:7" x14ac:dyDescent="0.25">
      <c r="A3110" t="s">
        <v>310</v>
      </c>
      <c r="B3110" t="str">
        <f>_xlfn.XLOOKUP(A3110,[1]Municipios!$B:$B,[1]Municipios!$C:$C)</f>
        <v>Noroeste</v>
      </c>
      <c r="C3110" t="str">
        <f>_xlfn.XLOOKUP(A3110,[1]Municipios!$B:$B,[1]Municipios!$D:$D)</f>
        <v>Arenito-Caiuá</v>
      </c>
      <c r="D3110">
        <v>2025</v>
      </c>
      <c r="E3110" t="s">
        <v>234</v>
      </c>
      <c r="F3110">
        <v>0.88890000000000002</v>
      </c>
      <c r="G3110">
        <v>95.86</v>
      </c>
    </row>
    <row r="3111" spans="1:7" x14ac:dyDescent="0.25">
      <c r="A3111" t="s">
        <v>310</v>
      </c>
      <c r="B3111" t="str">
        <f>_xlfn.XLOOKUP(A3111,[1]Municipios!$B:$B,[1]Municipios!$C:$C)</f>
        <v>Noroeste</v>
      </c>
      <c r="C3111" t="str">
        <f>_xlfn.XLOOKUP(A3111,[1]Municipios!$B:$B,[1]Municipios!$D:$D)</f>
        <v>Arenito-Caiuá</v>
      </c>
      <c r="D3111">
        <v>2025</v>
      </c>
      <c r="E3111" t="s">
        <v>235</v>
      </c>
      <c r="F3111">
        <v>1</v>
      </c>
      <c r="G3111">
        <v>95.86</v>
      </c>
    </row>
    <row r="3112" spans="1:7" x14ac:dyDescent="0.25">
      <c r="A3112" t="s">
        <v>310</v>
      </c>
      <c r="B3112" t="str">
        <f>_xlfn.XLOOKUP(A3112,[1]Municipios!$B:$B,[1]Municipios!$C:$C)</f>
        <v>Noroeste</v>
      </c>
      <c r="C3112" t="str">
        <f>_xlfn.XLOOKUP(A3112,[1]Municipios!$B:$B,[1]Municipios!$D:$D)</f>
        <v>Arenito-Caiuá</v>
      </c>
      <c r="D3112">
        <v>2025</v>
      </c>
      <c r="E3112" t="s">
        <v>236</v>
      </c>
      <c r="F3112">
        <v>0.92309999999999992</v>
      </c>
      <c r="G3112">
        <v>95.86</v>
      </c>
    </row>
    <row r="3113" spans="1:7" x14ac:dyDescent="0.25">
      <c r="A3113" t="s">
        <v>310</v>
      </c>
      <c r="B3113" t="str">
        <f>_xlfn.XLOOKUP(A3113,[1]Municipios!$B:$B,[1]Municipios!$C:$C)</f>
        <v>Noroeste</v>
      </c>
      <c r="C3113" t="str">
        <f>_xlfn.XLOOKUP(A3113,[1]Municipios!$B:$B,[1]Municipios!$D:$D)</f>
        <v>Arenito-Caiuá</v>
      </c>
      <c r="D3113">
        <v>2025</v>
      </c>
      <c r="E3113" t="s">
        <v>237</v>
      </c>
      <c r="F3113">
        <v>1</v>
      </c>
      <c r="G3113">
        <v>95.86</v>
      </c>
    </row>
    <row r="3114" spans="1:7" x14ac:dyDescent="0.25">
      <c r="A3114" t="s">
        <v>300</v>
      </c>
      <c r="B3114" t="str">
        <f>_xlfn.XLOOKUP(A3114,[1]Municipios!$B:$B,[1]Municipios!$C:$C)</f>
        <v>Sul</v>
      </c>
      <c r="C3114" t="str">
        <f>_xlfn.XLOOKUP(A3114,[1]Municipios!$B:$B,[1]Municipios!$D:$D)</f>
        <v>Sul do Paraná</v>
      </c>
      <c r="D3114">
        <v>2025</v>
      </c>
      <c r="E3114" t="s">
        <v>231</v>
      </c>
      <c r="F3114">
        <v>0.66669999999999996</v>
      </c>
      <c r="G3114">
        <v>82.93</v>
      </c>
    </row>
    <row r="3115" spans="1:7" x14ac:dyDescent="0.25">
      <c r="A3115" t="s">
        <v>300</v>
      </c>
      <c r="B3115" t="str">
        <f>_xlfn.XLOOKUP(A3115,[1]Municipios!$B:$B,[1]Municipios!$C:$C)</f>
        <v>Sul</v>
      </c>
      <c r="C3115" t="str">
        <f>_xlfn.XLOOKUP(A3115,[1]Municipios!$B:$B,[1]Municipios!$D:$D)</f>
        <v>Sul do Paraná</v>
      </c>
      <c r="D3115">
        <v>2025</v>
      </c>
      <c r="E3115" t="s">
        <v>232</v>
      </c>
      <c r="F3115">
        <v>0.84619999999999995</v>
      </c>
      <c r="G3115">
        <v>82.93</v>
      </c>
    </row>
    <row r="3116" spans="1:7" x14ac:dyDescent="0.25">
      <c r="A3116" t="s">
        <v>300</v>
      </c>
      <c r="B3116" t="str">
        <f>_xlfn.XLOOKUP(A3116,[1]Municipios!$B:$B,[1]Municipios!$C:$C)</f>
        <v>Sul</v>
      </c>
      <c r="C3116" t="str">
        <f>_xlfn.XLOOKUP(A3116,[1]Municipios!$B:$B,[1]Municipios!$D:$D)</f>
        <v>Sul do Paraná</v>
      </c>
      <c r="D3116">
        <v>2025</v>
      </c>
      <c r="E3116" t="s">
        <v>233</v>
      </c>
      <c r="F3116">
        <v>0.75</v>
      </c>
      <c r="G3116">
        <v>82.93</v>
      </c>
    </row>
    <row r="3117" spans="1:7" x14ac:dyDescent="0.25">
      <c r="A3117" t="s">
        <v>300</v>
      </c>
      <c r="B3117" t="str">
        <f>_xlfn.XLOOKUP(A3117,[1]Municipios!$B:$B,[1]Municipios!$C:$C)</f>
        <v>Sul</v>
      </c>
      <c r="C3117" t="str">
        <f>_xlfn.XLOOKUP(A3117,[1]Municipios!$B:$B,[1]Municipios!$D:$D)</f>
        <v>Sul do Paraná</v>
      </c>
      <c r="D3117">
        <v>2025</v>
      </c>
      <c r="E3117" t="s">
        <v>215</v>
      </c>
      <c r="F3117">
        <v>1</v>
      </c>
      <c r="G3117">
        <v>82.93</v>
      </c>
    </row>
    <row r="3118" spans="1:7" x14ac:dyDescent="0.25">
      <c r="A3118" t="s">
        <v>300</v>
      </c>
      <c r="B3118" t="str">
        <f>_xlfn.XLOOKUP(A3118,[1]Municipios!$B:$B,[1]Municipios!$C:$C)</f>
        <v>Sul</v>
      </c>
      <c r="C3118" t="str">
        <f>_xlfn.XLOOKUP(A3118,[1]Municipios!$B:$B,[1]Municipios!$D:$D)</f>
        <v>Sul do Paraná</v>
      </c>
      <c r="D3118">
        <v>2025</v>
      </c>
      <c r="E3118" t="s">
        <v>234</v>
      </c>
      <c r="F3118">
        <v>0.66669999999999996</v>
      </c>
      <c r="G3118">
        <v>82.93</v>
      </c>
    </row>
    <row r="3119" spans="1:7" x14ac:dyDescent="0.25">
      <c r="A3119" t="s">
        <v>300</v>
      </c>
      <c r="B3119" t="str">
        <f>_xlfn.XLOOKUP(A3119,[1]Municipios!$B:$B,[1]Municipios!$C:$C)</f>
        <v>Sul</v>
      </c>
      <c r="C3119" t="str">
        <f>_xlfn.XLOOKUP(A3119,[1]Municipios!$B:$B,[1]Municipios!$D:$D)</f>
        <v>Sul do Paraná</v>
      </c>
      <c r="D3119">
        <v>2025</v>
      </c>
      <c r="E3119" t="s">
        <v>235</v>
      </c>
      <c r="F3119">
        <v>1</v>
      </c>
      <c r="G3119">
        <v>82.93</v>
      </c>
    </row>
    <row r="3120" spans="1:7" x14ac:dyDescent="0.25">
      <c r="A3120" t="s">
        <v>300</v>
      </c>
      <c r="B3120" t="str">
        <f>_xlfn.XLOOKUP(A3120,[1]Municipios!$B:$B,[1]Municipios!$C:$C)</f>
        <v>Sul</v>
      </c>
      <c r="C3120" t="str">
        <f>_xlfn.XLOOKUP(A3120,[1]Municipios!$B:$B,[1]Municipios!$D:$D)</f>
        <v>Sul do Paraná</v>
      </c>
      <c r="D3120">
        <v>2025</v>
      </c>
      <c r="E3120" t="s">
        <v>236</v>
      </c>
      <c r="F3120">
        <v>0.69229999999999992</v>
      </c>
      <c r="G3120">
        <v>82.93</v>
      </c>
    </row>
    <row r="3121" spans="1:7" x14ac:dyDescent="0.25">
      <c r="A3121" t="s">
        <v>300</v>
      </c>
      <c r="B3121" t="str">
        <f>_xlfn.XLOOKUP(A3121,[1]Municipios!$B:$B,[1]Municipios!$C:$C)</f>
        <v>Sul</v>
      </c>
      <c r="C3121" t="str">
        <f>_xlfn.XLOOKUP(A3121,[1]Municipios!$B:$B,[1]Municipios!$D:$D)</f>
        <v>Sul do Paraná</v>
      </c>
      <c r="D3121">
        <v>2025</v>
      </c>
      <c r="E3121" t="s">
        <v>237</v>
      </c>
      <c r="F3121">
        <v>1</v>
      </c>
      <c r="G3121">
        <v>82.93</v>
      </c>
    </row>
    <row r="3122" spans="1:7" x14ac:dyDescent="0.25">
      <c r="A3122" t="s">
        <v>633</v>
      </c>
      <c r="B3122" t="str">
        <f>_xlfn.XLOOKUP(A3122,[1]Municipios!$B:$B,[1]Municipios!$C:$C)</f>
        <v>Noroeste</v>
      </c>
      <c r="C3122" t="str">
        <f>_xlfn.XLOOKUP(A3122,[1]Municipios!$B:$B,[1]Municipios!$D:$D)</f>
        <v>Terra Roxa</v>
      </c>
      <c r="D3122">
        <v>2025</v>
      </c>
      <c r="E3122" t="s">
        <v>231</v>
      </c>
      <c r="F3122">
        <v>0.22219999999999998</v>
      </c>
      <c r="G3122">
        <v>36.96</v>
      </c>
    </row>
    <row r="3123" spans="1:7" x14ac:dyDescent="0.25">
      <c r="A3123" t="s">
        <v>633</v>
      </c>
      <c r="B3123" t="str">
        <f>_xlfn.XLOOKUP(A3123,[1]Municipios!$B:$B,[1]Municipios!$C:$C)</f>
        <v>Noroeste</v>
      </c>
      <c r="C3123" t="str">
        <f>_xlfn.XLOOKUP(A3123,[1]Municipios!$B:$B,[1]Municipios!$D:$D)</f>
        <v>Terra Roxa</v>
      </c>
      <c r="D3123">
        <v>2025</v>
      </c>
      <c r="E3123" t="s">
        <v>232</v>
      </c>
      <c r="F3123">
        <v>0.76919999999999999</v>
      </c>
      <c r="G3123">
        <v>36.96</v>
      </c>
    </row>
    <row r="3124" spans="1:7" x14ac:dyDescent="0.25">
      <c r="A3124" t="s">
        <v>633</v>
      </c>
      <c r="B3124" t="str">
        <f>_xlfn.XLOOKUP(A3124,[1]Municipios!$B:$B,[1]Municipios!$C:$C)</f>
        <v>Noroeste</v>
      </c>
      <c r="C3124" t="str">
        <f>_xlfn.XLOOKUP(A3124,[1]Municipios!$B:$B,[1]Municipios!$D:$D)</f>
        <v>Terra Roxa</v>
      </c>
      <c r="D3124">
        <v>2025</v>
      </c>
      <c r="E3124" t="s">
        <v>233</v>
      </c>
      <c r="F3124">
        <v>0.5</v>
      </c>
      <c r="G3124">
        <v>36.96</v>
      </c>
    </row>
    <row r="3125" spans="1:7" x14ac:dyDescent="0.25">
      <c r="A3125" t="s">
        <v>633</v>
      </c>
      <c r="B3125" t="str">
        <f>_xlfn.XLOOKUP(A3125,[1]Municipios!$B:$B,[1]Municipios!$C:$C)</f>
        <v>Noroeste</v>
      </c>
      <c r="C3125" t="str">
        <f>_xlfn.XLOOKUP(A3125,[1]Municipios!$B:$B,[1]Municipios!$D:$D)</f>
        <v>Terra Roxa</v>
      </c>
      <c r="D3125">
        <v>2025</v>
      </c>
      <c r="E3125" t="s">
        <v>215</v>
      </c>
      <c r="F3125">
        <v>0</v>
      </c>
      <c r="G3125">
        <v>36.96</v>
      </c>
    </row>
    <row r="3126" spans="1:7" x14ac:dyDescent="0.25">
      <c r="A3126" t="s">
        <v>633</v>
      </c>
      <c r="B3126" t="str">
        <f>_xlfn.XLOOKUP(A3126,[1]Municipios!$B:$B,[1]Municipios!$C:$C)</f>
        <v>Noroeste</v>
      </c>
      <c r="C3126" t="str">
        <f>_xlfn.XLOOKUP(A3126,[1]Municipios!$B:$B,[1]Municipios!$D:$D)</f>
        <v>Terra Roxa</v>
      </c>
      <c r="D3126">
        <v>2025</v>
      </c>
      <c r="E3126" t="s">
        <v>234</v>
      </c>
      <c r="F3126">
        <v>0.44440000000000002</v>
      </c>
      <c r="G3126">
        <v>36.96</v>
      </c>
    </row>
    <row r="3127" spans="1:7" x14ac:dyDescent="0.25">
      <c r="A3127" t="s">
        <v>633</v>
      </c>
      <c r="B3127" t="str">
        <f>_xlfn.XLOOKUP(A3127,[1]Municipios!$B:$B,[1]Municipios!$C:$C)</f>
        <v>Noroeste</v>
      </c>
      <c r="C3127" t="str">
        <f>_xlfn.XLOOKUP(A3127,[1]Municipios!$B:$B,[1]Municipios!$D:$D)</f>
        <v>Terra Roxa</v>
      </c>
      <c r="D3127">
        <v>2025</v>
      </c>
      <c r="E3127" t="s">
        <v>235</v>
      </c>
      <c r="F3127">
        <v>0.42859999999999998</v>
      </c>
      <c r="G3127">
        <v>36.96</v>
      </c>
    </row>
    <row r="3128" spans="1:7" x14ac:dyDescent="0.25">
      <c r="A3128" t="s">
        <v>633</v>
      </c>
      <c r="B3128" t="str">
        <f>_xlfn.XLOOKUP(A3128,[1]Municipios!$B:$B,[1]Municipios!$C:$C)</f>
        <v>Noroeste</v>
      </c>
      <c r="C3128" t="str">
        <f>_xlfn.XLOOKUP(A3128,[1]Municipios!$B:$B,[1]Municipios!$D:$D)</f>
        <v>Terra Roxa</v>
      </c>
      <c r="D3128">
        <v>2025</v>
      </c>
      <c r="E3128" t="s">
        <v>236</v>
      </c>
      <c r="F3128">
        <v>0</v>
      </c>
      <c r="G3128">
        <v>36.96</v>
      </c>
    </row>
    <row r="3129" spans="1:7" x14ac:dyDescent="0.25">
      <c r="A3129" t="s">
        <v>633</v>
      </c>
      <c r="B3129" t="str">
        <f>_xlfn.XLOOKUP(A3129,[1]Municipios!$B:$B,[1]Municipios!$C:$C)</f>
        <v>Noroeste</v>
      </c>
      <c r="C3129" t="str">
        <f>_xlfn.XLOOKUP(A3129,[1]Municipios!$B:$B,[1]Municipios!$D:$D)</f>
        <v>Terra Roxa</v>
      </c>
      <c r="D3129">
        <v>2025</v>
      </c>
      <c r="E3129" t="s">
        <v>237</v>
      </c>
      <c r="F3129">
        <v>0.5</v>
      </c>
      <c r="G3129">
        <v>36.96</v>
      </c>
    </row>
    <row r="3130" spans="1:7" x14ac:dyDescent="0.25">
      <c r="A3130" t="s">
        <v>404</v>
      </c>
      <c r="B3130" t="str">
        <f>_xlfn.XLOOKUP(A3130,[1]Municipios!$B:$B,[1]Municipios!$C:$C)</f>
        <v>Norte</v>
      </c>
      <c r="C3130" t="str">
        <f>_xlfn.XLOOKUP(A3130,[1]Municipios!$B:$B,[1]Municipios!$D:$D)</f>
        <v>Norte Central</v>
      </c>
      <c r="D3130">
        <v>2025</v>
      </c>
      <c r="E3130" t="s">
        <v>231</v>
      </c>
      <c r="F3130">
        <v>0.11109999999999999</v>
      </c>
      <c r="G3130">
        <v>15.33</v>
      </c>
    </row>
    <row r="3131" spans="1:7" x14ac:dyDescent="0.25">
      <c r="A3131" t="s">
        <v>404</v>
      </c>
      <c r="B3131" t="str">
        <f>_xlfn.XLOOKUP(A3131,[1]Municipios!$B:$B,[1]Municipios!$C:$C)</f>
        <v>Norte</v>
      </c>
      <c r="C3131" t="str">
        <f>_xlfn.XLOOKUP(A3131,[1]Municipios!$B:$B,[1]Municipios!$D:$D)</f>
        <v>Norte Central</v>
      </c>
      <c r="D3131">
        <v>2025</v>
      </c>
      <c r="E3131" t="s">
        <v>232</v>
      </c>
      <c r="F3131">
        <v>0.23069999999999999</v>
      </c>
      <c r="G3131">
        <v>15.33</v>
      </c>
    </row>
    <row r="3132" spans="1:7" x14ac:dyDescent="0.25">
      <c r="A3132" t="s">
        <v>404</v>
      </c>
      <c r="B3132" t="str">
        <f>_xlfn.XLOOKUP(A3132,[1]Municipios!$B:$B,[1]Municipios!$C:$C)</f>
        <v>Norte</v>
      </c>
      <c r="C3132" t="str">
        <f>_xlfn.XLOOKUP(A3132,[1]Municipios!$B:$B,[1]Municipios!$D:$D)</f>
        <v>Norte Central</v>
      </c>
      <c r="D3132">
        <v>2025</v>
      </c>
      <c r="E3132" t="s">
        <v>233</v>
      </c>
      <c r="F3132">
        <v>0.5</v>
      </c>
      <c r="G3132">
        <v>15.33</v>
      </c>
    </row>
    <row r="3133" spans="1:7" x14ac:dyDescent="0.25">
      <c r="A3133" t="s">
        <v>404</v>
      </c>
      <c r="B3133" t="str">
        <f>_xlfn.XLOOKUP(A3133,[1]Municipios!$B:$B,[1]Municipios!$C:$C)</f>
        <v>Norte</v>
      </c>
      <c r="C3133" t="str">
        <f>_xlfn.XLOOKUP(A3133,[1]Municipios!$B:$B,[1]Municipios!$D:$D)</f>
        <v>Norte Central</v>
      </c>
      <c r="D3133">
        <v>2025</v>
      </c>
      <c r="E3133" t="s">
        <v>215</v>
      </c>
      <c r="F3133">
        <v>0</v>
      </c>
      <c r="G3133">
        <v>15.33</v>
      </c>
    </row>
    <row r="3134" spans="1:7" x14ac:dyDescent="0.25">
      <c r="A3134" t="s">
        <v>404</v>
      </c>
      <c r="B3134" t="str">
        <f>_xlfn.XLOOKUP(A3134,[1]Municipios!$B:$B,[1]Municipios!$C:$C)</f>
        <v>Norte</v>
      </c>
      <c r="C3134" t="str">
        <f>_xlfn.XLOOKUP(A3134,[1]Municipios!$B:$B,[1]Municipios!$D:$D)</f>
        <v>Norte Central</v>
      </c>
      <c r="D3134">
        <v>2025</v>
      </c>
      <c r="E3134" t="s">
        <v>234</v>
      </c>
      <c r="F3134">
        <v>0.33329999999999999</v>
      </c>
      <c r="G3134">
        <v>15.33</v>
      </c>
    </row>
    <row r="3135" spans="1:7" x14ac:dyDescent="0.25">
      <c r="A3135" t="s">
        <v>404</v>
      </c>
      <c r="B3135" t="str">
        <f>_xlfn.XLOOKUP(A3135,[1]Municipios!$B:$B,[1]Municipios!$C:$C)</f>
        <v>Norte</v>
      </c>
      <c r="C3135" t="str">
        <f>_xlfn.XLOOKUP(A3135,[1]Municipios!$B:$B,[1]Municipios!$D:$D)</f>
        <v>Norte Central</v>
      </c>
      <c r="D3135">
        <v>2025</v>
      </c>
      <c r="E3135" t="s">
        <v>235</v>
      </c>
      <c r="F3135">
        <v>0.1429</v>
      </c>
      <c r="G3135">
        <v>15.33</v>
      </c>
    </row>
    <row r="3136" spans="1:7" x14ac:dyDescent="0.25">
      <c r="A3136" t="s">
        <v>404</v>
      </c>
      <c r="B3136" t="str">
        <f>_xlfn.XLOOKUP(A3136,[1]Municipios!$B:$B,[1]Municipios!$C:$C)</f>
        <v>Norte</v>
      </c>
      <c r="C3136" t="str">
        <f>_xlfn.XLOOKUP(A3136,[1]Municipios!$B:$B,[1]Municipios!$D:$D)</f>
        <v>Norte Central</v>
      </c>
      <c r="D3136">
        <v>2025</v>
      </c>
      <c r="E3136" t="s">
        <v>236</v>
      </c>
      <c r="F3136">
        <v>0</v>
      </c>
      <c r="G3136">
        <v>15.33</v>
      </c>
    </row>
    <row r="3137" spans="1:7" x14ac:dyDescent="0.25">
      <c r="A3137" t="s">
        <v>404</v>
      </c>
      <c r="B3137" t="str">
        <f>_xlfn.XLOOKUP(A3137,[1]Municipios!$B:$B,[1]Municipios!$C:$C)</f>
        <v>Norte</v>
      </c>
      <c r="C3137" t="str">
        <f>_xlfn.XLOOKUP(A3137,[1]Municipios!$B:$B,[1]Municipios!$D:$D)</f>
        <v>Norte Central</v>
      </c>
      <c r="D3137">
        <v>2025</v>
      </c>
      <c r="E3137" t="s">
        <v>237</v>
      </c>
      <c r="F3137">
        <v>0</v>
      </c>
      <c r="G3137">
        <v>15.33</v>
      </c>
    </row>
    <row r="3138" spans="1:7" x14ac:dyDescent="0.25">
      <c r="A3138" t="s">
        <v>491</v>
      </c>
      <c r="B3138" t="str">
        <f>_xlfn.XLOOKUP(A3138,[1]Municipios!$B:$B,[1]Municipios!$C:$C)</f>
        <v>Centro</v>
      </c>
      <c r="C3138" t="str">
        <f>_xlfn.XLOOKUP(A3138,[1]Municipios!$B:$B,[1]Municipios!$D:$D)</f>
        <v>Vale Do Tibagi</v>
      </c>
      <c r="D3138">
        <v>2025</v>
      </c>
      <c r="E3138" t="s">
        <v>231</v>
      </c>
      <c r="F3138">
        <v>0.77769999999999995</v>
      </c>
      <c r="G3138">
        <v>54.75</v>
      </c>
    </row>
    <row r="3139" spans="1:7" x14ac:dyDescent="0.25">
      <c r="A3139" t="s">
        <v>491</v>
      </c>
      <c r="B3139" t="str">
        <f>_xlfn.XLOOKUP(A3139,[1]Municipios!$B:$B,[1]Municipios!$C:$C)</f>
        <v>Centro</v>
      </c>
      <c r="C3139" t="str">
        <f>_xlfn.XLOOKUP(A3139,[1]Municipios!$B:$B,[1]Municipios!$D:$D)</f>
        <v>Vale Do Tibagi</v>
      </c>
      <c r="D3139">
        <v>2025</v>
      </c>
      <c r="E3139" t="s">
        <v>232</v>
      </c>
      <c r="F3139">
        <v>0.76910000000000001</v>
      </c>
      <c r="G3139">
        <v>54.75</v>
      </c>
    </row>
    <row r="3140" spans="1:7" x14ac:dyDescent="0.25">
      <c r="A3140" t="s">
        <v>491</v>
      </c>
      <c r="B3140" t="str">
        <f>_xlfn.XLOOKUP(A3140,[1]Municipios!$B:$B,[1]Municipios!$C:$C)</f>
        <v>Centro</v>
      </c>
      <c r="C3140" t="str">
        <f>_xlfn.XLOOKUP(A3140,[1]Municipios!$B:$B,[1]Municipios!$D:$D)</f>
        <v>Vale Do Tibagi</v>
      </c>
      <c r="D3140">
        <v>2025</v>
      </c>
      <c r="E3140" t="s">
        <v>233</v>
      </c>
      <c r="F3140">
        <v>0.5</v>
      </c>
      <c r="G3140">
        <v>54.75</v>
      </c>
    </row>
    <row r="3141" spans="1:7" x14ac:dyDescent="0.25">
      <c r="A3141" t="s">
        <v>491</v>
      </c>
      <c r="B3141" t="str">
        <f>_xlfn.XLOOKUP(A3141,[1]Municipios!$B:$B,[1]Municipios!$C:$C)</f>
        <v>Centro</v>
      </c>
      <c r="C3141" t="str">
        <f>_xlfn.XLOOKUP(A3141,[1]Municipios!$B:$B,[1]Municipios!$D:$D)</f>
        <v>Vale Do Tibagi</v>
      </c>
      <c r="D3141">
        <v>2025</v>
      </c>
      <c r="E3141" t="s">
        <v>215</v>
      </c>
      <c r="F3141">
        <v>0.19999999999999998</v>
      </c>
      <c r="G3141">
        <v>54.75</v>
      </c>
    </row>
    <row r="3142" spans="1:7" x14ac:dyDescent="0.25">
      <c r="A3142" t="s">
        <v>491</v>
      </c>
      <c r="B3142" t="str">
        <f>_xlfn.XLOOKUP(A3142,[1]Municipios!$B:$B,[1]Municipios!$C:$C)</f>
        <v>Centro</v>
      </c>
      <c r="C3142" t="str">
        <f>_xlfn.XLOOKUP(A3142,[1]Municipios!$B:$B,[1]Municipios!$D:$D)</f>
        <v>Vale Do Tibagi</v>
      </c>
      <c r="D3142">
        <v>2025</v>
      </c>
      <c r="E3142" t="s">
        <v>234</v>
      </c>
      <c r="F3142">
        <v>0.77780000000000005</v>
      </c>
      <c r="G3142">
        <v>54.75</v>
      </c>
    </row>
    <row r="3143" spans="1:7" x14ac:dyDescent="0.25">
      <c r="A3143" t="s">
        <v>491</v>
      </c>
      <c r="B3143" t="str">
        <f>_xlfn.XLOOKUP(A3143,[1]Municipios!$B:$B,[1]Municipios!$C:$C)</f>
        <v>Centro</v>
      </c>
      <c r="C3143" t="str">
        <f>_xlfn.XLOOKUP(A3143,[1]Municipios!$B:$B,[1]Municipios!$D:$D)</f>
        <v>Vale Do Tibagi</v>
      </c>
      <c r="D3143">
        <v>2025</v>
      </c>
      <c r="E3143" t="s">
        <v>235</v>
      </c>
      <c r="F3143">
        <v>0.57140000000000002</v>
      </c>
      <c r="G3143">
        <v>54.75</v>
      </c>
    </row>
    <row r="3144" spans="1:7" x14ac:dyDescent="0.25">
      <c r="A3144" t="s">
        <v>491</v>
      </c>
      <c r="B3144" t="str">
        <f>_xlfn.XLOOKUP(A3144,[1]Municipios!$B:$B,[1]Municipios!$C:$C)</f>
        <v>Centro</v>
      </c>
      <c r="C3144" t="str">
        <f>_xlfn.XLOOKUP(A3144,[1]Municipios!$B:$B,[1]Municipios!$D:$D)</f>
        <v>Vale Do Tibagi</v>
      </c>
      <c r="D3144">
        <v>2025</v>
      </c>
      <c r="E3144" t="s">
        <v>236</v>
      </c>
      <c r="F3144">
        <v>7.690000000000001E-2</v>
      </c>
      <c r="G3144">
        <v>54.75</v>
      </c>
    </row>
    <row r="3145" spans="1:7" x14ac:dyDescent="0.25">
      <c r="A3145" t="s">
        <v>491</v>
      </c>
      <c r="B3145" t="str">
        <f>_xlfn.XLOOKUP(A3145,[1]Municipios!$B:$B,[1]Municipios!$C:$C)</f>
        <v>Centro</v>
      </c>
      <c r="C3145" t="str">
        <f>_xlfn.XLOOKUP(A3145,[1]Municipios!$B:$B,[1]Municipios!$D:$D)</f>
        <v>Vale Do Tibagi</v>
      </c>
      <c r="D3145">
        <v>2025</v>
      </c>
      <c r="E3145" t="s">
        <v>237</v>
      </c>
      <c r="F3145">
        <v>0.5</v>
      </c>
      <c r="G3145">
        <v>54.75</v>
      </c>
    </row>
    <row r="3146" spans="1:7" x14ac:dyDescent="0.25">
      <c r="A3146" t="s">
        <v>470</v>
      </c>
      <c r="B3146" t="str">
        <f>_xlfn.XLOOKUP(A3146,[1]Municipios!$B:$B,[1]Municipios!$C:$C)</f>
        <v>Oeste</v>
      </c>
      <c r="C3146" t="str">
        <f>_xlfn.XLOOKUP(A3146,[1]Municipios!$B:$B,[1]Municipios!$D:$D)</f>
        <v>Oeste Integrado</v>
      </c>
      <c r="D3146">
        <v>2025</v>
      </c>
      <c r="E3146" t="s">
        <v>231</v>
      </c>
      <c r="F3146">
        <v>0.55559999999999998</v>
      </c>
      <c r="G3146">
        <v>74.72</v>
      </c>
    </row>
    <row r="3147" spans="1:7" x14ac:dyDescent="0.25">
      <c r="A3147" t="s">
        <v>470</v>
      </c>
      <c r="B3147" t="str">
        <f>_xlfn.XLOOKUP(A3147,[1]Municipios!$B:$B,[1]Municipios!$C:$C)</f>
        <v>Oeste</v>
      </c>
      <c r="C3147" t="str">
        <f>_xlfn.XLOOKUP(A3147,[1]Municipios!$B:$B,[1]Municipios!$D:$D)</f>
        <v>Oeste Integrado</v>
      </c>
      <c r="D3147">
        <v>2025</v>
      </c>
      <c r="E3147" t="s">
        <v>232</v>
      </c>
      <c r="F3147">
        <v>0.84619999999999995</v>
      </c>
      <c r="G3147">
        <v>74.72</v>
      </c>
    </row>
    <row r="3148" spans="1:7" x14ac:dyDescent="0.25">
      <c r="A3148" t="s">
        <v>470</v>
      </c>
      <c r="B3148" t="str">
        <f>_xlfn.XLOOKUP(A3148,[1]Municipios!$B:$B,[1]Municipios!$C:$C)</f>
        <v>Oeste</v>
      </c>
      <c r="C3148" t="str">
        <f>_xlfn.XLOOKUP(A3148,[1]Municipios!$B:$B,[1]Municipios!$D:$D)</f>
        <v>Oeste Integrado</v>
      </c>
      <c r="D3148">
        <v>2025</v>
      </c>
      <c r="E3148" t="s">
        <v>233</v>
      </c>
      <c r="F3148">
        <v>0.875</v>
      </c>
      <c r="G3148">
        <v>74.72</v>
      </c>
    </row>
    <row r="3149" spans="1:7" x14ac:dyDescent="0.25">
      <c r="A3149" t="s">
        <v>470</v>
      </c>
      <c r="B3149" t="str">
        <f>_xlfn.XLOOKUP(A3149,[1]Municipios!$B:$B,[1]Municipios!$C:$C)</f>
        <v>Oeste</v>
      </c>
      <c r="C3149" t="str">
        <f>_xlfn.XLOOKUP(A3149,[1]Municipios!$B:$B,[1]Municipios!$D:$D)</f>
        <v>Oeste Integrado</v>
      </c>
      <c r="D3149">
        <v>2025</v>
      </c>
      <c r="E3149" t="s">
        <v>215</v>
      </c>
      <c r="F3149">
        <v>0.70000000000000007</v>
      </c>
      <c r="G3149">
        <v>74.72</v>
      </c>
    </row>
    <row r="3150" spans="1:7" x14ac:dyDescent="0.25">
      <c r="A3150" t="s">
        <v>470</v>
      </c>
      <c r="B3150" t="str">
        <f>_xlfn.XLOOKUP(A3150,[1]Municipios!$B:$B,[1]Municipios!$C:$C)</f>
        <v>Oeste</v>
      </c>
      <c r="C3150" t="str">
        <f>_xlfn.XLOOKUP(A3150,[1]Municipios!$B:$B,[1]Municipios!$D:$D)</f>
        <v>Oeste Integrado</v>
      </c>
      <c r="D3150">
        <v>2025</v>
      </c>
      <c r="E3150" t="s">
        <v>234</v>
      </c>
      <c r="F3150">
        <v>0.88890000000000002</v>
      </c>
      <c r="G3150">
        <v>74.72</v>
      </c>
    </row>
    <row r="3151" spans="1:7" x14ac:dyDescent="0.25">
      <c r="A3151" t="s">
        <v>470</v>
      </c>
      <c r="B3151" t="str">
        <f>_xlfn.XLOOKUP(A3151,[1]Municipios!$B:$B,[1]Municipios!$C:$C)</f>
        <v>Oeste</v>
      </c>
      <c r="C3151" t="str">
        <f>_xlfn.XLOOKUP(A3151,[1]Municipios!$B:$B,[1]Municipios!$D:$D)</f>
        <v>Oeste Integrado</v>
      </c>
      <c r="D3151">
        <v>2025</v>
      </c>
      <c r="E3151" t="s">
        <v>235</v>
      </c>
      <c r="F3151">
        <v>0.85720000000000007</v>
      </c>
      <c r="G3151">
        <v>74.72</v>
      </c>
    </row>
    <row r="3152" spans="1:7" x14ac:dyDescent="0.25">
      <c r="A3152" t="s">
        <v>470</v>
      </c>
      <c r="B3152" t="str">
        <f>_xlfn.XLOOKUP(A3152,[1]Municipios!$B:$B,[1]Municipios!$C:$C)</f>
        <v>Oeste</v>
      </c>
      <c r="C3152" t="str">
        <f>_xlfn.XLOOKUP(A3152,[1]Municipios!$B:$B,[1]Municipios!$D:$D)</f>
        <v>Oeste Integrado</v>
      </c>
      <c r="D3152">
        <v>2025</v>
      </c>
      <c r="E3152" t="s">
        <v>236</v>
      </c>
      <c r="F3152">
        <v>0.23089999999999999</v>
      </c>
      <c r="G3152">
        <v>74.72</v>
      </c>
    </row>
    <row r="3153" spans="1:7" x14ac:dyDescent="0.25">
      <c r="A3153" t="s">
        <v>470</v>
      </c>
      <c r="B3153" t="str">
        <f>_xlfn.XLOOKUP(A3153,[1]Municipios!$B:$B,[1]Municipios!$C:$C)</f>
        <v>Oeste</v>
      </c>
      <c r="C3153" t="str">
        <f>_xlfn.XLOOKUP(A3153,[1]Municipios!$B:$B,[1]Municipios!$D:$D)</f>
        <v>Oeste Integrado</v>
      </c>
      <c r="D3153">
        <v>2025</v>
      </c>
      <c r="E3153" t="s">
        <v>237</v>
      </c>
      <c r="F3153">
        <v>1</v>
      </c>
      <c r="G3153">
        <v>74.72</v>
      </c>
    </row>
    <row r="3154" spans="1:7" x14ac:dyDescent="0.25">
      <c r="A3154" t="s">
        <v>268</v>
      </c>
      <c r="B3154" t="str">
        <f>_xlfn.XLOOKUP(A3154,[1]Municipios!$B:$B,[1]Municipios!$C:$C)</f>
        <v>Sul</v>
      </c>
      <c r="C3154" t="str">
        <f>_xlfn.XLOOKUP(A3154,[1]Municipios!$B:$B,[1]Municipios!$D:$D)</f>
        <v>Sudoeste Pioneiro</v>
      </c>
      <c r="D3154">
        <v>2025</v>
      </c>
      <c r="E3154" t="s">
        <v>231</v>
      </c>
      <c r="F3154">
        <v>0.44439999999999996</v>
      </c>
      <c r="G3154">
        <v>43.22</v>
      </c>
    </row>
    <row r="3155" spans="1:7" x14ac:dyDescent="0.25">
      <c r="A3155" t="s">
        <v>268</v>
      </c>
      <c r="B3155" t="str">
        <f>_xlfn.XLOOKUP(A3155,[1]Municipios!$B:$B,[1]Municipios!$C:$C)</f>
        <v>Sul</v>
      </c>
      <c r="C3155" t="str">
        <f>_xlfn.XLOOKUP(A3155,[1]Municipios!$B:$B,[1]Municipios!$D:$D)</f>
        <v>Sudoeste Pioneiro</v>
      </c>
      <c r="D3155">
        <v>2025</v>
      </c>
      <c r="E3155" t="s">
        <v>232</v>
      </c>
      <c r="F3155">
        <v>0.46150000000000002</v>
      </c>
      <c r="G3155">
        <v>43.22</v>
      </c>
    </row>
    <row r="3156" spans="1:7" x14ac:dyDescent="0.25">
      <c r="A3156" t="s">
        <v>268</v>
      </c>
      <c r="B3156" t="str">
        <f>_xlfn.XLOOKUP(A3156,[1]Municipios!$B:$B,[1]Municipios!$C:$C)</f>
        <v>Sul</v>
      </c>
      <c r="C3156" t="str">
        <f>_xlfn.XLOOKUP(A3156,[1]Municipios!$B:$B,[1]Municipios!$D:$D)</f>
        <v>Sudoeste Pioneiro</v>
      </c>
      <c r="D3156">
        <v>2025</v>
      </c>
      <c r="E3156" t="s">
        <v>233</v>
      </c>
      <c r="F3156">
        <v>0.625</v>
      </c>
      <c r="G3156">
        <v>43.22</v>
      </c>
    </row>
    <row r="3157" spans="1:7" x14ac:dyDescent="0.25">
      <c r="A3157" t="s">
        <v>268</v>
      </c>
      <c r="B3157" t="str">
        <f>_xlfn.XLOOKUP(A3157,[1]Municipios!$B:$B,[1]Municipios!$C:$C)</f>
        <v>Sul</v>
      </c>
      <c r="C3157" t="str">
        <f>_xlfn.XLOOKUP(A3157,[1]Municipios!$B:$B,[1]Municipios!$D:$D)</f>
        <v>Sudoeste Pioneiro</v>
      </c>
      <c r="D3157">
        <v>2025</v>
      </c>
      <c r="E3157" t="s">
        <v>215</v>
      </c>
      <c r="F3157">
        <v>0.5</v>
      </c>
      <c r="G3157">
        <v>43.22</v>
      </c>
    </row>
    <row r="3158" spans="1:7" x14ac:dyDescent="0.25">
      <c r="A3158" t="s">
        <v>268</v>
      </c>
      <c r="B3158" t="str">
        <f>_xlfn.XLOOKUP(A3158,[1]Municipios!$B:$B,[1]Municipios!$C:$C)</f>
        <v>Sul</v>
      </c>
      <c r="C3158" t="str">
        <f>_xlfn.XLOOKUP(A3158,[1]Municipios!$B:$B,[1]Municipios!$D:$D)</f>
        <v>Sudoeste Pioneiro</v>
      </c>
      <c r="D3158">
        <v>2025</v>
      </c>
      <c r="E3158" t="s">
        <v>234</v>
      </c>
      <c r="F3158">
        <v>0.55549999999999999</v>
      </c>
      <c r="G3158">
        <v>43.22</v>
      </c>
    </row>
    <row r="3159" spans="1:7" x14ac:dyDescent="0.25">
      <c r="A3159" t="s">
        <v>268</v>
      </c>
      <c r="B3159" t="str">
        <f>_xlfn.XLOOKUP(A3159,[1]Municipios!$B:$B,[1]Municipios!$C:$C)</f>
        <v>Sul</v>
      </c>
      <c r="C3159" t="str">
        <f>_xlfn.XLOOKUP(A3159,[1]Municipios!$B:$B,[1]Municipios!$D:$D)</f>
        <v>Sudoeste Pioneiro</v>
      </c>
      <c r="D3159">
        <v>2025</v>
      </c>
      <c r="E3159" t="s">
        <v>235</v>
      </c>
      <c r="F3159">
        <v>0.42869999999999997</v>
      </c>
      <c r="G3159">
        <v>43.22</v>
      </c>
    </row>
    <row r="3160" spans="1:7" x14ac:dyDescent="0.25">
      <c r="A3160" t="s">
        <v>268</v>
      </c>
      <c r="B3160" t="str">
        <f>_xlfn.XLOOKUP(A3160,[1]Municipios!$B:$B,[1]Municipios!$C:$C)</f>
        <v>Sul</v>
      </c>
      <c r="C3160" t="str">
        <f>_xlfn.XLOOKUP(A3160,[1]Municipios!$B:$B,[1]Municipios!$D:$D)</f>
        <v>Sudoeste Pioneiro</v>
      </c>
      <c r="D3160">
        <v>2025</v>
      </c>
      <c r="E3160" t="s">
        <v>236</v>
      </c>
      <c r="F3160">
        <v>0</v>
      </c>
      <c r="G3160">
        <v>43.22</v>
      </c>
    </row>
    <row r="3161" spans="1:7" x14ac:dyDescent="0.25">
      <c r="A3161" t="s">
        <v>268</v>
      </c>
      <c r="B3161" t="str">
        <f>_xlfn.XLOOKUP(A3161,[1]Municipios!$B:$B,[1]Municipios!$C:$C)</f>
        <v>Sul</v>
      </c>
      <c r="C3161" t="str">
        <f>_xlfn.XLOOKUP(A3161,[1]Municipios!$B:$B,[1]Municipios!$D:$D)</f>
        <v>Sudoeste Pioneiro</v>
      </c>
      <c r="D3161">
        <v>2025</v>
      </c>
      <c r="E3161" t="s">
        <v>237</v>
      </c>
      <c r="F3161">
        <v>0.5</v>
      </c>
      <c r="G3161">
        <v>43.22</v>
      </c>
    </row>
    <row r="3162" spans="1:7" x14ac:dyDescent="0.25">
      <c r="A3162" t="s">
        <v>534</v>
      </c>
      <c r="B3162" t="str">
        <f>_xlfn.XLOOKUP(A3162,[1]Municipios!$B:$B,[1]Municipios!$C:$C)</f>
        <v>Oeste</v>
      </c>
      <c r="C3162" t="str">
        <f>_xlfn.XLOOKUP(A3162,[1]Municipios!$B:$B,[1]Municipios!$D:$D)</f>
        <v>Cantuquiriguaçu</v>
      </c>
      <c r="D3162">
        <v>2025</v>
      </c>
      <c r="E3162" t="s">
        <v>231</v>
      </c>
      <c r="F3162">
        <v>0.66669999999999996</v>
      </c>
      <c r="G3162">
        <v>77.95</v>
      </c>
    </row>
    <row r="3163" spans="1:7" x14ac:dyDescent="0.25">
      <c r="A3163" t="s">
        <v>534</v>
      </c>
      <c r="B3163" t="str">
        <f>_xlfn.XLOOKUP(A3163,[1]Municipios!$B:$B,[1]Municipios!$C:$C)</f>
        <v>Oeste</v>
      </c>
      <c r="C3163" t="str">
        <f>_xlfn.XLOOKUP(A3163,[1]Municipios!$B:$B,[1]Municipios!$D:$D)</f>
        <v>Cantuquiriguaçu</v>
      </c>
      <c r="D3163">
        <v>2025</v>
      </c>
      <c r="E3163" t="s">
        <v>232</v>
      </c>
      <c r="F3163">
        <v>1</v>
      </c>
      <c r="G3163">
        <v>77.95</v>
      </c>
    </row>
    <row r="3164" spans="1:7" x14ac:dyDescent="0.25">
      <c r="A3164" t="s">
        <v>534</v>
      </c>
      <c r="B3164" t="str">
        <f>_xlfn.XLOOKUP(A3164,[1]Municipios!$B:$B,[1]Municipios!$C:$C)</f>
        <v>Oeste</v>
      </c>
      <c r="C3164" t="str">
        <f>_xlfn.XLOOKUP(A3164,[1]Municipios!$B:$B,[1]Municipios!$D:$D)</f>
        <v>Cantuquiriguaçu</v>
      </c>
      <c r="D3164">
        <v>2025</v>
      </c>
      <c r="E3164" t="s">
        <v>233</v>
      </c>
      <c r="F3164">
        <v>0.875</v>
      </c>
      <c r="G3164">
        <v>77.95</v>
      </c>
    </row>
    <row r="3165" spans="1:7" x14ac:dyDescent="0.25">
      <c r="A3165" t="s">
        <v>534</v>
      </c>
      <c r="B3165" t="str">
        <f>_xlfn.XLOOKUP(A3165,[1]Municipios!$B:$B,[1]Municipios!$C:$C)</f>
        <v>Oeste</v>
      </c>
      <c r="C3165" t="str">
        <f>_xlfn.XLOOKUP(A3165,[1]Municipios!$B:$B,[1]Municipios!$D:$D)</f>
        <v>Cantuquiriguaçu</v>
      </c>
      <c r="D3165">
        <v>2025</v>
      </c>
      <c r="E3165" t="s">
        <v>215</v>
      </c>
      <c r="F3165">
        <v>0.95000000000000007</v>
      </c>
      <c r="G3165">
        <v>77.95</v>
      </c>
    </row>
    <row r="3166" spans="1:7" x14ac:dyDescent="0.25">
      <c r="A3166" t="s">
        <v>534</v>
      </c>
      <c r="B3166" t="str">
        <f>_xlfn.XLOOKUP(A3166,[1]Municipios!$B:$B,[1]Municipios!$C:$C)</f>
        <v>Oeste</v>
      </c>
      <c r="C3166" t="str">
        <f>_xlfn.XLOOKUP(A3166,[1]Municipios!$B:$B,[1]Municipios!$D:$D)</f>
        <v>Cantuquiriguaçu</v>
      </c>
      <c r="D3166">
        <v>2025</v>
      </c>
      <c r="E3166" t="s">
        <v>234</v>
      </c>
      <c r="F3166">
        <v>0.44440000000000002</v>
      </c>
      <c r="G3166">
        <v>77.95</v>
      </c>
    </row>
    <row r="3167" spans="1:7" x14ac:dyDescent="0.25">
      <c r="A3167" t="s">
        <v>534</v>
      </c>
      <c r="B3167" t="str">
        <f>_xlfn.XLOOKUP(A3167,[1]Municipios!$B:$B,[1]Municipios!$C:$C)</f>
        <v>Oeste</v>
      </c>
      <c r="C3167" t="str">
        <f>_xlfn.XLOOKUP(A3167,[1]Municipios!$B:$B,[1]Municipios!$D:$D)</f>
        <v>Cantuquiriguaçu</v>
      </c>
      <c r="D3167">
        <v>2025</v>
      </c>
      <c r="E3167" t="s">
        <v>235</v>
      </c>
      <c r="F3167">
        <v>1</v>
      </c>
      <c r="G3167">
        <v>77.95</v>
      </c>
    </row>
    <row r="3168" spans="1:7" x14ac:dyDescent="0.25">
      <c r="A3168" t="s">
        <v>534</v>
      </c>
      <c r="B3168" t="str">
        <f>_xlfn.XLOOKUP(A3168,[1]Municipios!$B:$B,[1]Municipios!$C:$C)</f>
        <v>Oeste</v>
      </c>
      <c r="C3168" t="str">
        <f>_xlfn.XLOOKUP(A3168,[1]Municipios!$B:$B,[1]Municipios!$D:$D)</f>
        <v>Cantuquiriguaçu</v>
      </c>
      <c r="D3168">
        <v>2025</v>
      </c>
      <c r="E3168" t="s">
        <v>236</v>
      </c>
      <c r="F3168">
        <v>0.3846</v>
      </c>
      <c r="G3168">
        <v>77.95</v>
      </c>
    </row>
    <row r="3169" spans="1:7" x14ac:dyDescent="0.25">
      <c r="A3169" t="s">
        <v>534</v>
      </c>
      <c r="B3169" t="str">
        <f>_xlfn.XLOOKUP(A3169,[1]Municipios!$B:$B,[1]Municipios!$C:$C)</f>
        <v>Oeste</v>
      </c>
      <c r="C3169" t="str">
        <f>_xlfn.XLOOKUP(A3169,[1]Municipios!$B:$B,[1]Municipios!$D:$D)</f>
        <v>Cantuquiriguaçu</v>
      </c>
      <c r="D3169">
        <v>2025</v>
      </c>
      <c r="E3169" t="s">
        <v>237</v>
      </c>
      <c r="F3169">
        <v>1</v>
      </c>
      <c r="G3169">
        <v>77.95</v>
      </c>
    </row>
    <row r="3170" spans="1:7" x14ac:dyDescent="0.25">
      <c r="A3170" t="s">
        <v>269</v>
      </c>
      <c r="B3170" t="str">
        <f>_xlfn.XLOOKUP(A3170,[1]Municipios!$B:$B,[1]Municipios!$C:$C)</f>
        <v>Sul</v>
      </c>
      <c r="C3170" t="str">
        <f>_xlfn.XLOOKUP(A3170,[1]Municipios!$B:$B,[1]Municipios!$D:$D)</f>
        <v>Sudoeste Pioneiro</v>
      </c>
      <c r="D3170">
        <v>2025</v>
      </c>
      <c r="E3170" t="s">
        <v>231</v>
      </c>
      <c r="F3170">
        <v>0.88890000000000002</v>
      </c>
      <c r="G3170">
        <v>60.77</v>
      </c>
    </row>
    <row r="3171" spans="1:7" x14ac:dyDescent="0.25">
      <c r="A3171" t="s">
        <v>269</v>
      </c>
      <c r="B3171" t="str">
        <f>_xlfn.XLOOKUP(A3171,[1]Municipios!$B:$B,[1]Municipios!$C:$C)</f>
        <v>Sul</v>
      </c>
      <c r="C3171" t="str">
        <f>_xlfn.XLOOKUP(A3171,[1]Municipios!$B:$B,[1]Municipios!$D:$D)</f>
        <v>Sudoeste Pioneiro</v>
      </c>
      <c r="D3171">
        <v>2025</v>
      </c>
      <c r="E3171" t="s">
        <v>232</v>
      </c>
      <c r="F3171">
        <v>0.84609999999999996</v>
      </c>
      <c r="G3171">
        <v>60.77</v>
      </c>
    </row>
    <row r="3172" spans="1:7" x14ac:dyDescent="0.25">
      <c r="A3172" t="s">
        <v>269</v>
      </c>
      <c r="B3172" t="str">
        <f>_xlfn.XLOOKUP(A3172,[1]Municipios!$B:$B,[1]Municipios!$C:$C)</f>
        <v>Sul</v>
      </c>
      <c r="C3172" t="str">
        <f>_xlfn.XLOOKUP(A3172,[1]Municipios!$B:$B,[1]Municipios!$D:$D)</f>
        <v>Sudoeste Pioneiro</v>
      </c>
      <c r="D3172">
        <v>2025</v>
      </c>
      <c r="E3172" t="s">
        <v>233</v>
      </c>
      <c r="F3172">
        <v>0.625</v>
      </c>
      <c r="G3172">
        <v>60.77</v>
      </c>
    </row>
    <row r="3173" spans="1:7" x14ac:dyDescent="0.25">
      <c r="A3173" t="s">
        <v>269</v>
      </c>
      <c r="B3173" t="str">
        <f>_xlfn.XLOOKUP(A3173,[1]Municipios!$B:$B,[1]Municipios!$C:$C)</f>
        <v>Sul</v>
      </c>
      <c r="C3173" t="str">
        <f>_xlfn.XLOOKUP(A3173,[1]Municipios!$B:$B,[1]Municipios!$D:$D)</f>
        <v>Sudoeste Pioneiro</v>
      </c>
      <c r="D3173">
        <v>2025</v>
      </c>
      <c r="E3173" t="s">
        <v>215</v>
      </c>
      <c r="F3173">
        <v>0.75</v>
      </c>
      <c r="G3173">
        <v>60.77</v>
      </c>
    </row>
    <row r="3174" spans="1:7" x14ac:dyDescent="0.25">
      <c r="A3174" t="s">
        <v>269</v>
      </c>
      <c r="B3174" t="str">
        <f>_xlfn.XLOOKUP(A3174,[1]Municipios!$B:$B,[1]Municipios!$C:$C)</f>
        <v>Sul</v>
      </c>
      <c r="C3174" t="str">
        <f>_xlfn.XLOOKUP(A3174,[1]Municipios!$B:$B,[1]Municipios!$D:$D)</f>
        <v>Sudoeste Pioneiro</v>
      </c>
      <c r="D3174">
        <v>2025</v>
      </c>
      <c r="E3174" t="s">
        <v>234</v>
      </c>
      <c r="F3174">
        <v>0.55549999999999999</v>
      </c>
      <c r="G3174">
        <v>60.77</v>
      </c>
    </row>
    <row r="3175" spans="1:7" x14ac:dyDescent="0.25">
      <c r="A3175" t="s">
        <v>269</v>
      </c>
      <c r="B3175" t="str">
        <f>_xlfn.XLOOKUP(A3175,[1]Municipios!$B:$B,[1]Municipios!$C:$C)</f>
        <v>Sul</v>
      </c>
      <c r="C3175" t="str">
        <f>_xlfn.XLOOKUP(A3175,[1]Municipios!$B:$B,[1]Municipios!$D:$D)</f>
        <v>Sudoeste Pioneiro</v>
      </c>
      <c r="D3175">
        <v>2025</v>
      </c>
      <c r="E3175" t="s">
        <v>235</v>
      </c>
      <c r="F3175">
        <v>0.57150000000000001</v>
      </c>
      <c r="G3175">
        <v>60.77</v>
      </c>
    </row>
    <row r="3176" spans="1:7" x14ac:dyDescent="0.25">
      <c r="A3176" t="s">
        <v>269</v>
      </c>
      <c r="B3176" t="str">
        <f>_xlfn.XLOOKUP(A3176,[1]Municipios!$B:$B,[1]Municipios!$C:$C)</f>
        <v>Sul</v>
      </c>
      <c r="C3176" t="str">
        <f>_xlfn.XLOOKUP(A3176,[1]Municipios!$B:$B,[1]Municipios!$D:$D)</f>
        <v>Sudoeste Pioneiro</v>
      </c>
      <c r="D3176">
        <v>2025</v>
      </c>
      <c r="E3176" t="s">
        <v>236</v>
      </c>
      <c r="F3176">
        <v>7.6999999999999999E-2</v>
      </c>
      <c r="G3176">
        <v>60.77</v>
      </c>
    </row>
    <row r="3177" spans="1:7" x14ac:dyDescent="0.25">
      <c r="A3177" t="s">
        <v>269</v>
      </c>
      <c r="B3177" t="str">
        <f>_xlfn.XLOOKUP(A3177,[1]Municipios!$B:$B,[1]Municipios!$C:$C)</f>
        <v>Sul</v>
      </c>
      <c r="C3177" t="str">
        <f>_xlfn.XLOOKUP(A3177,[1]Municipios!$B:$B,[1]Municipios!$D:$D)</f>
        <v>Sudoeste Pioneiro</v>
      </c>
      <c r="D3177">
        <v>2025</v>
      </c>
      <c r="E3177" t="s">
        <v>237</v>
      </c>
      <c r="F3177">
        <v>0.5</v>
      </c>
      <c r="G3177">
        <v>60.77</v>
      </c>
    </row>
    <row r="3178" spans="1:7" x14ac:dyDescent="0.25">
      <c r="A3178" t="s">
        <v>362</v>
      </c>
      <c r="B3178" t="str">
        <f>_xlfn.XLOOKUP(A3178,[1]Municipios!$B:$B,[1]Municipios!$C:$C)</f>
        <v>Norte</v>
      </c>
      <c r="C3178" t="str">
        <f>_xlfn.XLOOKUP(A3178,[1]Municipios!$B:$B,[1]Municipios!$D:$D)</f>
        <v>Norte Pioneiro</v>
      </c>
      <c r="D3178">
        <v>2025</v>
      </c>
      <c r="E3178" t="s">
        <v>231</v>
      </c>
      <c r="F3178">
        <v>0.88890000000000002</v>
      </c>
      <c r="G3178">
        <v>90.27</v>
      </c>
    </row>
    <row r="3179" spans="1:7" x14ac:dyDescent="0.25">
      <c r="A3179" t="s">
        <v>362</v>
      </c>
      <c r="B3179" t="str">
        <f>_xlfn.XLOOKUP(A3179,[1]Municipios!$B:$B,[1]Municipios!$C:$C)</f>
        <v>Norte</v>
      </c>
      <c r="C3179" t="str">
        <f>_xlfn.XLOOKUP(A3179,[1]Municipios!$B:$B,[1]Municipios!$D:$D)</f>
        <v>Norte Pioneiro</v>
      </c>
      <c r="D3179">
        <v>2025</v>
      </c>
      <c r="E3179" t="s">
        <v>232</v>
      </c>
      <c r="F3179">
        <v>1</v>
      </c>
      <c r="G3179">
        <v>90.27</v>
      </c>
    </row>
    <row r="3180" spans="1:7" x14ac:dyDescent="0.25">
      <c r="A3180" t="s">
        <v>362</v>
      </c>
      <c r="B3180" t="str">
        <f>_xlfn.XLOOKUP(A3180,[1]Municipios!$B:$B,[1]Municipios!$C:$C)</f>
        <v>Norte</v>
      </c>
      <c r="C3180" t="str">
        <f>_xlfn.XLOOKUP(A3180,[1]Municipios!$B:$B,[1]Municipios!$D:$D)</f>
        <v>Norte Pioneiro</v>
      </c>
      <c r="D3180">
        <v>2025</v>
      </c>
      <c r="E3180" t="s">
        <v>233</v>
      </c>
      <c r="F3180">
        <v>0.75</v>
      </c>
      <c r="G3180">
        <v>90.27</v>
      </c>
    </row>
    <row r="3181" spans="1:7" x14ac:dyDescent="0.25">
      <c r="A3181" t="s">
        <v>362</v>
      </c>
      <c r="B3181" t="str">
        <f>_xlfn.XLOOKUP(A3181,[1]Municipios!$B:$B,[1]Municipios!$C:$C)</f>
        <v>Norte</v>
      </c>
      <c r="C3181" t="str">
        <f>_xlfn.XLOOKUP(A3181,[1]Municipios!$B:$B,[1]Municipios!$D:$D)</f>
        <v>Norte Pioneiro</v>
      </c>
      <c r="D3181">
        <v>2025</v>
      </c>
      <c r="E3181" t="s">
        <v>215</v>
      </c>
      <c r="F3181">
        <v>0.95000000000000007</v>
      </c>
      <c r="G3181">
        <v>90.27</v>
      </c>
    </row>
    <row r="3182" spans="1:7" x14ac:dyDescent="0.25">
      <c r="A3182" t="s">
        <v>362</v>
      </c>
      <c r="B3182" t="str">
        <f>_xlfn.XLOOKUP(A3182,[1]Municipios!$B:$B,[1]Municipios!$C:$C)</f>
        <v>Norte</v>
      </c>
      <c r="C3182" t="str">
        <f>_xlfn.XLOOKUP(A3182,[1]Municipios!$B:$B,[1]Municipios!$D:$D)</f>
        <v>Norte Pioneiro</v>
      </c>
      <c r="D3182">
        <v>2025</v>
      </c>
      <c r="E3182" t="s">
        <v>234</v>
      </c>
      <c r="F3182">
        <v>0.77780000000000005</v>
      </c>
      <c r="G3182">
        <v>90.27</v>
      </c>
    </row>
    <row r="3183" spans="1:7" x14ac:dyDescent="0.25">
      <c r="A3183" t="s">
        <v>362</v>
      </c>
      <c r="B3183" t="str">
        <f>_xlfn.XLOOKUP(A3183,[1]Municipios!$B:$B,[1]Municipios!$C:$C)</f>
        <v>Norte</v>
      </c>
      <c r="C3183" t="str">
        <f>_xlfn.XLOOKUP(A3183,[1]Municipios!$B:$B,[1]Municipios!$D:$D)</f>
        <v>Norte Pioneiro</v>
      </c>
      <c r="D3183">
        <v>2025</v>
      </c>
      <c r="E3183" t="s">
        <v>235</v>
      </c>
      <c r="F3183">
        <v>1</v>
      </c>
      <c r="G3183">
        <v>90.27</v>
      </c>
    </row>
    <row r="3184" spans="1:7" x14ac:dyDescent="0.25">
      <c r="A3184" t="s">
        <v>362</v>
      </c>
      <c r="B3184" t="str">
        <f>_xlfn.XLOOKUP(A3184,[1]Municipios!$B:$B,[1]Municipios!$C:$C)</f>
        <v>Norte</v>
      </c>
      <c r="C3184" t="str">
        <f>_xlfn.XLOOKUP(A3184,[1]Municipios!$B:$B,[1]Municipios!$D:$D)</f>
        <v>Norte Pioneiro</v>
      </c>
      <c r="D3184">
        <v>2025</v>
      </c>
      <c r="E3184" t="s">
        <v>236</v>
      </c>
      <c r="F3184">
        <v>0.76929999999999987</v>
      </c>
      <c r="G3184">
        <v>90.27</v>
      </c>
    </row>
    <row r="3185" spans="1:7" x14ac:dyDescent="0.25">
      <c r="A3185" t="s">
        <v>362</v>
      </c>
      <c r="B3185" t="str">
        <f>_xlfn.XLOOKUP(A3185,[1]Municipios!$B:$B,[1]Municipios!$C:$C)</f>
        <v>Norte</v>
      </c>
      <c r="C3185" t="str">
        <f>_xlfn.XLOOKUP(A3185,[1]Municipios!$B:$B,[1]Municipios!$D:$D)</f>
        <v>Norte Pioneiro</v>
      </c>
      <c r="D3185">
        <v>2025</v>
      </c>
      <c r="E3185" t="s">
        <v>237</v>
      </c>
      <c r="F3185">
        <v>1</v>
      </c>
      <c r="G3185">
        <v>90.27</v>
      </c>
    </row>
    <row r="3186" spans="1:7" x14ac:dyDescent="0.25">
      <c r="A3186" t="s">
        <v>634</v>
      </c>
      <c r="B3186" t="str">
        <f>_xlfn.XLOOKUP(A3186,[1]Municipios!$B:$B,[1]Municipios!$C:$C)</f>
        <v>Noroeste</v>
      </c>
      <c r="C3186" t="str">
        <f>_xlfn.XLOOKUP(A3186,[1]Municipios!$B:$B,[1]Municipios!$D:$D)</f>
        <v>Arenito-Caiuá</v>
      </c>
      <c r="D3186">
        <v>2025</v>
      </c>
      <c r="E3186" t="s">
        <v>231</v>
      </c>
      <c r="F3186">
        <v>0.66659999999999997</v>
      </c>
      <c r="G3186">
        <v>44.12</v>
      </c>
    </row>
    <row r="3187" spans="1:7" x14ac:dyDescent="0.25">
      <c r="A3187" t="s">
        <v>634</v>
      </c>
      <c r="B3187" t="str">
        <f>_xlfn.XLOOKUP(A3187,[1]Municipios!$B:$B,[1]Municipios!$C:$C)</f>
        <v>Noroeste</v>
      </c>
      <c r="C3187" t="str">
        <f>_xlfn.XLOOKUP(A3187,[1]Municipios!$B:$B,[1]Municipios!$D:$D)</f>
        <v>Arenito-Caiuá</v>
      </c>
      <c r="D3187">
        <v>2025</v>
      </c>
      <c r="E3187" t="s">
        <v>232</v>
      </c>
      <c r="F3187">
        <v>0.76929999999999998</v>
      </c>
      <c r="G3187">
        <v>44.12</v>
      </c>
    </row>
    <row r="3188" spans="1:7" x14ac:dyDescent="0.25">
      <c r="A3188" t="s">
        <v>634</v>
      </c>
      <c r="B3188" t="str">
        <f>_xlfn.XLOOKUP(A3188,[1]Municipios!$B:$B,[1]Municipios!$C:$C)</f>
        <v>Noroeste</v>
      </c>
      <c r="C3188" t="str">
        <f>_xlfn.XLOOKUP(A3188,[1]Municipios!$B:$B,[1]Municipios!$D:$D)</f>
        <v>Arenito-Caiuá</v>
      </c>
      <c r="D3188">
        <v>2025</v>
      </c>
      <c r="E3188" t="s">
        <v>233</v>
      </c>
      <c r="F3188">
        <v>0.25</v>
      </c>
      <c r="G3188">
        <v>44.12</v>
      </c>
    </row>
    <row r="3189" spans="1:7" x14ac:dyDescent="0.25">
      <c r="A3189" t="s">
        <v>634</v>
      </c>
      <c r="B3189" t="str">
        <f>_xlfn.XLOOKUP(A3189,[1]Municipios!$B:$B,[1]Municipios!$C:$C)</f>
        <v>Noroeste</v>
      </c>
      <c r="C3189" t="str">
        <f>_xlfn.XLOOKUP(A3189,[1]Municipios!$B:$B,[1]Municipios!$D:$D)</f>
        <v>Arenito-Caiuá</v>
      </c>
      <c r="D3189">
        <v>2025</v>
      </c>
      <c r="E3189" t="s">
        <v>215</v>
      </c>
      <c r="F3189">
        <v>0.75</v>
      </c>
      <c r="G3189">
        <v>44.12</v>
      </c>
    </row>
    <row r="3190" spans="1:7" x14ac:dyDescent="0.25">
      <c r="A3190" t="s">
        <v>634</v>
      </c>
      <c r="B3190" t="str">
        <f>_xlfn.XLOOKUP(A3190,[1]Municipios!$B:$B,[1]Municipios!$C:$C)</f>
        <v>Noroeste</v>
      </c>
      <c r="C3190" t="str">
        <f>_xlfn.XLOOKUP(A3190,[1]Municipios!$B:$B,[1]Municipios!$D:$D)</f>
        <v>Arenito-Caiuá</v>
      </c>
      <c r="D3190">
        <v>2025</v>
      </c>
      <c r="E3190" t="s">
        <v>234</v>
      </c>
      <c r="F3190">
        <v>0.22220000000000001</v>
      </c>
      <c r="G3190">
        <v>44.12</v>
      </c>
    </row>
    <row r="3191" spans="1:7" x14ac:dyDescent="0.25">
      <c r="A3191" t="s">
        <v>634</v>
      </c>
      <c r="B3191" t="str">
        <f>_xlfn.XLOOKUP(A3191,[1]Municipios!$B:$B,[1]Municipios!$C:$C)</f>
        <v>Noroeste</v>
      </c>
      <c r="C3191" t="str">
        <f>_xlfn.XLOOKUP(A3191,[1]Municipios!$B:$B,[1]Municipios!$D:$D)</f>
        <v>Arenito-Caiuá</v>
      </c>
      <c r="D3191">
        <v>2025</v>
      </c>
      <c r="E3191" t="s">
        <v>235</v>
      </c>
      <c r="F3191">
        <v>0.28570000000000001</v>
      </c>
      <c r="G3191">
        <v>44.12</v>
      </c>
    </row>
    <row r="3192" spans="1:7" x14ac:dyDescent="0.25">
      <c r="A3192" t="s">
        <v>634</v>
      </c>
      <c r="B3192" t="str">
        <f>_xlfn.XLOOKUP(A3192,[1]Municipios!$B:$B,[1]Municipios!$C:$C)</f>
        <v>Noroeste</v>
      </c>
      <c r="C3192" t="str">
        <f>_xlfn.XLOOKUP(A3192,[1]Municipios!$B:$B,[1]Municipios!$D:$D)</f>
        <v>Arenito-Caiuá</v>
      </c>
      <c r="D3192">
        <v>2025</v>
      </c>
      <c r="E3192" t="s">
        <v>236</v>
      </c>
      <c r="F3192">
        <v>0</v>
      </c>
      <c r="G3192">
        <v>44.12</v>
      </c>
    </row>
    <row r="3193" spans="1:7" x14ac:dyDescent="0.25">
      <c r="A3193" t="s">
        <v>634</v>
      </c>
      <c r="B3193" t="str">
        <f>_xlfn.XLOOKUP(A3193,[1]Municipios!$B:$B,[1]Municipios!$C:$C)</f>
        <v>Noroeste</v>
      </c>
      <c r="C3193" t="str">
        <f>_xlfn.XLOOKUP(A3193,[1]Municipios!$B:$B,[1]Municipios!$D:$D)</f>
        <v>Arenito-Caiuá</v>
      </c>
      <c r="D3193">
        <v>2025</v>
      </c>
      <c r="E3193" t="s">
        <v>237</v>
      </c>
      <c r="F3193">
        <v>0.5</v>
      </c>
      <c r="G3193">
        <v>44.12</v>
      </c>
    </row>
  </sheetData>
  <autoFilter ref="A1:G3193" xr:uid="{2B313B57-EA5E-4DB5-8EB9-76A3D2200F4E}">
    <sortState xmlns:xlrd2="http://schemas.microsoft.com/office/spreadsheetml/2017/richdata2" ref="A2:G3193">
      <sortCondition ref="A1"/>
    </sortState>
  </autoFilter>
  <pageMargins left="0.511811024" right="0.511811024" top="0.78740157499999996" bottom="0.78740157499999996" header="0.31496062000000002" footer="0.31496062000000002"/>
  <headerFooter>
    <oddHeader>&amp;R&amp;"Aptos"&amp;20&amp;K0000FF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1337-4F13-4D1E-A433-D34CCCBCBA32}">
  <dimension ref="A1:G248"/>
  <sheetViews>
    <sheetView topLeftCell="A195" workbookViewId="0">
      <selection activeCell="H208" sqref="H208"/>
    </sheetView>
  </sheetViews>
  <sheetFormatPr defaultRowHeight="15" x14ac:dyDescent="0.25"/>
  <cols>
    <col min="1" max="1" width="30.7109375" bestFit="1" customWidth="1"/>
    <col min="2" max="2" width="59" customWidth="1"/>
    <col min="3" max="3" width="14.28515625" bestFit="1" customWidth="1"/>
    <col min="4" max="4" width="14.28515625" style="2" bestFit="1" customWidth="1"/>
    <col min="5" max="5" width="3.85546875" customWidth="1"/>
    <col min="6" max="6" width="3.42578125" customWidth="1"/>
    <col min="7" max="7" width="13.28515625" bestFit="1" customWidth="1"/>
    <col min="8" max="8" width="16.28515625" customWidth="1"/>
    <col min="9" max="9" width="12.42578125" bestFit="1" customWidth="1"/>
  </cols>
  <sheetData>
    <row r="1" spans="1:4" x14ac:dyDescent="0.25">
      <c r="A1" s="3" t="s">
        <v>209</v>
      </c>
      <c r="B1" s="3" t="s">
        <v>208</v>
      </c>
      <c r="C1" s="4" t="s">
        <v>0</v>
      </c>
      <c r="D1" s="4" t="s">
        <v>207</v>
      </c>
    </row>
    <row r="2" spans="1:4" x14ac:dyDescent="0.25">
      <c r="A2" s="5" t="s">
        <v>1</v>
      </c>
      <c r="B2" s="6" t="s">
        <v>2</v>
      </c>
      <c r="C2" s="7">
        <v>0</v>
      </c>
      <c r="D2" s="7">
        <f>C2*0.4</f>
        <v>0</v>
      </c>
    </row>
    <row r="3" spans="1:4" x14ac:dyDescent="0.25">
      <c r="A3" s="5" t="s">
        <v>1</v>
      </c>
      <c r="B3" s="6" t="s">
        <v>3</v>
      </c>
      <c r="C3" s="7">
        <v>39000</v>
      </c>
      <c r="D3" s="7">
        <f t="shared" ref="D3:D6" si="0">C3*0.4</f>
        <v>15600</v>
      </c>
    </row>
    <row r="4" spans="1:4" x14ac:dyDescent="0.25">
      <c r="A4" s="1" t="s">
        <v>4</v>
      </c>
      <c r="B4" t="s">
        <v>2</v>
      </c>
      <c r="C4" s="2">
        <v>5544</v>
      </c>
      <c r="D4" s="2">
        <v>2218</v>
      </c>
    </row>
    <row r="5" spans="1:4" x14ac:dyDescent="0.25">
      <c r="A5" s="1" t="s">
        <v>4</v>
      </c>
      <c r="B5" t="s">
        <v>3</v>
      </c>
      <c r="C5" s="2">
        <v>37830</v>
      </c>
      <c r="D5" s="2">
        <f t="shared" si="0"/>
        <v>15132</v>
      </c>
    </row>
    <row r="6" spans="1:4" x14ac:dyDescent="0.25">
      <c r="A6" s="1" t="s">
        <v>4</v>
      </c>
      <c r="B6" t="s">
        <v>193</v>
      </c>
      <c r="C6" s="2">
        <v>49140</v>
      </c>
      <c r="D6" s="2">
        <f t="shared" si="0"/>
        <v>19656</v>
      </c>
    </row>
    <row r="7" spans="1:4" x14ac:dyDescent="0.25">
      <c r="A7" s="1" t="s">
        <v>4</v>
      </c>
      <c r="B7" t="s">
        <v>638</v>
      </c>
      <c r="C7" s="2">
        <v>390</v>
      </c>
      <c r="D7" s="2">
        <f t="shared" ref="D7:D21" si="1">C7*0.4</f>
        <v>156</v>
      </c>
    </row>
    <row r="8" spans="1:4" x14ac:dyDescent="0.25">
      <c r="A8" s="1" t="s">
        <v>4</v>
      </c>
      <c r="B8" t="s">
        <v>639</v>
      </c>
      <c r="C8" s="2">
        <v>0</v>
      </c>
      <c r="D8" s="2">
        <f t="shared" si="1"/>
        <v>0</v>
      </c>
    </row>
    <row r="9" spans="1:4" x14ac:dyDescent="0.25">
      <c r="A9" s="1" t="s">
        <v>4</v>
      </c>
      <c r="B9" t="s">
        <v>640</v>
      </c>
      <c r="C9" s="2">
        <v>2340</v>
      </c>
      <c r="D9" s="2">
        <f t="shared" si="1"/>
        <v>936</v>
      </c>
    </row>
    <row r="10" spans="1:4" x14ac:dyDescent="0.25">
      <c r="A10" s="1" t="s">
        <v>4</v>
      </c>
      <c r="B10" t="s">
        <v>641</v>
      </c>
      <c r="C10" s="2">
        <v>17550</v>
      </c>
      <c r="D10" s="2">
        <f t="shared" si="1"/>
        <v>7020</v>
      </c>
    </row>
    <row r="11" spans="1:4" x14ac:dyDescent="0.25">
      <c r="A11" s="1" t="s">
        <v>4</v>
      </c>
      <c r="B11" t="s">
        <v>642</v>
      </c>
      <c r="C11" s="2">
        <v>0</v>
      </c>
      <c r="D11" s="2">
        <f t="shared" si="1"/>
        <v>0</v>
      </c>
    </row>
    <row r="12" spans="1:4" x14ac:dyDescent="0.25">
      <c r="A12" s="1" t="s">
        <v>4</v>
      </c>
      <c r="B12" t="s">
        <v>643</v>
      </c>
      <c r="C12" s="2">
        <v>1560</v>
      </c>
      <c r="D12" s="2">
        <f t="shared" si="1"/>
        <v>624</v>
      </c>
    </row>
    <row r="13" spans="1:4" x14ac:dyDescent="0.25">
      <c r="A13" s="1" t="s">
        <v>4</v>
      </c>
      <c r="B13" t="s">
        <v>644</v>
      </c>
      <c r="C13" s="2">
        <v>15990</v>
      </c>
      <c r="D13" s="2">
        <f t="shared" si="1"/>
        <v>6396</v>
      </c>
    </row>
    <row r="14" spans="1:4" x14ac:dyDescent="0.25">
      <c r="A14" s="1" t="s">
        <v>4</v>
      </c>
      <c r="B14" t="s">
        <v>645</v>
      </c>
      <c r="C14" s="2">
        <v>25350</v>
      </c>
      <c r="D14" s="2">
        <f t="shared" si="1"/>
        <v>10140</v>
      </c>
    </row>
    <row r="15" spans="1:4" x14ac:dyDescent="0.25">
      <c r="A15" s="1" t="s">
        <v>4</v>
      </c>
      <c r="B15" t="s">
        <v>646</v>
      </c>
      <c r="C15" s="2">
        <v>7800</v>
      </c>
      <c r="D15" s="2">
        <f t="shared" si="1"/>
        <v>3120</v>
      </c>
    </row>
    <row r="16" spans="1:4" x14ac:dyDescent="0.25">
      <c r="A16" s="1" t="s">
        <v>4</v>
      </c>
      <c r="B16" t="s">
        <v>647</v>
      </c>
      <c r="C16" s="2">
        <v>15990</v>
      </c>
      <c r="D16" s="2">
        <f t="shared" si="1"/>
        <v>6396</v>
      </c>
    </row>
    <row r="17" spans="1:4" x14ac:dyDescent="0.25">
      <c r="A17" s="1" t="s">
        <v>4</v>
      </c>
      <c r="B17" t="s">
        <v>648</v>
      </c>
      <c r="C17" s="2">
        <v>3120</v>
      </c>
      <c r="D17" s="2">
        <f t="shared" si="1"/>
        <v>1248</v>
      </c>
    </row>
    <row r="18" spans="1:4" x14ac:dyDescent="0.25">
      <c r="A18" s="1" t="s">
        <v>4</v>
      </c>
      <c r="B18" t="s">
        <v>649</v>
      </c>
      <c r="C18" s="2">
        <v>35100</v>
      </c>
      <c r="D18" s="2">
        <f t="shared" si="1"/>
        <v>14040</v>
      </c>
    </row>
    <row r="19" spans="1:4" x14ac:dyDescent="0.25">
      <c r="A19" s="1" t="s">
        <v>4</v>
      </c>
      <c r="B19" t="s">
        <v>650</v>
      </c>
      <c r="C19" s="2">
        <v>59475</v>
      </c>
      <c r="D19" s="2">
        <f t="shared" si="1"/>
        <v>23790</v>
      </c>
    </row>
    <row r="20" spans="1:4" x14ac:dyDescent="0.25">
      <c r="A20" s="1" t="s">
        <v>4</v>
      </c>
      <c r="B20" t="s">
        <v>651</v>
      </c>
      <c r="C20" s="2">
        <v>10725</v>
      </c>
      <c r="D20" s="2">
        <f t="shared" si="1"/>
        <v>4290</v>
      </c>
    </row>
    <row r="21" spans="1:4" x14ac:dyDescent="0.25">
      <c r="A21" s="1" t="s">
        <v>4</v>
      </c>
      <c r="B21" t="s">
        <v>652</v>
      </c>
      <c r="C21" s="2">
        <v>42900</v>
      </c>
      <c r="D21" s="2">
        <f t="shared" si="1"/>
        <v>17160</v>
      </c>
    </row>
    <row r="22" spans="1:4" x14ac:dyDescent="0.25">
      <c r="A22" s="5" t="s">
        <v>5</v>
      </c>
      <c r="B22" s="6" t="s">
        <v>6</v>
      </c>
      <c r="C22" s="7">
        <v>7500</v>
      </c>
      <c r="D22" s="7">
        <f>C22</f>
        <v>7500</v>
      </c>
    </row>
    <row r="23" spans="1:4" x14ac:dyDescent="0.25">
      <c r="A23" s="5" t="s">
        <v>5</v>
      </c>
      <c r="B23" s="6" t="s">
        <v>7</v>
      </c>
      <c r="C23" s="7">
        <v>2255.9999999999995</v>
      </c>
      <c r="D23" s="7">
        <f t="shared" ref="D23:D56" si="2">C23</f>
        <v>2255.9999999999995</v>
      </c>
    </row>
    <row r="24" spans="1:4" x14ac:dyDescent="0.25">
      <c r="A24" s="5" t="s">
        <v>5</v>
      </c>
      <c r="B24" s="6" t="s">
        <v>8</v>
      </c>
      <c r="C24" s="7">
        <v>3007.9999999999995</v>
      </c>
      <c r="D24" s="7">
        <f t="shared" si="2"/>
        <v>3007.9999999999995</v>
      </c>
    </row>
    <row r="25" spans="1:4" x14ac:dyDescent="0.25">
      <c r="A25" s="5" t="s">
        <v>5</v>
      </c>
      <c r="B25" s="6" t="s">
        <v>9</v>
      </c>
      <c r="C25" s="7">
        <v>2834.9999999999995</v>
      </c>
      <c r="D25" s="7">
        <f t="shared" si="2"/>
        <v>2834.9999999999995</v>
      </c>
    </row>
    <row r="26" spans="1:4" x14ac:dyDescent="0.25">
      <c r="A26" s="5" t="s">
        <v>5</v>
      </c>
      <c r="B26" s="6" t="s">
        <v>10</v>
      </c>
      <c r="C26" s="7">
        <v>3401.9999999999995</v>
      </c>
      <c r="D26" s="7">
        <f t="shared" si="2"/>
        <v>3401.9999999999995</v>
      </c>
    </row>
    <row r="27" spans="1:4" x14ac:dyDescent="0.25">
      <c r="A27" s="5" t="s">
        <v>5</v>
      </c>
      <c r="B27" s="6" t="s">
        <v>11</v>
      </c>
      <c r="C27" s="7">
        <v>3968.9999999999995</v>
      </c>
      <c r="D27" s="7">
        <f t="shared" si="2"/>
        <v>3968.9999999999995</v>
      </c>
    </row>
    <row r="28" spans="1:4" x14ac:dyDescent="0.25">
      <c r="A28" s="5" t="s">
        <v>5</v>
      </c>
      <c r="B28" s="6" t="s">
        <v>12</v>
      </c>
      <c r="C28" s="7">
        <v>4535.9999999999991</v>
      </c>
      <c r="D28" s="7">
        <f t="shared" si="2"/>
        <v>4535.9999999999991</v>
      </c>
    </row>
    <row r="29" spans="1:4" x14ac:dyDescent="0.25">
      <c r="A29" s="5" t="s">
        <v>5</v>
      </c>
      <c r="B29" s="6" t="s">
        <v>13</v>
      </c>
      <c r="C29" s="7">
        <v>5102.9999999999991</v>
      </c>
      <c r="D29" s="7">
        <f t="shared" si="2"/>
        <v>5102.9999999999991</v>
      </c>
    </row>
    <row r="30" spans="1:4" x14ac:dyDescent="0.25">
      <c r="A30" s="5" t="s">
        <v>5</v>
      </c>
      <c r="B30" s="6" t="s">
        <v>14</v>
      </c>
      <c r="C30" s="7">
        <v>3940</v>
      </c>
      <c r="D30" s="7">
        <f t="shared" si="2"/>
        <v>3940</v>
      </c>
    </row>
    <row r="31" spans="1:4" x14ac:dyDescent="0.25">
      <c r="A31" s="5" t="s">
        <v>5</v>
      </c>
      <c r="B31" s="6" t="s">
        <v>15</v>
      </c>
      <c r="C31" s="7">
        <v>5910</v>
      </c>
      <c r="D31" s="7">
        <f t="shared" si="2"/>
        <v>5910</v>
      </c>
    </row>
    <row r="32" spans="1:4" x14ac:dyDescent="0.25">
      <c r="A32" s="5" t="s">
        <v>5</v>
      </c>
      <c r="B32" s="6" t="s">
        <v>16</v>
      </c>
      <c r="C32" s="7">
        <v>7880</v>
      </c>
      <c r="D32" s="7">
        <f t="shared" si="2"/>
        <v>7880</v>
      </c>
    </row>
    <row r="33" spans="1:4" x14ac:dyDescent="0.25">
      <c r="A33" s="5" t="s">
        <v>5</v>
      </c>
      <c r="B33" s="6" t="s">
        <v>17</v>
      </c>
      <c r="C33" s="7">
        <v>9850</v>
      </c>
      <c r="D33" s="7">
        <f t="shared" si="2"/>
        <v>9850</v>
      </c>
    </row>
    <row r="34" spans="1:4" x14ac:dyDescent="0.25">
      <c r="A34" s="5" t="s">
        <v>5</v>
      </c>
      <c r="B34" s="6" t="s">
        <v>18</v>
      </c>
      <c r="C34" s="7">
        <v>11820</v>
      </c>
      <c r="D34" s="7">
        <f t="shared" si="2"/>
        <v>11820</v>
      </c>
    </row>
    <row r="35" spans="1:4" x14ac:dyDescent="0.25">
      <c r="A35" s="5" t="s">
        <v>5</v>
      </c>
      <c r="B35" s="6" t="s">
        <v>19</v>
      </c>
      <c r="C35" s="7">
        <v>13790</v>
      </c>
      <c r="D35" s="7">
        <f t="shared" si="2"/>
        <v>13790</v>
      </c>
    </row>
    <row r="36" spans="1:4" x14ac:dyDescent="0.25">
      <c r="A36" s="5" t="s">
        <v>5</v>
      </c>
      <c r="B36" s="6" t="s">
        <v>20</v>
      </c>
      <c r="C36" s="7">
        <v>15760</v>
      </c>
      <c r="D36" s="7">
        <f t="shared" si="2"/>
        <v>15760</v>
      </c>
    </row>
    <row r="37" spans="1:4" x14ac:dyDescent="0.25">
      <c r="A37" s="5" t="s">
        <v>5</v>
      </c>
      <c r="B37" s="6" t="s">
        <v>21</v>
      </c>
      <c r="C37" s="7">
        <v>17730</v>
      </c>
      <c r="D37" s="7">
        <f t="shared" si="2"/>
        <v>17730</v>
      </c>
    </row>
    <row r="38" spans="1:4" x14ac:dyDescent="0.25">
      <c r="A38" s="5" t="s">
        <v>5</v>
      </c>
      <c r="B38" s="6" t="s">
        <v>22</v>
      </c>
      <c r="C38" s="7">
        <v>15550</v>
      </c>
      <c r="D38" s="7">
        <f t="shared" si="2"/>
        <v>15550</v>
      </c>
    </row>
    <row r="39" spans="1:4" x14ac:dyDescent="0.25">
      <c r="A39" s="5" t="s">
        <v>5</v>
      </c>
      <c r="B39" s="6" t="s">
        <v>23</v>
      </c>
      <c r="C39" s="7">
        <v>28699.999999999996</v>
      </c>
      <c r="D39" s="7">
        <f t="shared" si="2"/>
        <v>28699.999999999996</v>
      </c>
    </row>
    <row r="40" spans="1:4" x14ac:dyDescent="0.25">
      <c r="A40" s="5" t="s">
        <v>5</v>
      </c>
      <c r="B40" s="6" t="s">
        <v>24</v>
      </c>
      <c r="C40" s="7">
        <v>48200</v>
      </c>
      <c r="D40" s="7">
        <f t="shared" si="2"/>
        <v>48200</v>
      </c>
    </row>
    <row r="41" spans="1:4" x14ac:dyDescent="0.25">
      <c r="A41" s="5" t="s">
        <v>5</v>
      </c>
      <c r="B41" s="6" t="s">
        <v>25</v>
      </c>
      <c r="C41" s="7">
        <v>3446.9999999999995</v>
      </c>
      <c r="D41" s="7">
        <f t="shared" si="2"/>
        <v>3446.9999999999995</v>
      </c>
    </row>
    <row r="42" spans="1:4" x14ac:dyDescent="0.25">
      <c r="A42" s="5" t="s">
        <v>5</v>
      </c>
      <c r="B42" s="6" t="s">
        <v>26</v>
      </c>
      <c r="C42" s="7">
        <v>4595.9999999999991</v>
      </c>
      <c r="D42" s="7">
        <f t="shared" si="2"/>
        <v>4595.9999999999991</v>
      </c>
    </row>
    <row r="43" spans="1:4" x14ac:dyDescent="0.25">
      <c r="A43" s="5" t="s">
        <v>5</v>
      </c>
      <c r="B43" s="6" t="s">
        <v>27</v>
      </c>
      <c r="C43" s="7">
        <v>4295</v>
      </c>
      <c r="D43" s="7">
        <f t="shared" si="2"/>
        <v>4295</v>
      </c>
    </row>
    <row r="44" spans="1:4" x14ac:dyDescent="0.25">
      <c r="A44" s="5" t="s">
        <v>5</v>
      </c>
      <c r="B44" s="6" t="s">
        <v>28</v>
      </c>
      <c r="C44" s="7">
        <v>5154</v>
      </c>
      <c r="D44" s="7">
        <f t="shared" si="2"/>
        <v>5154</v>
      </c>
    </row>
    <row r="45" spans="1:4" x14ac:dyDescent="0.25">
      <c r="A45" s="5" t="s">
        <v>5</v>
      </c>
      <c r="B45" s="6" t="s">
        <v>29</v>
      </c>
      <c r="C45" s="7">
        <v>6013</v>
      </c>
      <c r="D45" s="7">
        <f t="shared" si="2"/>
        <v>6013</v>
      </c>
    </row>
    <row r="46" spans="1:4" x14ac:dyDescent="0.25">
      <c r="A46" s="5" t="s">
        <v>5</v>
      </c>
      <c r="B46" s="6" t="s">
        <v>30</v>
      </c>
      <c r="C46" s="7">
        <v>6872</v>
      </c>
      <c r="D46" s="7">
        <f t="shared" si="2"/>
        <v>6872</v>
      </c>
    </row>
    <row r="47" spans="1:4" x14ac:dyDescent="0.25">
      <c r="A47" s="5" t="s">
        <v>5</v>
      </c>
      <c r="B47" s="6" t="s">
        <v>31</v>
      </c>
      <c r="C47" s="7">
        <v>7731</v>
      </c>
      <c r="D47" s="7">
        <f t="shared" si="2"/>
        <v>7731</v>
      </c>
    </row>
    <row r="48" spans="1:4" x14ac:dyDescent="0.25">
      <c r="A48" s="5" t="s">
        <v>5</v>
      </c>
      <c r="B48" s="6" t="s">
        <v>32</v>
      </c>
      <c r="C48" s="7">
        <v>5639.9999999999991</v>
      </c>
      <c r="D48" s="7">
        <f t="shared" si="2"/>
        <v>5639.9999999999991</v>
      </c>
    </row>
    <row r="49" spans="1:4" x14ac:dyDescent="0.25">
      <c r="A49" s="5" t="s">
        <v>5</v>
      </c>
      <c r="B49" s="6" t="s">
        <v>33</v>
      </c>
      <c r="C49" s="7">
        <v>8459.9999999999982</v>
      </c>
      <c r="D49" s="7">
        <f t="shared" si="2"/>
        <v>8459.9999999999982</v>
      </c>
    </row>
    <row r="50" spans="1:4" x14ac:dyDescent="0.25">
      <c r="A50" s="5" t="s">
        <v>5</v>
      </c>
      <c r="B50" s="6" t="s">
        <v>34</v>
      </c>
      <c r="C50" s="7">
        <v>11279.999999999998</v>
      </c>
      <c r="D50" s="7">
        <f t="shared" si="2"/>
        <v>11279.999999999998</v>
      </c>
    </row>
    <row r="51" spans="1:4" x14ac:dyDescent="0.25">
      <c r="A51" s="5" t="s">
        <v>5</v>
      </c>
      <c r="B51" s="6" t="s">
        <v>35</v>
      </c>
      <c r="C51" s="7">
        <v>14099.999999999996</v>
      </c>
      <c r="D51" s="7">
        <f t="shared" si="2"/>
        <v>14099.999999999996</v>
      </c>
    </row>
    <row r="52" spans="1:4" x14ac:dyDescent="0.25">
      <c r="A52" s="5" t="s">
        <v>5</v>
      </c>
      <c r="B52" s="6" t="s">
        <v>36</v>
      </c>
      <c r="C52" s="7">
        <v>16919.999999999996</v>
      </c>
      <c r="D52" s="7">
        <f t="shared" si="2"/>
        <v>16919.999999999996</v>
      </c>
    </row>
    <row r="53" spans="1:4" x14ac:dyDescent="0.25">
      <c r="A53" s="5" t="s">
        <v>5</v>
      </c>
      <c r="B53" s="6" t="s">
        <v>37</v>
      </c>
      <c r="C53" s="7">
        <v>19739.999999999996</v>
      </c>
      <c r="D53" s="7">
        <f t="shared" si="2"/>
        <v>19739.999999999996</v>
      </c>
    </row>
    <row r="54" spans="1:4" x14ac:dyDescent="0.25">
      <c r="A54" s="5" t="s">
        <v>5</v>
      </c>
      <c r="B54" s="6" t="s">
        <v>38</v>
      </c>
      <c r="C54" s="7">
        <v>22559.999999999996</v>
      </c>
      <c r="D54" s="7">
        <f t="shared" si="2"/>
        <v>22559.999999999996</v>
      </c>
    </row>
    <row r="55" spans="1:4" x14ac:dyDescent="0.25">
      <c r="A55" s="5" t="s">
        <v>5</v>
      </c>
      <c r="B55" s="6" t="s">
        <v>39</v>
      </c>
      <c r="C55" s="7">
        <v>25379.999999999996</v>
      </c>
      <c r="D55" s="7">
        <f t="shared" si="2"/>
        <v>25379.999999999996</v>
      </c>
    </row>
    <row r="56" spans="1:4" x14ac:dyDescent="0.25">
      <c r="A56" s="5" t="s">
        <v>5</v>
      </c>
      <c r="B56" s="6" t="s">
        <v>40</v>
      </c>
      <c r="C56" s="7">
        <v>17050</v>
      </c>
      <c r="D56" s="7">
        <f t="shared" si="2"/>
        <v>17050</v>
      </c>
    </row>
    <row r="57" spans="1:4" x14ac:dyDescent="0.25">
      <c r="A57" s="5" t="s">
        <v>5</v>
      </c>
      <c r="B57" s="6" t="s">
        <v>41</v>
      </c>
      <c r="C57" s="7">
        <v>50000</v>
      </c>
      <c r="D57" s="7">
        <v>50000</v>
      </c>
    </row>
    <row r="58" spans="1:4" x14ac:dyDescent="0.25">
      <c r="A58" s="5" t="s">
        <v>5</v>
      </c>
      <c r="B58" s="6" t="s">
        <v>42</v>
      </c>
      <c r="C58" s="7">
        <v>60209</v>
      </c>
      <c r="D58" s="7">
        <v>50000</v>
      </c>
    </row>
    <row r="59" spans="1:4" x14ac:dyDescent="0.25">
      <c r="A59" s="5" t="s">
        <v>5</v>
      </c>
      <c r="B59" s="6" t="s">
        <v>43</v>
      </c>
      <c r="C59" s="7">
        <v>63612</v>
      </c>
      <c r="D59" s="7">
        <v>50000</v>
      </c>
    </row>
    <row r="60" spans="1:4" x14ac:dyDescent="0.25">
      <c r="A60" s="5" t="s">
        <v>5</v>
      </c>
      <c r="B60" s="6" t="s">
        <v>44</v>
      </c>
      <c r="C60" s="7">
        <v>63120</v>
      </c>
      <c r="D60" s="7">
        <v>50000</v>
      </c>
    </row>
    <row r="61" spans="1:4" x14ac:dyDescent="0.25">
      <c r="A61" s="5" t="s">
        <v>5</v>
      </c>
      <c r="B61" s="6" t="s">
        <v>45</v>
      </c>
      <c r="C61" s="7">
        <v>65744</v>
      </c>
      <c r="D61" s="7">
        <v>50000</v>
      </c>
    </row>
    <row r="62" spans="1:4" x14ac:dyDescent="0.25">
      <c r="A62" s="5" t="s">
        <v>5</v>
      </c>
      <c r="B62" s="6" t="s">
        <v>46</v>
      </c>
      <c r="C62" s="7">
        <v>68368</v>
      </c>
      <c r="D62" s="7">
        <v>50000</v>
      </c>
    </row>
    <row r="63" spans="1:4" x14ac:dyDescent="0.25">
      <c r="A63" s="5" t="s">
        <v>5</v>
      </c>
      <c r="B63" s="6" t="s">
        <v>47</v>
      </c>
      <c r="C63" s="7">
        <v>70992</v>
      </c>
      <c r="D63" s="7">
        <v>50000</v>
      </c>
    </row>
    <row r="64" spans="1:4" x14ac:dyDescent="0.25">
      <c r="A64" s="5" t="s">
        <v>5</v>
      </c>
      <c r="B64" s="6" t="s">
        <v>48</v>
      </c>
      <c r="C64" s="7">
        <v>73616</v>
      </c>
      <c r="D64" s="7">
        <v>50000</v>
      </c>
    </row>
    <row r="65" spans="1:4" x14ac:dyDescent="0.25">
      <c r="A65" s="5" t="s">
        <v>5</v>
      </c>
      <c r="B65" s="6" t="s">
        <v>49</v>
      </c>
      <c r="C65" s="7">
        <v>67710</v>
      </c>
      <c r="D65" s="7">
        <v>50000</v>
      </c>
    </row>
    <row r="66" spans="1:4" x14ac:dyDescent="0.25">
      <c r="A66" s="5" t="s">
        <v>5</v>
      </c>
      <c r="B66" s="6" t="s">
        <v>50</v>
      </c>
      <c r="C66" s="7">
        <v>76565</v>
      </c>
      <c r="D66" s="7">
        <v>50000</v>
      </c>
    </row>
    <row r="67" spans="1:4" x14ac:dyDescent="0.25">
      <c r="A67" s="5" t="s">
        <v>5</v>
      </c>
      <c r="B67" s="6" t="s">
        <v>51</v>
      </c>
      <c r="C67" s="7">
        <v>85420</v>
      </c>
      <c r="D67" s="7">
        <v>50000</v>
      </c>
    </row>
    <row r="68" spans="1:4" x14ac:dyDescent="0.25">
      <c r="A68" s="5" t="s">
        <v>5</v>
      </c>
      <c r="B68" s="6" t="s">
        <v>52</v>
      </c>
      <c r="C68" s="7">
        <v>94275</v>
      </c>
      <c r="D68" s="7">
        <v>50000</v>
      </c>
    </row>
    <row r="69" spans="1:4" x14ac:dyDescent="0.25">
      <c r="A69" s="5" t="s">
        <v>5</v>
      </c>
      <c r="B69" s="6" t="s">
        <v>53</v>
      </c>
      <c r="C69" s="7">
        <v>103130</v>
      </c>
      <c r="D69" s="7">
        <v>50000</v>
      </c>
    </row>
    <row r="70" spans="1:4" x14ac:dyDescent="0.25">
      <c r="A70" s="5" t="s">
        <v>5</v>
      </c>
      <c r="B70" s="6" t="s">
        <v>54</v>
      </c>
      <c r="C70" s="7">
        <v>111985</v>
      </c>
      <c r="D70" s="7">
        <v>50000</v>
      </c>
    </row>
    <row r="71" spans="1:4" x14ac:dyDescent="0.25">
      <c r="A71" s="5" t="s">
        <v>5</v>
      </c>
      <c r="B71" s="6" t="s">
        <v>55</v>
      </c>
      <c r="C71" s="7">
        <v>120840</v>
      </c>
      <c r="D71" s="7">
        <v>50000</v>
      </c>
    </row>
    <row r="72" spans="1:4" x14ac:dyDescent="0.25">
      <c r="A72" s="5" t="s">
        <v>5</v>
      </c>
      <c r="B72" s="6" t="s">
        <v>56</v>
      </c>
      <c r="C72" s="7">
        <v>129695</v>
      </c>
      <c r="D72" s="7">
        <v>50000</v>
      </c>
    </row>
    <row r="73" spans="1:4" x14ac:dyDescent="0.25">
      <c r="A73" s="5" t="s">
        <v>5</v>
      </c>
      <c r="B73" s="6" t="s">
        <v>57</v>
      </c>
      <c r="C73" s="7">
        <v>100700</v>
      </c>
      <c r="D73" s="7">
        <v>50000</v>
      </c>
    </row>
    <row r="74" spans="1:4" x14ac:dyDescent="0.25">
      <c r="A74" s="5" t="s">
        <v>5</v>
      </c>
      <c r="B74" s="6" t="s">
        <v>58</v>
      </c>
      <c r="C74" s="7">
        <v>60209</v>
      </c>
      <c r="D74" s="7">
        <v>50000</v>
      </c>
    </row>
    <row r="75" spans="1:4" x14ac:dyDescent="0.25">
      <c r="A75" s="5" t="s">
        <v>5</v>
      </c>
      <c r="B75" s="6" t="s">
        <v>59</v>
      </c>
      <c r="C75" s="7">
        <v>63612</v>
      </c>
      <c r="D75" s="7">
        <v>50000</v>
      </c>
    </row>
    <row r="76" spans="1:4" x14ac:dyDescent="0.25">
      <c r="A76" s="5" t="s">
        <v>5</v>
      </c>
      <c r="B76" s="6" t="s">
        <v>60</v>
      </c>
      <c r="C76" s="7">
        <v>63120</v>
      </c>
      <c r="D76" s="7">
        <v>50000</v>
      </c>
    </row>
    <row r="77" spans="1:4" x14ac:dyDescent="0.25">
      <c r="A77" s="5" t="s">
        <v>5</v>
      </c>
      <c r="B77" s="6" t="s">
        <v>61</v>
      </c>
      <c r="C77" s="7">
        <v>65744</v>
      </c>
      <c r="D77" s="7">
        <v>50000</v>
      </c>
    </row>
    <row r="78" spans="1:4" x14ac:dyDescent="0.25">
      <c r="A78" s="5" t="s">
        <v>5</v>
      </c>
      <c r="B78" s="6" t="s">
        <v>62</v>
      </c>
      <c r="C78" s="7">
        <v>68368</v>
      </c>
      <c r="D78" s="7">
        <v>50000</v>
      </c>
    </row>
    <row r="79" spans="1:4" x14ac:dyDescent="0.25">
      <c r="A79" s="5" t="s">
        <v>5</v>
      </c>
      <c r="B79" s="6" t="s">
        <v>63</v>
      </c>
      <c r="C79" s="7">
        <v>70992</v>
      </c>
      <c r="D79" s="7">
        <v>50000</v>
      </c>
    </row>
    <row r="80" spans="1:4" x14ac:dyDescent="0.25">
      <c r="A80" s="5" t="s">
        <v>5</v>
      </c>
      <c r="B80" s="6" t="s">
        <v>64</v>
      </c>
      <c r="C80" s="7">
        <v>73616</v>
      </c>
      <c r="D80" s="7">
        <v>50000</v>
      </c>
    </row>
    <row r="81" spans="1:4" x14ac:dyDescent="0.25">
      <c r="A81" s="5" t="s">
        <v>5</v>
      </c>
      <c r="B81" s="6" t="s">
        <v>65</v>
      </c>
      <c r="C81" s="7">
        <v>67710</v>
      </c>
      <c r="D81" s="7">
        <v>50000</v>
      </c>
    </row>
    <row r="82" spans="1:4" x14ac:dyDescent="0.25">
      <c r="A82" s="5" t="s">
        <v>5</v>
      </c>
      <c r="B82" s="6" t="s">
        <v>66</v>
      </c>
      <c r="C82" s="7">
        <v>76565</v>
      </c>
      <c r="D82" s="7">
        <v>50000</v>
      </c>
    </row>
    <row r="83" spans="1:4" x14ac:dyDescent="0.25">
      <c r="A83" s="5" t="s">
        <v>5</v>
      </c>
      <c r="B83" s="6" t="s">
        <v>67</v>
      </c>
      <c r="C83" s="7">
        <v>85420</v>
      </c>
      <c r="D83" s="7">
        <v>50000</v>
      </c>
    </row>
    <row r="84" spans="1:4" x14ac:dyDescent="0.25">
      <c r="A84" s="5" t="s">
        <v>5</v>
      </c>
      <c r="B84" s="6" t="s">
        <v>68</v>
      </c>
      <c r="C84" s="7">
        <v>94275</v>
      </c>
      <c r="D84" s="7">
        <v>50000</v>
      </c>
    </row>
    <row r="85" spans="1:4" x14ac:dyDescent="0.25">
      <c r="A85" s="5" t="s">
        <v>5</v>
      </c>
      <c r="B85" s="6" t="s">
        <v>69</v>
      </c>
      <c r="C85" s="7">
        <v>103130</v>
      </c>
      <c r="D85" s="7">
        <v>50000</v>
      </c>
    </row>
    <row r="86" spans="1:4" x14ac:dyDescent="0.25">
      <c r="A86" s="5" t="s">
        <v>5</v>
      </c>
      <c r="B86" s="6" t="s">
        <v>70</v>
      </c>
      <c r="C86" s="7">
        <v>111985</v>
      </c>
      <c r="D86" s="7">
        <v>50000</v>
      </c>
    </row>
    <row r="87" spans="1:4" x14ac:dyDescent="0.25">
      <c r="A87" s="5" t="s">
        <v>5</v>
      </c>
      <c r="B87" s="6" t="s">
        <v>71</v>
      </c>
      <c r="C87" s="7">
        <v>120840</v>
      </c>
      <c r="D87" s="7">
        <v>50000</v>
      </c>
    </row>
    <row r="88" spans="1:4" x14ac:dyDescent="0.25">
      <c r="A88" s="5" t="s">
        <v>5</v>
      </c>
      <c r="B88" s="6" t="s">
        <v>72</v>
      </c>
      <c r="C88" s="7">
        <v>129695</v>
      </c>
      <c r="D88" s="7">
        <v>50000</v>
      </c>
    </row>
    <row r="89" spans="1:4" x14ac:dyDescent="0.25">
      <c r="A89" s="5" t="s">
        <v>5</v>
      </c>
      <c r="B89" s="6" t="s">
        <v>73</v>
      </c>
      <c r="C89" s="7">
        <v>100700</v>
      </c>
      <c r="D89" s="7">
        <v>50000</v>
      </c>
    </row>
    <row r="90" spans="1:4" x14ac:dyDescent="0.25">
      <c r="A90" s="5" t="s">
        <v>5</v>
      </c>
      <c r="B90" s="6" t="s">
        <v>74</v>
      </c>
      <c r="C90" s="7">
        <v>60209</v>
      </c>
      <c r="D90" s="7">
        <v>50000</v>
      </c>
    </row>
    <row r="91" spans="1:4" x14ac:dyDescent="0.25">
      <c r="A91" s="5" t="s">
        <v>5</v>
      </c>
      <c r="B91" s="6" t="s">
        <v>75</v>
      </c>
      <c r="C91" s="7">
        <v>63612</v>
      </c>
      <c r="D91" s="7">
        <v>50000</v>
      </c>
    </row>
    <row r="92" spans="1:4" x14ac:dyDescent="0.25">
      <c r="A92" s="5" t="s">
        <v>5</v>
      </c>
      <c r="B92" s="6" t="s">
        <v>76</v>
      </c>
      <c r="C92" s="7">
        <v>63120</v>
      </c>
      <c r="D92" s="7">
        <v>50000</v>
      </c>
    </row>
    <row r="93" spans="1:4" x14ac:dyDescent="0.25">
      <c r="A93" s="5" t="s">
        <v>5</v>
      </c>
      <c r="B93" s="6" t="s">
        <v>77</v>
      </c>
      <c r="C93" s="7">
        <v>65744</v>
      </c>
      <c r="D93" s="7">
        <v>50000</v>
      </c>
    </row>
    <row r="94" spans="1:4" x14ac:dyDescent="0.25">
      <c r="A94" s="5" t="s">
        <v>5</v>
      </c>
      <c r="B94" s="6" t="s">
        <v>78</v>
      </c>
      <c r="C94" s="7">
        <v>68368</v>
      </c>
      <c r="D94" s="7">
        <v>50000</v>
      </c>
    </row>
    <row r="95" spans="1:4" x14ac:dyDescent="0.25">
      <c r="A95" s="5" t="s">
        <v>5</v>
      </c>
      <c r="B95" s="6" t="s">
        <v>79</v>
      </c>
      <c r="C95" s="7">
        <v>70992</v>
      </c>
      <c r="D95" s="7">
        <v>50000</v>
      </c>
    </row>
    <row r="96" spans="1:4" x14ac:dyDescent="0.25">
      <c r="A96" s="5" t="s">
        <v>5</v>
      </c>
      <c r="B96" s="6" t="s">
        <v>80</v>
      </c>
      <c r="C96" s="7">
        <v>73616</v>
      </c>
      <c r="D96" s="7">
        <v>50000</v>
      </c>
    </row>
    <row r="97" spans="1:4" x14ac:dyDescent="0.25">
      <c r="A97" s="5" t="s">
        <v>5</v>
      </c>
      <c r="B97" s="6" t="s">
        <v>81</v>
      </c>
      <c r="C97" s="7">
        <v>67710</v>
      </c>
      <c r="D97" s="7">
        <v>50000</v>
      </c>
    </row>
    <row r="98" spans="1:4" x14ac:dyDescent="0.25">
      <c r="A98" s="5" t="s">
        <v>5</v>
      </c>
      <c r="B98" s="6" t="s">
        <v>82</v>
      </c>
      <c r="C98" s="7">
        <v>76565</v>
      </c>
      <c r="D98" s="7">
        <v>50000</v>
      </c>
    </row>
    <row r="99" spans="1:4" x14ac:dyDescent="0.25">
      <c r="A99" s="5" t="s">
        <v>5</v>
      </c>
      <c r="B99" s="6" t="s">
        <v>83</v>
      </c>
      <c r="C99" s="7">
        <v>85420</v>
      </c>
      <c r="D99" s="7">
        <v>50000</v>
      </c>
    </row>
    <row r="100" spans="1:4" x14ac:dyDescent="0.25">
      <c r="A100" s="5" t="s">
        <v>5</v>
      </c>
      <c r="B100" s="6" t="s">
        <v>84</v>
      </c>
      <c r="C100" s="7">
        <v>94275</v>
      </c>
      <c r="D100" s="7">
        <v>50000</v>
      </c>
    </row>
    <row r="101" spans="1:4" x14ac:dyDescent="0.25">
      <c r="A101" s="5" t="s">
        <v>5</v>
      </c>
      <c r="B101" s="6" t="s">
        <v>85</v>
      </c>
      <c r="C101" s="7">
        <v>103130</v>
      </c>
      <c r="D101" s="7">
        <v>50000</v>
      </c>
    </row>
    <row r="102" spans="1:4" x14ac:dyDescent="0.25">
      <c r="A102" s="5" t="s">
        <v>5</v>
      </c>
      <c r="B102" s="6" t="s">
        <v>86</v>
      </c>
      <c r="C102" s="7">
        <v>111985</v>
      </c>
      <c r="D102" s="7">
        <v>50000</v>
      </c>
    </row>
    <row r="103" spans="1:4" x14ac:dyDescent="0.25">
      <c r="A103" s="5" t="s">
        <v>5</v>
      </c>
      <c r="B103" s="6" t="s">
        <v>87</v>
      </c>
      <c r="C103" s="7">
        <v>120840</v>
      </c>
      <c r="D103" s="7">
        <v>50000</v>
      </c>
    </row>
    <row r="104" spans="1:4" x14ac:dyDescent="0.25">
      <c r="A104" s="5" t="s">
        <v>5</v>
      </c>
      <c r="B104" s="6" t="s">
        <v>88</v>
      </c>
      <c r="C104" s="7">
        <v>129695</v>
      </c>
      <c r="D104" s="7">
        <v>50000</v>
      </c>
    </row>
    <row r="105" spans="1:4" x14ac:dyDescent="0.25">
      <c r="A105" s="5" t="s">
        <v>5</v>
      </c>
      <c r="B105" s="6" t="s">
        <v>89</v>
      </c>
      <c r="C105" s="7">
        <v>100700</v>
      </c>
      <c r="D105" s="7">
        <v>50000</v>
      </c>
    </row>
    <row r="106" spans="1:4" x14ac:dyDescent="0.25">
      <c r="A106" s="5" t="s">
        <v>5</v>
      </c>
      <c r="B106" s="6" t="s">
        <v>90</v>
      </c>
      <c r="C106" s="7">
        <v>57095</v>
      </c>
      <c r="D106" s="7">
        <v>50000</v>
      </c>
    </row>
    <row r="107" spans="1:4" x14ac:dyDescent="0.25">
      <c r="A107" s="5" t="s">
        <v>5</v>
      </c>
      <c r="B107" s="6" t="s">
        <v>91</v>
      </c>
      <c r="C107" s="7">
        <v>59460</v>
      </c>
      <c r="D107" s="7">
        <v>50000</v>
      </c>
    </row>
    <row r="108" spans="1:4" x14ac:dyDescent="0.25">
      <c r="A108" s="5" t="s">
        <v>5</v>
      </c>
      <c r="B108" s="6" t="s">
        <v>92</v>
      </c>
      <c r="C108" s="7">
        <v>59410</v>
      </c>
      <c r="D108" s="7">
        <v>50000</v>
      </c>
    </row>
    <row r="109" spans="1:4" x14ac:dyDescent="0.25">
      <c r="A109" s="5" t="s">
        <v>5</v>
      </c>
      <c r="B109" s="6" t="s">
        <v>93</v>
      </c>
      <c r="C109" s="7">
        <v>61292</v>
      </c>
      <c r="D109" s="7">
        <v>50000</v>
      </c>
    </row>
    <row r="110" spans="1:4" x14ac:dyDescent="0.25">
      <c r="A110" s="5" t="s">
        <v>5</v>
      </c>
      <c r="B110" s="6" t="s">
        <v>94</v>
      </c>
      <c r="C110" s="7">
        <v>63174</v>
      </c>
      <c r="D110" s="7">
        <v>50000</v>
      </c>
    </row>
    <row r="111" spans="1:4" x14ac:dyDescent="0.25">
      <c r="A111" s="5" t="s">
        <v>5</v>
      </c>
      <c r="B111" s="6" t="s">
        <v>95</v>
      </c>
      <c r="C111" s="7">
        <v>65056</v>
      </c>
      <c r="D111" s="7">
        <v>50000</v>
      </c>
    </row>
    <row r="112" spans="1:4" x14ac:dyDescent="0.25">
      <c r="A112" s="5" t="s">
        <v>5</v>
      </c>
      <c r="B112" s="6" t="s">
        <v>96</v>
      </c>
      <c r="C112" s="7">
        <v>66938</v>
      </c>
      <c r="D112" s="7">
        <v>50000</v>
      </c>
    </row>
    <row r="113" spans="1:4" x14ac:dyDescent="0.25">
      <c r="A113" s="5" t="s">
        <v>5</v>
      </c>
      <c r="B113" s="6" t="s">
        <v>97</v>
      </c>
      <c r="C113" s="7">
        <v>63100</v>
      </c>
      <c r="D113" s="7">
        <v>50000</v>
      </c>
    </row>
    <row r="114" spans="1:4" x14ac:dyDescent="0.25">
      <c r="A114" s="5" t="s">
        <v>5</v>
      </c>
      <c r="B114" s="6" t="s">
        <v>98</v>
      </c>
      <c r="C114" s="7">
        <v>69650</v>
      </c>
      <c r="D114" s="7">
        <v>50000</v>
      </c>
    </row>
    <row r="115" spans="1:4" x14ac:dyDescent="0.25">
      <c r="A115" s="5" t="s">
        <v>5</v>
      </c>
      <c r="B115" s="6" t="s">
        <v>99</v>
      </c>
      <c r="C115" s="7">
        <v>76200</v>
      </c>
      <c r="D115" s="7">
        <v>50000</v>
      </c>
    </row>
    <row r="116" spans="1:4" x14ac:dyDescent="0.25">
      <c r="A116" s="5" t="s">
        <v>5</v>
      </c>
      <c r="B116" s="6" t="s">
        <v>100</v>
      </c>
      <c r="C116" s="7">
        <v>82750</v>
      </c>
      <c r="D116" s="7">
        <v>50000</v>
      </c>
    </row>
    <row r="117" spans="1:4" x14ac:dyDescent="0.25">
      <c r="A117" s="5" t="s">
        <v>5</v>
      </c>
      <c r="B117" s="6" t="s">
        <v>101</v>
      </c>
      <c r="C117" s="7">
        <v>89300</v>
      </c>
      <c r="D117" s="7">
        <v>50000</v>
      </c>
    </row>
    <row r="118" spans="1:4" x14ac:dyDescent="0.25">
      <c r="A118" s="5" t="s">
        <v>5</v>
      </c>
      <c r="B118" s="6" t="s">
        <v>102</v>
      </c>
      <c r="C118" s="7">
        <v>95850</v>
      </c>
      <c r="D118" s="7">
        <v>50000</v>
      </c>
    </row>
    <row r="119" spans="1:4" x14ac:dyDescent="0.25">
      <c r="A119" s="5" t="s">
        <v>5</v>
      </c>
      <c r="B119" s="6" t="s">
        <v>103</v>
      </c>
      <c r="C119" s="7">
        <v>102400</v>
      </c>
      <c r="D119" s="7">
        <v>50000</v>
      </c>
    </row>
    <row r="120" spans="1:4" x14ac:dyDescent="0.25">
      <c r="A120" s="5" t="s">
        <v>5</v>
      </c>
      <c r="B120" s="6" t="s">
        <v>104</v>
      </c>
      <c r="C120" s="7">
        <v>108950</v>
      </c>
      <c r="D120" s="7">
        <v>50000</v>
      </c>
    </row>
    <row r="121" spans="1:4" x14ac:dyDescent="0.25">
      <c r="A121" s="5" t="s">
        <v>5</v>
      </c>
      <c r="B121" s="6" t="s">
        <v>105</v>
      </c>
      <c r="C121" s="7">
        <v>90600</v>
      </c>
      <c r="D121" s="7">
        <v>50000</v>
      </c>
    </row>
    <row r="122" spans="1:4" x14ac:dyDescent="0.25">
      <c r="A122" s="5" t="s">
        <v>5</v>
      </c>
      <c r="B122" s="6" t="s">
        <v>106</v>
      </c>
      <c r="C122" s="7">
        <v>60209</v>
      </c>
      <c r="D122" s="7">
        <v>50000</v>
      </c>
    </row>
    <row r="123" spans="1:4" x14ac:dyDescent="0.25">
      <c r="A123" s="5" t="s">
        <v>5</v>
      </c>
      <c r="B123" s="6" t="s">
        <v>107</v>
      </c>
      <c r="C123" s="7">
        <v>63612</v>
      </c>
      <c r="D123" s="7">
        <v>50000</v>
      </c>
    </row>
    <row r="124" spans="1:4" x14ac:dyDescent="0.25">
      <c r="A124" s="5" t="s">
        <v>5</v>
      </c>
      <c r="B124" s="6" t="s">
        <v>108</v>
      </c>
      <c r="C124" s="7">
        <v>63120</v>
      </c>
      <c r="D124" s="7">
        <v>50000</v>
      </c>
    </row>
    <row r="125" spans="1:4" x14ac:dyDescent="0.25">
      <c r="A125" s="5" t="s">
        <v>5</v>
      </c>
      <c r="B125" s="6" t="s">
        <v>109</v>
      </c>
      <c r="C125" s="7">
        <v>65744</v>
      </c>
      <c r="D125" s="7">
        <v>50000</v>
      </c>
    </row>
    <row r="126" spans="1:4" x14ac:dyDescent="0.25">
      <c r="A126" s="5" t="s">
        <v>5</v>
      </c>
      <c r="B126" s="6" t="s">
        <v>110</v>
      </c>
      <c r="C126" s="7">
        <v>68368</v>
      </c>
      <c r="D126" s="7">
        <v>50000</v>
      </c>
    </row>
    <row r="127" spans="1:4" x14ac:dyDescent="0.25">
      <c r="A127" s="5" t="s">
        <v>5</v>
      </c>
      <c r="B127" s="6" t="s">
        <v>111</v>
      </c>
      <c r="C127" s="7">
        <v>70992</v>
      </c>
      <c r="D127" s="7">
        <v>50000</v>
      </c>
    </row>
    <row r="128" spans="1:4" x14ac:dyDescent="0.25">
      <c r="A128" s="5" t="s">
        <v>5</v>
      </c>
      <c r="B128" s="6" t="s">
        <v>112</v>
      </c>
      <c r="C128" s="7">
        <v>73616</v>
      </c>
      <c r="D128" s="7">
        <v>50000</v>
      </c>
    </row>
    <row r="129" spans="1:4" x14ac:dyDescent="0.25">
      <c r="A129" s="5" t="s">
        <v>5</v>
      </c>
      <c r="B129" s="6" t="s">
        <v>113</v>
      </c>
      <c r="C129" s="7">
        <v>67710</v>
      </c>
      <c r="D129" s="7">
        <v>50000</v>
      </c>
    </row>
    <row r="130" spans="1:4" x14ac:dyDescent="0.25">
      <c r="A130" s="5" t="s">
        <v>5</v>
      </c>
      <c r="B130" s="6" t="s">
        <v>114</v>
      </c>
      <c r="C130" s="7">
        <v>76565</v>
      </c>
      <c r="D130" s="7">
        <v>50000</v>
      </c>
    </row>
    <row r="131" spans="1:4" x14ac:dyDescent="0.25">
      <c r="A131" s="5" t="s">
        <v>5</v>
      </c>
      <c r="B131" s="6" t="s">
        <v>115</v>
      </c>
      <c r="C131" s="7">
        <v>85420</v>
      </c>
      <c r="D131" s="7">
        <v>50000</v>
      </c>
    </row>
    <row r="132" spans="1:4" x14ac:dyDescent="0.25">
      <c r="A132" s="5" t="s">
        <v>5</v>
      </c>
      <c r="B132" s="6" t="s">
        <v>116</v>
      </c>
      <c r="C132" s="7">
        <v>94275</v>
      </c>
      <c r="D132" s="7">
        <v>50000</v>
      </c>
    </row>
    <row r="133" spans="1:4" x14ac:dyDescent="0.25">
      <c r="A133" s="5" t="s">
        <v>5</v>
      </c>
      <c r="B133" s="6" t="s">
        <v>117</v>
      </c>
      <c r="C133" s="7">
        <v>103130</v>
      </c>
      <c r="D133" s="7">
        <v>50000</v>
      </c>
    </row>
    <row r="134" spans="1:4" x14ac:dyDescent="0.25">
      <c r="A134" s="5" t="s">
        <v>5</v>
      </c>
      <c r="B134" s="6" t="s">
        <v>118</v>
      </c>
      <c r="C134" s="7">
        <v>111985</v>
      </c>
      <c r="D134" s="7">
        <v>50000</v>
      </c>
    </row>
    <row r="135" spans="1:4" x14ac:dyDescent="0.25">
      <c r="A135" s="5" t="s">
        <v>5</v>
      </c>
      <c r="B135" s="6" t="s">
        <v>119</v>
      </c>
      <c r="C135" s="7">
        <v>120840</v>
      </c>
      <c r="D135" s="7">
        <v>50000</v>
      </c>
    </row>
    <row r="136" spans="1:4" x14ac:dyDescent="0.25">
      <c r="A136" s="5" t="s">
        <v>5</v>
      </c>
      <c r="B136" s="6" t="s">
        <v>120</v>
      </c>
      <c r="C136" s="7">
        <v>129695</v>
      </c>
      <c r="D136" s="7">
        <v>50000</v>
      </c>
    </row>
    <row r="137" spans="1:4" x14ac:dyDescent="0.25">
      <c r="A137" s="5" t="s">
        <v>5</v>
      </c>
      <c r="B137" s="6" t="s">
        <v>121</v>
      </c>
      <c r="C137" s="7">
        <v>100700</v>
      </c>
      <c r="D137" s="7">
        <v>50000</v>
      </c>
    </row>
    <row r="138" spans="1:4" x14ac:dyDescent="0.25">
      <c r="A138" s="5" t="s">
        <v>5</v>
      </c>
      <c r="B138" s="6" t="s">
        <v>122</v>
      </c>
      <c r="C138" s="7">
        <v>60209</v>
      </c>
      <c r="D138" s="7">
        <v>50000</v>
      </c>
    </row>
    <row r="139" spans="1:4" x14ac:dyDescent="0.25">
      <c r="A139" s="5" t="s">
        <v>5</v>
      </c>
      <c r="B139" s="6" t="s">
        <v>123</v>
      </c>
      <c r="C139" s="7">
        <v>63612</v>
      </c>
      <c r="D139" s="7">
        <v>50000</v>
      </c>
    </row>
    <row r="140" spans="1:4" x14ac:dyDescent="0.25">
      <c r="A140" s="5" t="s">
        <v>5</v>
      </c>
      <c r="B140" s="6" t="s">
        <v>124</v>
      </c>
      <c r="C140" s="7">
        <v>63120</v>
      </c>
      <c r="D140" s="7">
        <v>50000</v>
      </c>
    </row>
    <row r="141" spans="1:4" x14ac:dyDescent="0.25">
      <c r="A141" s="5" t="s">
        <v>5</v>
      </c>
      <c r="B141" s="6" t="s">
        <v>125</v>
      </c>
      <c r="C141" s="7">
        <v>65744</v>
      </c>
      <c r="D141" s="7">
        <v>50000</v>
      </c>
    </row>
    <row r="142" spans="1:4" x14ac:dyDescent="0.25">
      <c r="A142" s="5" t="s">
        <v>5</v>
      </c>
      <c r="B142" s="6" t="s">
        <v>126</v>
      </c>
      <c r="C142" s="7">
        <v>68368</v>
      </c>
      <c r="D142" s="7">
        <v>50000</v>
      </c>
    </row>
    <row r="143" spans="1:4" x14ac:dyDescent="0.25">
      <c r="A143" s="5" t="s">
        <v>5</v>
      </c>
      <c r="B143" s="6" t="s">
        <v>127</v>
      </c>
      <c r="C143" s="7">
        <v>70992</v>
      </c>
      <c r="D143" s="7">
        <v>50000</v>
      </c>
    </row>
    <row r="144" spans="1:4" x14ac:dyDescent="0.25">
      <c r="A144" s="5" t="s">
        <v>5</v>
      </c>
      <c r="B144" s="6" t="s">
        <v>128</v>
      </c>
      <c r="C144" s="7">
        <v>73616</v>
      </c>
      <c r="D144" s="7">
        <v>50000</v>
      </c>
    </row>
    <row r="145" spans="1:4" x14ac:dyDescent="0.25">
      <c r="A145" s="5" t="s">
        <v>5</v>
      </c>
      <c r="B145" s="6" t="s">
        <v>129</v>
      </c>
      <c r="C145" s="7">
        <v>67710</v>
      </c>
      <c r="D145" s="7">
        <v>50000</v>
      </c>
    </row>
    <row r="146" spans="1:4" x14ac:dyDescent="0.25">
      <c r="A146" s="5" t="s">
        <v>5</v>
      </c>
      <c r="B146" s="6" t="s">
        <v>130</v>
      </c>
      <c r="C146" s="7">
        <v>76565</v>
      </c>
      <c r="D146" s="7">
        <v>50000</v>
      </c>
    </row>
    <row r="147" spans="1:4" x14ac:dyDescent="0.25">
      <c r="A147" s="5" t="s">
        <v>5</v>
      </c>
      <c r="B147" s="6" t="s">
        <v>131</v>
      </c>
      <c r="C147" s="7">
        <v>85420</v>
      </c>
      <c r="D147" s="7">
        <v>50000</v>
      </c>
    </row>
    <row r="148" spans="1:4" x14ac:dyDescent="0.25">
      <c r="A148" s="5" t="s">
        <v>5</v>
      </c>
      <c r="B148" s="6" t="s">
        <v>132</v>
      </c>
      <c r="C148" s="7">
        <v>94275</v>
      </c>
      <c r="D148" s="7">
        <v>50000</v>
      </c>
    </row>
    <row r="149" spans="1:4" x14ac:dyDescent="0.25">
      <c r="A149" s="5" t="s">
        <v>5</v>
      </c>
      <c r="B149" s="6" t="s">
        <v>133</v>
      </c>
      <c r="C149" s="7">
        <v>103130</v>
      </c>
      <c r="D149" s="7">
        <v>50000</v>
      </c>
    </row>
    <row r="150" spans="1:4" x14ac:dyDescent="0.25">
      <c r="A150" s="5" t="s">
        <v>5</v>
      </c>
      <c r="B150" s="6" t="s">
        <v>134</v>
      </c>
      <c r="C150" s="7">
        <v>111985</v>
      </c>
      <c r="D150" s="7">
        <v>50000</v>
      </c>
    </row>
    <row r="151" spans="1:4" x14ac:dyDescent="0.25">
      <c r="A151" s="5" t="s">
        <v>5</v>
      </c>
      <c r="B151" s="6" t="s">
        <v>135</v>
      </c>
      <c r="C151" s="7">
        <v>120840</v>
      </c>
      <c r="D151" s="7">
        <v>50000</v>
      </c>
    </row>
    <row r="152" spans="1:4" x14ac:dyDescent="0.25">
      <c r="A152" s="5" t="s">
        <v>5</v>
      </c>
      <c r="B152" s="6" t="s">
        <v>136</v>
      </c>
      <c r="C152" s="7">
        <v>129695</v>
      </c>
      <c r="D152" s="7">
        <v>50000</v>
      </c>
    </row>
    <row r="153" spans="1:4" x14ac:dyDescent="0.25">
      <c r="A153" s="5" t="s">
        <v>5</v>
      </c>
      <c r="B153" s="6" t="s">
        <v>137</v>
      </c>
      <c r="C153" s="7">
        <v>100700</v>
      </c>
      <c r="D153" s="7">
        <v>50000</v>
      </c>
    </row>
    <row r="154" spans="1:4" x14ac:dyDescent="0.25">
      <c r="A154" s="5" t="s">
        <v>5</v>
      </c>
      <c r="B154" s="6" t="s">
        <v>138</v>
      </c>
      <c r="C154" s="7">
        <v>60209</v>
      </c>
      <c r="D154" s="7">
        <v>50000</v>
      </c>
    </row>
    <row r="155" spans="1:4" x14ac:dyDescent="0.25">
      <c r="A155" s="5" t="s">
        <v>5</v>
      </c>
      <c r="B155" s="6" t="s">
        <v>139</v>
      </c>
      <c r="C155" s="7">
        <v>63612</v>
      </c>
      <c r="D155" s="7">
        <v>50000</v>
      </c>
    </row>
    <row r="156" spans="1:4" x14ac:dyDescent="0.25">
      <c r="A156" s="5" t="s">
        <v>5</v>
      </c>
      <c r="B156" s="6" t="s">
        <v>140</v>
      </c>
      <c r="C156" s="7">
        <v>63120</v>
      </c>
      <c r="D156" s="7">
        <v>50000</v>
      </c>
    </row>
    <row r="157" spans="1:4" x14ac:dyDescent="0.25">
      <c r="A157" s="5" t="s">
        <v>5</v>
      </c>
      <c r="B157" s="6" t="s">
        <v>141</v>
      </c>
      <c r="C157" s="7">
        <v>65744</v>
      </c>
      <c r="D157" s="7">
        <v>50000</v>
      </c>
    </row>
    <row r="158" spans="1:4" x14ac:dyDescent="0.25">
      <c r="A158" s="5" t="s">
        <v>5</v>
      </c>
      <c r="B158" s="6" t="s">
        <v>142</v>
      </c>
      <c r="C158" s="7">
        <v>68368</v>
      </c>
      <c r="D158" s="7">
        <v>50000</v>
      </c>
    </row>
    <row r="159" spans="1:4" x14ac:dyDescent="0.25">
      <c r="A159" s="5" t="s">
        <v>5</v>
      </c>
      <c r="B159" s="6" t="s">
        <v>143</v>
      </c>
      <c r="C159" s="7">
        <v>70992</v>
      </c>
      <c r="D159" s="7">
        <v>50000</v>
      </c>
    </row>
    <row r="160" spans="1:4" x14ac:dyDescent="0.25">
      <c r="A160" s="5" t="s">
        <v>5</v>
      </c>
      <c r="B160" s="6" t="s">
        <v>144</v>
      </c>
      <c r="C160" s="7">
        <v>73616</v>
      </c>
      <c r="D160" s="7">
        <v>50000</v>
      </c>
    </row>
    <row r="161" spans="1:4" x14ac:dyDescent="0.25">
      <c r="A161" s="5" t="s">
        <v>5</v>
      </c>
      <c r="B161" s="6" t="s">
        <v>145</v>
      </c>
      <c r="C161" s="7">
        <v>67710</v>
      </c>
      <c r="D161" s="7">
        <v>50000</v>
      </c>
    </row>
    <row r="162" spans="1:4" x14ac:dyDescent="0.25">
      <c r="A162" s="5" t="s">
        <v>5</v>
      </c>
      <c r="B162" s="6" t="s">
        <v>146</v>
      </c>
      <c r="C162" s="7">
        <v>76565</v>
      </c>
      <c r="D162" s="7">
        <v>50000</v>
      </c>
    </row>
    <row r="163" spans="1:4" x14ac:dyDescent="0.25">
      <c r="A163" s="5" t="s">
        <v>5</v>
      </c>
      <c r="B163" s="6" t="s">
        <v>147</v>
      </c>
      <c r="C163" s="7">
        <v>85420</v>
      </c>
      <c r="D163" s="7">
        <v>50000</v>
      </c>
    </row>
    <row r="164" spans="1:4" x14ac:dyDescent="0.25">
      <c r="A164" s="5" t="s">
        <v>5</v>
      </c>
      <c r="B164" s="6" t="s">
        <v>148</v>
      </c>
      <c r="C164" s="7">
        <v>94275</v>
      </c>
      <c r="D164" s="7">
        <v>50000</v>
      </c>
    </row>
    <row r="165" spans="1:4" x14ac:dyDescent="0.25">
      <c r="A165" s="5" t="s">
        <v>5</v>
      </c>
      <c r="B165" s="6" t="s">
        <v>149</v>
      </c>
      <c r="C165" s="7">
        <v>103130</v>
      </c>
      <c r="D165" s="7">
        <v>50000</v>
      </c>
    </row>
    <row r="166" spans="1:4" x14ac:dyDescent="0.25">
      <c r="A166" s="5" t="s">
        <v>5</v>
      </c>
      <c r="B166" s="6" t="s">
        <v>150</v>
      </c>
      <c r="C166" s="7">
        <v>111985</v>
      </c>
      <c r="D166" s="7">
        <v>50000</v>
      </c>
    </row>
    <row r="167" spans="1:4" x14ac:dyDescent="0.25">
      <c r="A167" s="5" t="s">
        <v>5</v>
      </c>
      <c r="B167" s="6" t="s">
        <v>151</v>
      </c>
      <c r="C167" s="7">
        <v>120840</v>
      </c>
      <c r="D167" s="7">
        <v>50000</v>
      </c>
    </row>
    <row r="168" spans="1:4" x14ac:dyDescent="0.25">
      <c r="A168" s="5" t="s">
        <v>5</v>
      </c>
      <c r="B168" s="6" t="s">
        <v>152</v>
      </c>
      <c r="C168" s="7">
        <v>129695</v>
      </c>
      <c r="D168" s="7">
        <v>50000</v>
      </c>
    </row>
    <row r="169" spans="1:4" x14ac:dyDescent="0.25">
      <c r="A169" s="5" t="s">
        <v>5</v>
      </c>
      <c r="B169" s="6" t="s">
        <v>153</v>
      </c>
      <c r="C169" s="7">
        <v>100700</v>
      </c>
      <c r="D169" s="7">
        <v>50000</v>
      </c>
    </row>
    <row r="170" spans="1:4" x14ac:dyDescent="0.25">
      <c r="A170" s="5" t="s">
        <v>5</v>
      </c>
      <c r="B170" s="6" t="s">
        <v>154</v>
      </c>
      <c r="C170" s="7">
        <v>57095</v>
      </c>
      <c r="D170" s="7">
        <v>50000</v>
      </c>
    </row>
    <row r="171" spans="1:4" x14ac:dyDescent="0.25">
      <c r="A171" s="5" t="s">
        <v>5</v>
      </c>
      <c r="B171" s="6" t="s">
        <v>155</v>
      </c>
      <c r="C171" s="7">
        <v>59460</v>
      </c>
      <c r="D171" s="7">
        <v>50000</v>
      </c>
    </row>
    <row r="172" spans="1:4" x14ac:dyDescent="0.25">
      <c r="A172" s="5" t="s">
        <v>5</v>
      </c>
      <c r="B172" s="6" t="s">
        <v>156</v>
      </c>
      <c r="C172" s="7">
        <v>59410</v>
      </c>
      <c r="D172" s="7">
        <v>50000</v>
      </c>
    </row>
    <row r="173" spans="1:4" x14ac:dyDescent="0.25">
      <c r="A173" s="5" t="s">
        <v>5</v>
      </c>
      <c r="B173" s="6" t="s">
        <v>157</v>
      </c>
      <c r="C173" s="7">
        <v>61292</v>
      </c>
      <c r="D173" s="7">
        <v>50000</v>
      </c>
    </row>
    <row r="174" spans="1:4" x14ac:dyDescent="0.25">
      <c r="A174" s="5" t="s">
        <v>5</v>
      </c>
      <c r="B174" s="6" t="s">
        <v>158</v>
      </c>
      <c r="C174" s="7">
        <v>63174</v>
      </c>
      <c r="D174" s="7">
        <v>50000</v>
      </c>
    </row>
    <row r="175" spans="1:4" x14ac:dyDescent="0.25">
      <c r="A175" s="5" t="s">
        <v>5</v>
      </c>
      <c r="B175" s="6" t="s">
        <v>159</v>
      </c>
      <c r="C175" s="7">
        <v>65056</v>
      </c>
      <c r="D175" s="7">
        <v>50000</v>
      </c>
    </row>
    <row r="176" spans="1:4" x14ac:dyDescent="0.25">
      <c r="A176" s="5" t="s">
        <v>5</v>
      </c>
      <c r="B176" s="6" t="s">
        <v>160</v>
      </c>
      <c r="C176" s="7">
        <v>66938</v>
      </c>
      <c r="D176" s="7">
        <v>50000</v>
      </c>
    </row>
    <row r="177" spans="1:4" x14ac:dyDescent="0.25">
      <c r="A177" s="5" t="s">
        <v>5</v>
      </c>
      <c r="B177" s="6" t="s">
        <v>161</v>
      </c>
      <c r="C177" s="7">
        <v>63100</v>
      </c>
      <c r="D177" s="7">
        <v>50000</v>
      </c>
    </row>
    <row r="178" spans="1:4" x14ac:dyDescent="0.25">
      <c r="A178" s="5" t="s">
        <v>5</v>
      </c>
      <c r="B178" s="6" t="s">
        <v>162</v>
      </c>
      <c r="C178" s="7">
        <v>69650</v>
      </c>
      <c r="D178" s="7">
        <v>50000</v>
      </c>
    </row>
    <row r="179" spans="1:4" x14ac:dyDescent="0.25">
      <c r="A179" s="5" t="s">
        <v>5</v>
      </c>
      <c r="B179" s="6" t="s">
        <v>163</v>
      </c>
      <c r="C179" s="7">
        <v>76200</v>
      </c>
      <c r="D179" s="7">
        <v>50000</v>
      </c>
    </row>
    <row r="180" spans="1:4" x14ac:dyDescent="0.25">
      <c r="A180" s="5" t="s">
        <v>5</v>
      </c>
      <c r="B180" s="6" t="s">
        <v>164</v>
      </c>
      <c r="C180" s="7">
        <v>82750</v>
      </c>
      <c r="D180" s="7">
        <v>50000</v>
      </c>
    </row>
    <row r="181" spans="1:4" x14ac:dyDescent="0.25">
      <c r="A181" s="5" t="s">
        <v>5</v>
      </c>
      <c r="B181" s="6" t="s">
        <v>165</v>
      </c>
      <c r="C181" s="7">
        <v>89300</v>
      </c>
      <c r="D181" s="7">
        <v>50000</v>
      </c>
    </row>
    <row r="182" spans="1:4" x14ac:dyDescent="0.25">
      <c r="A182" s="5" t="s">
        <v>5</v>
      </c>
      <c r="B182" s="6" t="s">
        <v>166</v>
      </c>
      <c r="C182" s="7">
        <v>95850</v>
      </c>
      <c r="D182" s="7">
        <v>50000</v>
      </c>
    </row>
    <row r="183" spans="1:4" x14ac:dyDescent="0.25">
      <c r="A183" s="5" t="s">
        <v>5</v>
      </c>
      <c r="B183" s="6" t="s">
        <v>167</v>
      </c>
      <c r="C183" s="7">
        <v>102400</v>
      </c>
      <c r="D183" s="7">
        <v>50000</v>
      </c>
    </row>
    <row r="184" spans="1:4" x14ac:dyDescent="0.25">
      <c r="A184" s="5" t="s">
        <v>5</v>
      </c>
      <c r="B184" s="6" t="s">
        <v>168</v>
      </c>
      <c r="C184" s="7">
        <v>108950</v>
      </c>
      <c r="D184" s="7">
        <v>50000</v>
      </c>
    </row>
    <row r="185" spans="1:4" x14ac:dyDescent="0.25">
      <c r="A185" s="5" t="s">
        <v>5</v>
      </c>
      <c r="B185" s="6" t="s">
        <v>169</v>
      </c>
      <c r="C185" s="7">
        <v>90600</v>
      </c>
      <c r="D185" s="7">
        <v>50000</v>
      </c>
    </row>
    <row r="186" spans="1:4" x14ac:dyDescent="0.25">
      <c r="A186" s="5" t="s">
        <v>5</v>
      </c>
      <c r="B186" s="6" t="s">
        <v>170</v>
      </c>
      <c r="C186" s="7">
        <v>57095</v>
      </c>
      <c r="D186" s="7">
        <v>50000</v>
      </c>
    </row>
    <row r="187" spans="1:4" x14ac:dyDescent="0.25">
      <c r="A187" s="5" t="s">
        <v>5</v>
      </c>
      <c r="B187" s="6" t="s">
        <v>171</v>
      </c>
      <c r="C187" s="7">
        <v>59460</v>
      </c>
      <c r="D187" s="7">
        <v>50000</v>
      </c>
    </row>
    <row r="188" spans="1:4" x14ac:dyDescent="0.25">
      <c r="A188" s="5" t="s">
        <v>5</v>
      </c>
      <c r="B188" s="6" t="s">
        <v>172</v>
      </c>
      <c r="C188" s="7">
        <v>59410</v>
      </c>
      <c r="D188" s="7">
        <v>50000</v>
      </c>
    </row>
    <row r="189" spans="1:4" x14ac:dyDescent="0.25">
      <c r="A189" s="5" t="s">
        <v>5</v>
      </c>
      <c r="B189" s="6" t="s">
        <v>173</v>
      </c>
      <c r="C189" s="7">
        <v>61292</v>
      </c>
      <c r="D189" s="7">
        <v>50000</v>
      </c>
    </row>
    <row r="190" spans="1:4" x14ac:dyDescent="0.25">
      <c r="A190" s="5" t="s">
        <v>5</v>
      </c>
      <c r="B190" s="6" t="s">
        <v>174</v>
      </c>
      <c r="C190" s="7">
        <v>63174</v>
      </c>
      <c r="D190" s="7">
        <v>50000</v>
      </c>
    </row>
    <row r="191" spans="1:4" x14ac:dyDescent="0.25">
      <c r="A191" s="5" t="s">
        <v>5</v>
      </c>
      <c r="B191" s="6" t="s">
        <v>175</v>
      </c>
      <c r="C191" s="7">
        <v>65056</v>
      </c>
      <c r="D191" s="7">
        <v>50000</v>
      </c>
    </row>
    <row r="192" spans="1:4" x14ac:dyDescent="0.25">
      <c r="A192" s="5" t="s">
        <v>5</v>
      </c>
      <c r="B192" s="6" t="s">
        <v>176</v>
      </c>
      <c r="C192" s="7">
        <v>66938</v>
      </c>
      <c r="D192" s="7">
        <v>50000</v>
      </c>
    </row>
    <row r="193" spans="1:7" x14ac:dyDescent="0.25">
      <c r="A193" s="5" t="s">
        <v>5</v>
      </c>
      <c r="B193" s="6" t="s">
        <v>177</v>
      </c>
      <c r="C193" s="7">
        <v>63100</v>
      </c>
      <c r="D193" s="7">
        <v>50000</v>
      </c>
    </row>
    <row r="194" spans="1:7" x14ac:dyDescent="0.25">
      <c r="A194" s="5" t="s">
        <v>5</v>
      </c>
      <c r="B194" s="6" t="s">
        <v>178</v>
      </c>
      <c r="C194" s="7">
        <v>69650</v>
      </c>
      <c r="D194" s="7">
        <v>50000</v>
      </c>
    </row>
    <row r="195" spans="1:7" x14ac:dyDescent="0.25">
      <c r="A195" s="5" t="s">
        <v>5</v>
      </c>
      <c r="B195" s="6" t="s">
        <v>179</v>
      </c>
      <c r="C195" s="7">
        <v>76200</v>
      </c>
      <c r="D195" s="7">
        <v>50000</v>
      </c>
      <c r="G195" s="10"/>
    </row>
    <row r="196" spans="1:7" x14ac:dyDescent="0.25">
      <c r="A196" s="5" t="s">
        <v>5</v>
      </c>
      <c r="B196" s="6" t="s">
        <v>180</v>
      </c>
      <c r="C196" s="7">
        <v>82750</v>
      </c>
      <c r="D196" s="7">
        <v>50000</v>
      </c>
      <c r="G196" s="10"/>
    </row>
    <row r="197" spans="1:7" x14ac:dyDescent="0.25">
      <c r="A197" s="5" t="s">
        <v>5</v>
      </c>
      <c r="B197" s="6" t="s">
        <v>181</v>
      </c>
      <c r="C197" s="7">
        <v>89300</v>
      </c>
      <c r="D197" s="7">
        <v>50000</v>
      </c>
      <c r="G197" s="10"/>
    </row>
    <row r="198" spans="1:7" x14ac:dyDescent="0.25">
      <c r="A198" s="5" t="s">
        <v>5</v>
      </c>
      <c r="B198" s="6" t="s">
        <v>182</v>
      </c>
      <c r="C198" s="7">
        <v>95850</v>
      </c>
      <c r="D198" s="7">
        <v>50000</v>
      </c>
      <c r="G198" s="10"/>
    </row>
    <row r="199" spans="1:7" x14ac:dyDescent="0.25">
      <c r="A199" s="5" t="s">
        <v>5</v>
      </c>
      <c r="B199" s="6" t="s">
        <v>183</v>
      </c>
      <c r="C199" s="7">
        <v>102400</v>
      </c>
      <c r="D199" s="7">
        <v>50000</v>
      </c>
      <c r="G199" s="10"/>
    </row>
    <row r="200" spans="1:7" x14ac:dyDescent="0.25">
      <c r="A200" s="5" t="s">
        <v>5</v>
      </c>
      <c r="B200" s="6" t="s">
        <v>184</v>
      </c>
      <c r="C200" s="7">
        <v>108950</v>
      </c>
      <c r="D200" s="7">
        <v>50000</v>
      </c>
      <c r="G200" s="10"/>
    </row>
    <row r="201" spans="1:7" x14ac:dyDescent="0.25">
      <c r="A201" s="5" t="s">
        <v>5</v>
      </c>
      <c r="B201" s="6" t="s">
        <v>185</v>
      </c>
      <c r="C201" s="7">
        <v>115500</v>
      </c>
      <c r="D201" s="7">
        <v>50000</v>
      </c>
    </row>
    <row r="202" spans="1:7" x14ac:dyDescent="0.25">
      <c r="A202" s="3" t="s">
        <v>186</v>
      </c>
      <c r="B202" t="s">
        <v>187</v>
      </c>
      <c r="C202" s="2">
        <v>11500</v>
      </c>
      <c r="D202" s="2">
        <f>C202*0.4</f>
        <v>4600</v>
      </c>
    </row>
    <row r="203" spans="1:7" x14ac:dyDescent="0.25">
      <c r="A203" s="3" t="s">
        <v>186</v>
      </c>
      <c r="B203" t="s">
        <v>655</v>
      </c>
      <c r="C203" s="2">
        <v>5250</v>
      </c>
      <c r="D203" s="2">
        <f t="shared" ref="D203:D246" si="3">C203*0.4</f>
        <v>2100</v>
      </c>
      <c r="G203" s="10"/>
    </row>
    <row r="204" spans="1:7" x14ac:dyDescent="0.25">
      <c r="A204" s="3" t="s">
        <v>186</v>
      </c>
      <c r="B204" t="s">
        <v>188</v>
      </c>
      <c r="C204" s="2">
        <v>10920</v>
      </c>
      <c r="D204" s="2">
        <f t="shared" si="3"/>
        <v>4368</v>
      </c>
    </row>
    <row r="205" spans="1:7" x14ac:dyDescent="0.25">
      <c r="A205" s="3" t="s">
        <v>186</v>
      </c>
      <c r="B205" t="s">
        <v>656</v>
      </c>
      <c r="C205" s="2">
        <v>2925</v>
      </c>
      <c r="D205" s="2">
        <f t="shared" si="3"/>
        <v>1170</v>
      </c>
    </row>
    <row r="206" spans="1:7" x14ac:dyDescent="0.25">
      <c r="A206" s="3" t="s">
        <v>186</v>
      </c>
      <c r="B206" t="s">
        <v>657</v>
      </c>
      <c r="C206" s="2">
        <v>29778</v>
      </c>
      <c r="D206" s="2">
        <v>11912</v>
      </c>
      <c r="G206" s="10"/>
    </row>
    <row r="207" spans="1:7" x14ac:dyDescent="0.25">
      <c r="A207" s="8" t="s">
        <v>189</v>
      </c>
      <c r="B207" s="6" t="s">
        <v>194</v>
      </c>
      <c r="C207" s="7">
        <v>100000</v>
      </c>
      <c r="D207" s="7">
        <f t="shared" si="3"/>
        <v>40000</v>
      </c>
    </row>
    <row r="208" spans="1:7" x14ac:dyDescent="0.25">
      <c r="A208" s="3" t="s">
        <v>191</v>
      </c>
      <c r="B208" t="s">
        <v>658</v>
      </c>
      <c r="C208" s="2">
        <v>250000</v>
      </c>
      <c r="D208" s="2">
        <f t="shared" si="3"/>
        <v>100000</v>
      </c>
    </row>
    <row r="209" spans="1:6" x14ac:dyDescent="0.25">
      <c r="A209" s="3" t="s">
        <v>191</v>
      </c>
      <c r="B209" t="s">
        <v>659</v>
      </c>
      <c r="C209" s="2">
        <v>315000</v>
      </c>
      <c r="D209" s="2">
        <f t="shared" si="3"/>
        <v>126000</v>
      </c>
    </row>
    <row r="210" spans="1:6" x14ac:dyDescent="0.25">
      <c r="A210" s="3" t="s">
        <v>191</v>
      </c>
      <c r="B210" t="s">
        <v>660</v>
      </c>
      <c r="C210" s="2">
        <v>450000</v>
      </c>
      <c r="D210" s="2">
        <f t="shared" si="3"/>
        <v>180000</v>
      </c>
    </row>
    <row r="211" spans="1:6" x14ac:dyDescent="0.25">
      <c r="A211" s="8" t="s">
        <v>192</v>
      </c>
      <c r="B211" s="6" t="s">
        <v>661</v>
      </c>
      <c r="C211" s="9">
        <v>109200</v>
      </c>
      <c r="D211" s="9">
        <f t="shared" si="3"/>
        <v>43680</v>
      </c>
    </row>
    <row r="212" spans="1:6" x14ac:dyDescent="0.25">
      <c r="A212" s="8" t="s">
        <v>192</v>
      </c>
      <c r="B212" s="6" t="s">
        <v>662</v>
      </c>
      <c r="C212" s="9">
        <v>3900</v>
      </c>
      <c r="D212" s="9">
        <f t="shared" si="3"/>
        <v>1560</v>
      </c>
    </row>
    <row r="213" spans="1:6" x14ac:dyDescent="0.25">
      <c r="A213" s="8" t="s">
        <v>192</v>
      </c>
      <c r="B213" s="6" t="s">
        <v>663</v>
      </c>
      <c r="C213" s="9">
        <v>16965</v>
      </c>
      <c r="D213" s="9">
        <f t="shared" si="3"/>
        <v>6786</v>
      </c>
    </row>
    <row r="214" spans="1:6" x14ac:dyDescent="0.25">
      <c r="A214" s="8" t="s">
        <v>192</v>
      </c>
      <c r="B214" s="6" t="s">
        <v>664</v>
      </c>
      <c r="C214" s="9">
        <v>99166</v>
      </c>
      <c r="D214" s="9">
        <v>39667</v>
      </c>
    </row>
    <row r="215" spans="1:6" x14ac:dyDescent="0.25">
      <c r="A215" s="8" t="s">
        <v>192</v>
      </c>
      <c r="B215" s="6" t="s">
        <v>665</v>
      </c>
      <c r="C215" s="9">
        <v>7000</v>
      </c>
      <c r="D215" s="9">
        <f t="shared" si="3"/>
        <v>2800</v>
      </c>
    </row>
    <row r="216" spans="1:6" x14ac:dyDescent="0.25">
      <c r="A216" s="8" t="s">
        <v>192</v>
      </c>
      <c r="B216" s="6" t="s">
        <v>666</v>
      </c>
      <c r="C216" s="9">
        <v>23010</v>
      </c>
      <c r="D216" s="9">
        <f t="shared" si="3"/>
        <v>9204</v>
      </c>
    </row>
    <row r="217" spans="1:6" x14ac:dyDescent="0.25">
      <c r="A217" s="8" t="s">
        <v>192</v>
      </c>
      <c r="B217" s="6" t="s">
        <v>667</v>
      </c>
      <c r="C217" s="9">
        <v>9193</v>
      </c>
      <c r="D217" s="9">
        <v>3678</v>
      </c>
    </row>
    <row r="218" spans="1:6" x14ac:dyDescent="0.25">
      <c r="A218" s="8" t="s">
        <v>192</v>
      </c>
      <c r="B218" s="6" t="s">
        <v>668</v>
      </c>
      <c r="C218" s="9">
        <v>97500</v>
      </c>
      <c r="D218" s="9">
        <f t="shared" si="3"/>
        <v>39000</v>
      </c>
    </row>
    <row r="219" spans="1:6" x14ac:dyDescent="0.25">
      <c r="A219" s="8" t="s">
        <v>192</v>
      </c>
      <c r="B219" s="6" t="s">
        <v>669</v>
      </c>
      <c r="C219" s="9">
        <v>5000</v>
      </c>
      <c r="D219" s="9">
        <f t="shared" si="3"/>
        <v>2000</v>
      </c>
    </row>
    <row r="220" spans="1:6" x14ac:dyDescent="0.25">
      <c r="A220" s="8" t="s">
        <v>192</v>
      </c>
      <c r="B220" s="6" t="s">
        <v>670</v>
      </c>
      <c r="C220" s="9">
        <v>28080</v>
      </c>
      <c r="D220" s="9">
        <f t="shared" si="3"/>
        <v>11232</v>
      </c>
    </row>
    <row r="221" spans="1:6" x14ac:dyDescent="0.25">
      <c r="A221" s="8" t="s">
        <v>192</v>
      </c>
      <c r="B221" s="6" t="s">
        <v>671</v>
      </c>
      <c r="C221" s="9">
        <v>5850</v>
      </c>
      <c r="D221" s="9">
        <f t="shared" si="3"/>
        <v>2340</v>
      </c>
    </row>
    <row r="222" spans="1:6" x14ac:dyDescent="0.25">
      <c r="A222" s="3" t="s">
        <v>195</v>
      </c>
      <c r="B222" t="s">
        <v>190</v>
      </c>
      <c r="C222" s="11">
        <v>120953</v>
      </c>
      <c r="D222" s="11">
        <v>48381</v>
      </c>
      <c r="F222" s="10"/>
    </row>
    <row r="223" spans="1:6" x14ac:dyDescent="0.25">
      <c r="A223" s="3" t="s">
        <v>195</v>
      </c>
      <c r="B223" t="s">
        <v>196</v>
      </c>
      <c r="C223" s="11">
        <v>26130</v>
      </c>
      <c r="D223" s="11">
        <f t="shared" si="3"/>
        <v>10452</v>
      </c>
    </row>
    <row r="224" spans="1:6" x14ac:dyDescent="0.25">
      <c r="A224" s="3" t="s">
        <v>195</v>
      </c>
      <c r="B224" t="s">
        <v>654</v>
      </c>
      <c r="C224" s="11">
        <v>0</v>
      </c>
      <c r="D224" s="11"/>
    </row>
    <row r="225" spans="1:7" x14ac:dyDescent="0.25">
      <c r="A225" s="3" t="s">
        <v>195</v>
      </c>
      <c r="B225" t="s">
        <v>653</v>
      </c>
      <c r="C225" s="11">
        <v>0</v>
      </c>
      <c r="D225" s="11"/>
    </row>
    <row r="226" spans="1:7" x14ac:dyDescent="0.25">
      <c r="A226" s="3" t="s">
        <v>195</v>
      </c>
      <c r="B226" t="s">
        <v>197</v>
      </c>
      <c r="C226" s="11">
        <v>35490</v>
      </c>
      <c r="D226" s="11">
        <f t="shared" si="3"/>
        <v>14196</v>
      </c>
    </row>
    <row r="227" spans="1:7" x14ac:dyDescent="0.25">
      <c r="A227" s="3" t="s">
        <v>195</v>
      </c>
      <c r="B227" t="s">
        <v>198</v>
      </c>
      <c r="C227" s="11">
        <v>1333</v>
      </c>
      <c r="D227" s="11">
        <v>533</v>
      </c>
      <c r="E227" s="10"/>
    </row>
    <row r="228" spans="1:7" x14ac:dyDescent="0.25">
      <c r="A228" s="3" t="s">
        <v>195</v>
      </c>
      <c r="B228" t="s">
        <v>199</v>
      </c>
      <c r="C228" s="11">
        <v>58000</v>
      </c>
      <c r="D228" s="11">
        <f t="shared" si="3"/>
        <v>23200</v>
      </c>
    </row>
    <row r="229" spans="1:7" x14ac:dyDescent="0.25">
      <c r="A229" s="8" t="s">
        <v>200</v>
      </c>
      <c r="B229" s="6" t="s">
        <v>194</v>
      </c>
      <c r="C229" s="7">
        <v>3510</v>
      </c>
      <c r="D229" s="7">
        <f t="shared" si="3"/>
        <v>1404</v>
      </c>
      <c r="G229" s="10"/>
    </row>
    <row r="230" spans="1:7" x14ac:dyDescent="0.25">
      <c r="A230" s="3" t="s">
        <v>201</v>
      </c>
      <c r="B230" t="s">
        <v>194</v>
      </c>
      <c r="C230" s="11">
        <v>21645</v>
      </c>
      <c r="D230" s="11">
        <f t="shared" si="3"/>
        <v>8658</v>
      </c>
      <c r="G230" s="10"/>
    </row>
    <row r="231" spans="1:7" x14ac:dyDescent="0.25">
      <c r="A231" s="8" t="s">
        <v>202</v>
      </c>
      <c r="B231" s="6" t="s">
        <v>194</v>
      </c>
      <c r="C231" s="7">
        <v>200200</v>
      </c>
      <c r="D231" s="7">
        <f t="shared" si="3"/>
        <v>80080</v>
      </c>
    </row>
    <row r="232" spans="1:7" x14ac:dyDescent="0.25">
      <c r="A232" s="3" t="s">
        <v>203</v>
      </c>
      <c r="B232" t="s">
        <v>674</v>
      </c>
      <c r="C232" s="11">
        <v>0</v>
      </c>
      <c r="D232" s="11">
        <f t="shared" si="3"/>
        <v>0</v>
      </c>
    </row>
    <row r="233" spans="1:7" x14ac:dyDescent="0.25">
      <c r="A233" s="3" t="s">
        <v>203</v>
      </c>
      <c r="B233" t="s">
        <v>675</v>
      </c>
      <c r="C233" s="11">
        <v>84583</v>
      </c>
      <c r="D233" s="11">
        <v>33834</v>
      </c>
    </row>
    <row r="234" spans="1:7" x14ac:dyDescent="0.25">
      <c r="A234" s="3" t="s">
        <v>203</v>
      </c>
      <c r="B234" t="s">
        <v>676</v>
      </c>
      <c r="C234" s="11">
        <v>1170</v>
      </c>
      <c r="D234" s="11">
        <f t="shared" si="3"/>
        <v>468</v>
      </c>
    </row>
    <row r="235" spans="1:7" x14ac:dyDescent="0.25">
      <c r="A235" s="3" t="s">
        <v>203</v>
      </c>
      <c r="B235" t="s">
        <v>677</v>
      </c>
      <c r="C235" s="11">
        <v>2000</v>
      </c>
      <c r="D235" s="11">
        <f t="shared" si="3"/>
        <v>800</v>
      </c>
    </row>
    <row r="236" spans="1:7" x14ac:dyDescent="0.25">
      <c r="A236" s="3" t="s">
        <v>203</v>
      </c>
      <c r="B236" t="s">
        <v>678</v>
      </c>
      <c r="C236" s="11">
        <v>1170</v>
      </c>
      <c r="D236" s="11">
        <f t="shared" si="3"/>
        <v>468</v>
      </c>
    </row>
    <row r="237" spans="1:7" x14ac:dyDescent="0.25">
      <c r="A237" s="3" t="s">
        <v>203</v>
      </c>
      <c r="B237" t="s">
        <v>679</v>
      </c>
      <c r="C237" s="11">
        <v>21125</v>
      </c>
      <c r="D237" s="11">
        <f t="shared" si="3"/>
        <v>8450</v>
      </c>
    </row>
    <row r="238" spans="1:7" x14ac:dyDescent="0.25">
      <c r="A238" s="3" t="s">
        <v>203</v>
      </c>
      <c r="B238" t="s">
        <v>680</v>
      </c>
      <c r="C238" s="11">
        <v>296075</v>
      </c>
      <c r="D238" s="11">
        <f t="shared" si="3"/>
        <v>118430</v>
      </c>
    </row>
    <row r="239" spans="1:7" x14ac:dyDescent="0.25">
      <c r="A239" s="3" t="s">
        <v>203</v>
      </c>
      <c r="B239" t="s">
        <v>681</v>
      </c>
      <c r="C239" s="11">
        <v>67500</v>
      </c>
      <c r="D239" s="11">
        <f t="shared" si="3"/>
        <v>27000</v>
      </c>
    </row>
    <row r="240" spans="1:7" x14ac:dyDescent="0.25">
      <c r="A240" s="3" t="s">
        <v>203</v>
      </c>
      <c r="B240" t="s">
        <v>682</v>
      </c>
      <c r="C240" s="11">
        <v>141400</v>
      </c>
      <c r="D240" s="11">
        <f t="shared" si="3"/>
        <v>56560</v>
      </c>
    </row>
    <row r="241" spans="1:4" x14ac:dyDescent="0.25">
      <c r="A241" s="3" t="s">
        <v>203</v>
      </c>
      <c r="B241" t="s">
        <v>683</v>
      </c>
      <c r="C241" s="11">
        <v>89700</v>
      </c>
      <c r="D241" s="11">
        <f t="shared" si="3"/>
        <v>35880</v>
      </c>
    </row>
    <row r="242" spans="1:4" x14ac:dyDescent="0.25">
      <c r="A242" s="3" t="s">
        <v>203</v>
      </c>
      <c r="B242" t="s">
        <v>684</v>
      </c>
      <c r="C242" s="11">
        <v>84175</v>
      </c>
      <c r="D242" s="11">
        <f t="shared" si="3"/>
        <v>33670</v>
      </c>
    </row>
    <row r="243" spans="1:4" x14ac:dyDescent="0.25">
      <c r="A243" s="3" t="s">
        <v>203</v>
      </c>
      <c r="B243" t="s">
        <v>685</v>
      </c>
      <c r="C243" s="11">
        <v>93925</v>
      </c>
      <c r="D243" s="11">
        <f t="shared" si="3"/>
        <v>37570</v>
      </c>
    </row>
    <row r="244" spans="1:4" x14ac:dyDescent="0.25">
      <c r="A244" s="3" t="s">
        <v>203</v>
      </c>
      <c r="B244" t="s">
        <v>686</v>
      </c>
      <c r="C244" s="11">
        <v>107250</v>
      </c>
      <c r="D244" s="11">
        <f t="shared" si="3"/>
        <v>42900</v>
      </c>
    </row>
    <row r="245" spans="1:4" x14ac:dyDescent="0.25">
      <c r="A245" s="3" t="s">
        <v>203</v>
      </c>
      <c r="B245" t="s">
        <v>687</v>
      </c>
      <c r="C245" s="11">
        <v>127750</v>
      </c>
      <c r="D245" s="11">
        <f t="shared" si="3"/>
        <v>51100</v>
      </c>
    </row>
    <row r="246" spans="1:4" x14ac:dyDescent="0.25">
      <c r="A246" s="8" t="s">
        <v>204</v>
      </c>
      <c r="B246" s="6" t="s">
        <v>673</v>
      </c>
      <c r="C246" s="7">
        <v>5000</v>
      </c>
      <c r="D246" s="7">
        <f t="shared" si="3"/>
        <v>2000</v>
      </c>
    </row>
    <row r="247" spans="1:4" x14ac:dyDescent="0.25">
      <c r="A247" s="8" t="s">
        <v>204</v>
      </c>
      <c r="B247" s="6" t="s">
        <v>672</v>
      </c>
      <c r="C247" s="7">
        <v>40000</v>
      </c>
      <c r="D247" s="7">
        <v>0</v>
      </c>
    </row>
    <row r="248" spans="1:4" x14ac:dyDescent="0.25">
      <c r="A248" s="3" t="s">
        <v>205</v>
      </c>
      <c r="B248" t="s">
        <v>194</v>
      </c>
      <c r="C248" s="11" t="s">
        <v>206</v>
      </c>
      <c r="D248" s="11">
        <v>0</v>
      </c>
    </row>
  </sheetData>
  <pageMargins left="0.511811024" right="0.511811024" top="0.78740157499999996" bottom="0.78740157499999996" header="0.31496062000000002" footer="0.31496062000000002"/>
  <headerFooter>
    <oddHeader>&amp;R&amp;"Aptos"&amp;20&amp;K0000FF Interno&amp;1#_x000D_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C6D1-083E-4B8B-8EE0-F8832A805DCA}">
  <dimension ref="A1:B16"/>
  <sheetViews>
    <sheetView workbookViewId="0">
      <selection activeCell="E18" sqref="E18"/>
    </sheetView>
  </sheetViews>
  <sheetFormatPr defaultRowHeight="15" x14ac:dyDescent="0.25"/>
  <cols>
    <col min="1" max="1" width="46.28515625" bestFit="1" customWidth="1"/>
    <col min="2" max="2" width="14.28515625" bestFit="1" customWidth="1"/>
  </cols>
  <sheetData>
    <row r="1" spans="1:2" x14ac:dyDescent="0.25">
      <c r="A1" s="3" t="s">
        <v>209</v>
      </c>
      <c r="B1" s="4" t="s">
        <v>0</v>
      </c>
    </row>
    <row r="2" spans="1:2" x14ac:dyDescent="0.25">
      <c r="A2" t="s">
        <v>210</v>
      </c>
      <c r="B2" s="2">
        <v>100000</v>
      </c>
    </row>
    <row r="3" spans="1:2" x14ac:dyDescent="0.25">
      <c r="A3" t="s">
        <v>211</v>
      </c>
      <c r="B3" s="2">
        <v>59400</v>
      </c>
    </row>
    <row r="4" spans="1:2" x14ac:dyDescent="0.25">
      <c r="A4" t="s">
        <v>212</v>
      </c>
      <c r="B4" s="2">
        <v>118800</v>
      </c>
    </row>
    <row r="5" spans="1:2" x14ac:dyDescent="0.25">
      <c r="A5" t="s">
        <v>213</v>
      </c>
      <c r="B5" s="2">
        <v>178200</v>
      </c>
    </row>
    <row r="6" spans="1:2" x14ac:dyDescent="0.25">
      <c r="A6" t="s">
        <v>214</v>
      </c>
      <c r="B6" s="2">
        <v>237600</v>
      </c>
    </row>
    <row r="7" spans="1:2" x14ac:dyDescent="0.25">
      <c r="A7" t="s">
        <v>215</v>
      </c>
      <c r="B7" s="2" t="s">
        <v>206</v>
      </c>
    </row>
    <row r="8" spans="1:2" x14ac:dyDescent="0.25">
      <c r="A8" t="s">
        <v>216</v>
      </c>
      <c r="B8" s="2">
        <v>50000</v>
      </c>
    </row>
    <row r="9" spans="1:2" x14ac:dyDescent="0.25">
      <c r="A9" t="s">
        <v>217</v>
      </c>
      <c r="B9" s="2">
        <v>80000</v>
      </c>
    </row>
    <row r="10" spans="1:2" x14ac:dyDescent="0.25">
      <c r="A10" t="s">
        <v>218</v>
      </c>
      <c r="B10" s="2">
        <v>25000</v>
      </c>
    </row>
    <row r="11" spans="1:2" x14ac:dyDescent="0.25">
      <c r="A11" t="s">
        <v>219</v>
      </c>
      <c r="B11" s="2" t="s">
        <v>206</v>
      </c>
    </row>
    <row r="12" spans="1:2" x14ac:dyDescent="0.25">
      <c r="A12" t="s">
        <v>220</v>
      </c>
      <c r="B12" s="2" t="s">
        <v>206</v>
      </c>
    </row>
    <row r="13" spans="1:2" x14ac:dyDescent="0.25">
      <c r="A13" t="s">
        <v>221</v>
      </c>
      <c r="B13" s="2" t="s">
        <v>206</v>
      </c>
    </row>
    <row r="14" spans="1:2" x14ac:dyDescent="0.25">
      <c r="A14" t="s">
        <v>222</v>
      </c>
      <c r="B14" s="2" t="s">
        <v>206</v>
      </c>
    </row>
    <row r="15" spans="1:2" x14ac:dyDescent="0.25">
      <c r="A15" t="s">
        <v>223</v>
      </c>
      <c r="B15" s="2" t="s">
        <v>206</v>
      </c>
    </row>
    <row r="16" spans="1:2" x14ac:dyDescent="0.25">
      <c r="A16" t="s">
        <v>224</v>
      </c>
      <c r="B16" s="2" t="s">
        <v>206</v>
      </c>
    </row>
  </sheetData>
  <pageMargins left="0.511811024" right="0.511811024" top="0.78740157499999996" bottom="0.78740157499999996" header="0.31496062000000002" footer="0.31496062000000002"/>
  <headerFooter>
    <oddHeader>&amp;R&amp;"Aptos"&amp;20&amp;K0000FF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D30465A3416240B20AC0AF449F596B" ma:contentTypeVersion="21" ma:contentTypeDescription="Crie um novo documento." ma:contentTypeScope="" ma:versionID="132ce45e2b10963075836f6afe72c1de">
  <xsd:schema xmlns:xsd="http://www.w3.org/2001/XMLSchema" xmlns:xs="http://www.w3.org/2001/XMLSchema" xmlns:p="http://schemas.microsoft.com/office/2006/metadata/properties" xmlns:ns2="1af72c75-8b8a-49af-8518-629190c91f7f" xmlns:ns3="a825b47f-d537-4ba3-ae70-a25b86e5b96f" xmlns:ns4="4972bdeb-71e7-4f78-a412-0e79ef21ab88" targetNamespace="http://schemas.microsoft.com/office/2006/metadata/properties" ma:root="true" ma:fieldsID="a22cc93c9075b13227b3767611f6d45f" ns2:_="" ns3:_="" ns4:_="">
    <xsd:import namespace="1af72c75-8b8a-49af-8518-629190c91f7f"/>
    <xsd:import namespace="a825b47f-d537-4ba3-ae70-a25b86e5b96f"/>
    <xsd:import namespace="4972bdeb-71e7-4f78-a412-0e79ef21ab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72c75-8b8a-49af-8518-629190c91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9cc491fe-547a-4263-97dd-51df7dc1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5b47f-d537-4ba3-ae70-a25b86e5b96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2bdeb-71e7-4f78-a412-0e79ef21ab8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ce56892-8a44-442a-99b0-d1f719cc5a05}" ma:internalName="TaxCatchAll" ma:showField="CatchAllData" ma:web="08d0074a-9c97-42de-a8c1-e282a0132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f72c75-8b8a-49af-8518-629190c91f7f">
      <Terms xmlns="http://schemas.microsoft.com/office/infopath/2007/PartnerControls"/>
    </lcf76f155ced4ddcb4097134ff3c332f>
    <TaxCatchAll xmlns="4972bdeb-71e7-4f78-a412-0e79ef21ab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33130E-A796-4D1D-ADDF-2BCA1C725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72c75-8b8a-49af-8518-629190c91f7f"/>
    <ds:schemaRef ds:uri="a825b47f-d537-4ba3-ae70-a25b86e5b96f"/>
    <ds:schemaRef ds:uri="4972bdeb-71e7-4f78-a412-0e79ef21ab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88343A-8527-4934-86DF-03E91DDE5C9B}">
  <ds:schemaRefs>
    <ds:schemaRef ds:uri="http://schemas.microsoft.com/office/2006/metadata/properties"/>
    <ds:schemaRef ds:uri="http://schemas.microsoft.com/office/infopath/2007/PartnerControls"/>
    <ds:schemaRef ds:uri="1af72c75-8b8a-49af-8518-629190c91f7f"/>
    <ds:schemaRef ds:uri="4972bdeb-71e7-4f78-a412-0e79ef21ab88"/>
  </ds:schemaRefs>
</ds:datastoreItem>
</file>

<file path=customXml/itemProps3.xml><?xml version="1.0" encoding="utf-8"?>
<ds:datastoreItem xmlns:ds="http://schemas.openxmlformats.org/officeDocument/2006/customXml" ds:itemID="{0B2ABBA2-6D46-4493-9C06-2DA03ADDF38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17d0ede-aeba-4cac-a28d-f0cae284d260}" enabled="1" method="Privileged" siteId="{97298271-1bd7-4ac5-935b-88addef636c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Municipios</vt:lpstr>
      <vt:lpstr>Proposta</vt:lpstr>
      <vt:lpstr>Atual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Santos Viana</dc:creator>
  <cp:lastModifiedBy>André Santos Viana</cp:lastModifiedBy>
  <dcterms:created xsi:type="dcterms:W3CDTF">2026-01-22T14:21:26Z</dcterms:created>
  <dcterms:modified xsi:type="dcterms:W3CDTF">2026-03-19T14:32:10Z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0x010100A9D30465A3416240B20AC0AF449F596B</vt:lpwstr>
  </property>
  <property fmtid="{D5CDD505-2E9C-101B-9397-08002B2CF9AE}" pid="3" name="MediaServiceImageTags">
    <vt:lpwstr/>
  </property>
</Properties>
</file>